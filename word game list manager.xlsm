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15315" windowHeight="7995" activeTab="2"/>
  </bookViews>
  <sheets>
    <sheet name="Code generator" sheetId="1" r:id="rId1"/>
    <sheet name="Raw data" sheetId="2" r:id="rId2"/>
    <sheet name="HID Usage Table" sheetId="3" r:id="rId3"/>
  </sheets>
  <calcPr calcId="125725"/>
</workbook>
</file>

<file path=xl/calcChain.xml><?xml version="1.0" encoding="utf-8"?>
<calcChain xmlns="http://schemas.openxmlformats.org/spreadsheetml/2006/main">
  <c r="F1" i="1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C391"/>
  <c r="D391"/>
  <c r="C392"/>
  <c r="D392"/>
  <c r="C393"/>
  <c r="D393"/>
  <c r="C394"/>
  <c r="D394"/>
  <c r="C395"/>
  <c r="D395"/>
  <c r="C396"/>
  <c r="D396"/>
  <c r="C397"/>
  <c r="D397"/>
  <c r="C398"/>
  <c r="D398"/>
  <c r="C399"/>
  <c r="D399"/>
  <c r="C400"/>
  <c r="D400"/>
  <c r="C401"/>
  <c r="D401"/>
  <c r="C402"/>
  <c r="D402"/>
  <c r="C403"/>
  <c r="D403"/>
  <c r="C404"/>
  <c r="D404"/>
  <c r="C405"/>
  <c r="D405"/>
  <c r="C406"/>
  <c r="D406"/>
  <c r="C407"/>
  <c r="D407"/>
  <c r="C408"/>
  <c r="D408"/>
  <c r="C409"/>
  <c r="D409"/>
  <c r="C410"/>
  <c r="D410"/>
  <c r="C411"/>
  <c r="D411"/>
  <c r="C412"/>
  <c r="D412"/>
  <c r="C413"/>
  <c r="D413"/>
  <c r="C414"/>
  <c r="D414"/>
  <c r="C415"/>
  <c r="D415"/>
  <c r="C416"/>
  <c r="D416"/>
  <c r="C417"/>
  <c r="D417"/>
  <c r="C418"/>
  <c r="D418"/>
  <c r="C419"/>
  <c r="D419"/>
  <c r="C420"/>
  <c r="D420"/>
  <c r="C421"/>
  <c r="D421"/>
  <c r="C422"/>
  <c r="D422"/>
  <c r="C423"/>
  <c r="D423"/>
  <c r="C424"/>
  <c r="D424"/>
  <c r="C425"/>
  <c r="D425"/>
  <c r="C426"/>
  <c r="D426"/>
  <c r="C427"/>
  <c r="D427"/>
  <c r="C428"/>
  <c r="D428"/>
  <c r="C429"/>
  <c r="D429"/>
  <c r="C430"/>
  <c r="D430"/>
  <c r="C431"/>
  <c r="D431"/>
  <c r="C432"/>
  <c r="D432"/>
  <c r="C433"/>
  <c r="D433"/>
  <c r="C434"/>
  <c r="D434"/>
  <c r="C435"/>
  <c r="D435"/>
  <c r="C436"/>
  <c r="D436"/>
  <c r="C437"/>
  <c r="D437"/>
  <c r="C438"/>
  <c r="D438"/>
  <c r="C439"/>
  <c r="D439"/>
  <c r="C440"/>
  <c r="D440"/>
  <c r="C441"/>
  <c r="D441"/>
  <c r="C442"/>
  <c r="D442"/>
  <c r="C443"/>
  <c r="D443"/>
  <c r="C444"/>
  <c r="D444"/>
  <c r="C445"/>
  <c r="D445"/>
  <c r="C446"/>
  <c r="D446"/>
  <c r="C447"/>
  <c r="D447"/>
  <c r="C448"/>
  <c r="D448"/>
  <c r="C449"/>
  <c r="D449"/>
  <c r="C450"/>
  <c r="D450"/>
  <c r="C451"/>
  <c r="D451"/>
  <c r="C452"/>
  <c r="D452"/>
  <c r="C453"/>
  <c r="D453"/>
  <c r="C454"/>
  <c r="D454"/>
  <c r="C455"/>
  <c r="D455"/>
  <c r="C456"/>
  <c r="D456"/>
  <c r="C457"/>
  <c r="D457"/>
  <c r="C458"/>
  <c r="D458"/>
  <c r="C459"/>
  <c r="D459"/>
  <c r="C460"/>
  <c r="D460"/>
  <c r="C461"/>
  <c r="D461"/>
  <c r="C462"/>
  <c r="D462"/>
  <c r="C463"/>
  <c r="D463"/>
  <c r="C464"/>
  <c r="D464"/>
  <c r="C465"/>
  <c r="D465"/>
  <c r="C466"/>
  <c r="D466"/>
  <c r="C467"/>
  <c r="D467"/>
  <c r="C468"/>
  <c r="D468"/>
  <c r="C469"/>
  <c r="D469"/>
  <c r="C470"/>
  <c r="D470"/>
  <c r="C471"/>
  <c r="D471"/>
  <c r="C472"/>
  <c r="D472"/>
  <c r="C473"/>
  <c r="D473"/>
  <c r="C474"/>
  <c r="D474"/>
  <c r="C475"/>
  <c r="D475"/>
  <c r="C476"/>
  <c r="D476"/>
  <c r="C477"/>
  <c r="D477"/>
  <c r="C478"/>
  <c r="D478"/>
  <c r="C479"/>
  <c r="D479"/>
  <c r="C480"/>
  <c r="D480"/>
  <c r="C481"/>
  <c r="D481"/>
  <c r="C482"/>
  <c r="D482"/>
  <c r="C483"/>
  <c r="D483"/>
  <c r="C484"/>
  <c r="D484"/>
  <c r="C485"/>
  <c r="D485"/>
  <c r="C486"/>
  <c r="D486"/>
  <c r="C487"/>
  <c r="D487"/>
  <c r="C488"/>
  <c r="D488"/>
  <c r="C489"/>
  <c r="D489"/>
  <c r="C490"/>
  <c r="D490"/>
  <c r="C491"/>
  <c r="D491"/>
  <c r="C492"/>
  <c r="D492"/>
  <c r="C493"/>
  <c r="D493"/>
  <c r="C494"/>
  <c r="D494"/>
  <c r="C495"/>
  <c r="D495"/>
  <c r="C496"/>
  <c r="D496"/>
  <c r="C497"/>
  <c r="D497"/>
  <c r="C498"/>
  <c r="D498"/>
  <c r="C499"/>
  <c r="D499"/>
  <c r="C500"/>
  <c r="D500"/>
  <c r="C501"/>
  <c r="D501"/>
  <c r="C502"/>
  <c r="D502"/>
  <c r="C503"/>
  <c r="D503"/>
  <c r="C504"/>
  <c r="D504"/>
  <c r="C505"/>
  <c r="D505"/>
  <c r="C506"/>
  <c r="D506"/>
  <c r="C507"/>
  <c r="D507"/>
  <c r="C508"/>
  <c r="D508"/>
  <c r="C509"/>
  <c r="D509"/>
  <c r="C510"/>
  <c r="D510"/>
  <c r="C511"/>
  <c r="D511"/>
  <c r="C512"/>
  <c r="D512"/>
  <c r="C513"/>
  <c r="D513"/>
  <c r="C514"/>
  <c r="D514"/>
  <c r="C515"/>
  <c r="D515"/>
  <c r="C516"/>
  <c r="D516"/>
  <c r="C517"/>
  <c r="D517"/>
  <c r="C518"/>
  <c r="D518"/>
  <c r="C519"/>
  <c r="D519"/>
  <c r="C520"/>
  <c r="D520"/>
  <c r="C521"/>
  <c r="D521"/>
  <c r="C522"/>
  <c r="D522"/>
  <c r="C523"/>
  <c r="D523"/>
  <c r="C524"/>
  <c r="D524"/>
  <c r="C525"/>
  <c r="D525"/>
  <c r="C526"/>
  <c r="D526"/>
  <c r="C527"/>
  <c r="D527"/>
  <c r="C528"/>
  <c r="D528"/>
  <c r="C529"/>
  <c r="D529"/>
  <c r="C530"/>
  <c r="D530"/>
  <c r="C531"/>
  <c r="D531"/>
  <c r="C532"/>
  <c r="D532"/>
  <c r="C533"/>
  <c r="D533"/>
  <c r="C534"/>
  <c r="D534"/>
  <c r="C535"/>
  <c r="D535"/>
  <c r="C536"/>
  <c r="D536"/>
  <c r="C537"/>
  <c r="D537"/>
  <c r="C538"/>
  <c r="D538"/>
  <c r="C539"/>
  <c r="D539"/>
  <c r="C540"/>
  <c r="D540"/>
  <c r="C541"/>
  <c r="D541"/>
  <c r="C542"/>
  <c r="D542"/>
  <c r="C543"/>
  <c r="D543"/>
  <c r="C544"/>
  <c r="D544"/>
  <c r="C545"/>
  <c r="D545"/>
  <c r="C546"/>
  <c r="D546"/>
  <c r="C547"/>
  <c r="D547"/>
  <c r="C548"/>
  <c r="D548"/>
  <c r="C549"/>
  <c r="D549"/>
  <c r="C550"/>
  <c r="D550"/>
  <c r="C551"/>
  <c r="D551"/>
  <c r="C552"/>
  <c r="D552"/>
  <c r="C553"/>
  <c r="D553"/>
  <c r="C554"/>
  <c r="D554"/>
  <c r="C555"/>
  <c r="D555"/>
  <c r="C556"/>
  <c r="D556"/>
  <c r="C557"/>
  <c r="D557"/>
  <c r="C558"/>
  <c r="D558"/>
  <c r="C559"/>
  <c r="D559"/>
  <c r="C560"/>
  <c r="D560"/>
  <c r="C561"/>
  <c r="D561"/>
  <c r="C562"/>
  <c r="D562"/>
  <c r="C563"/>
  <c r="D563"/>
  <c r="C564"/>
  <c r="D564"/>
  <c r="C565"/>
  <c r="D565"/>
  <c r="C566"/>
  <c r="D566"/>
  <c r="C567"/>
  <c r="D567"/>
  <c r="C568"/>
  <c r="D568"/>
  <c r="C569"/>
  <c r="D569"/>
  <c r="C570"/>
  <c r="D570"/>
  <c r="C571"/>
  <c r="D571"/>
  <c r="C572"/>
  <c r="D572"/>
  <c r="C573"/>
  <c r="D573"/>
  <c r="C574"/>
  <c r="D574"/>
  <c r="C575"/>
  <c r="D575"/>
  <c r="C576"/>
  <c r="D576"/>
  <c r="C577"/>
  <c r="D577"/>
  <c r="C578"/>
  <c r="D578"/>
  <c r="C579"/>
  <c r="D579"/>
  <c r="C580"/>
  <c r="D580"/>
  <c r="C581"/>
  <c r="D581"/>
  <c r="C582"/>
  <c r="D582"/>
  <c r="C583"/>
  <c r="D583"/>
  <c r="C584"/>
  <c r="D584"/>
  <c r="C585"/>
  <c r="D585"/>
  <c r="C586"/>
  <c r="D586"/>
  <c r="C587"/>
  <c r="D587"/>
  <c r="C588"/>
  <c r="D588"/>
  <c r="C589"/>
  <c r="D589"/>
  <c r="C590"/>
  <c r="D590"/>
  <c r="C591"/>
  <c r="D591"/>
  <c r="C592"/>
  <c r="D592"/>
  <c r="C593"/>
  <c r="D593"/>
  <c r="C594"/>
  <c r="D594"/>
  <c r="C595"/>
  <c r="D595"/>
  <c r="C596"/>
  <c r="D596"/>
  <c r="C597"/>
  <c r="D597"/>
  <c r="C598"/>
  <c r="D598"/>
  <c r="C599"/>
  <c r="D599"/>
  <c r="C600"/>
  <c r="D600"/>
  <c r="C601"/>
  <c r="D601"/>
  <c r="C602"/>
  <c r="D602"/>
  <c r="C603"/>
  <c r="D603"/>
  <c r="C604"/>
  <c r="D604"/>
  <c r="C605"/>
  <c r="D605"/>
  <c r="C606"/>
  <c r="D606"/>
  <c r="C607"/>
  <c r="D607"/>
  <c r="C608"/>
  <c r="D608"/>
  <c r="C609"/>
  <c r="D609"/>
  <c r="C610"/>
  <c r="D610"/>
  <c r="C611"/>
  <c r="D611"/>
  <c r="C612"/>
  <c r="D612"/>
  <c r="C613"/>
  <c r="D613"/>
  <c r="C614"/>
  <c r="D614"/>
  <c r="C615"/>
  <c r="D615"/>
  <c r="C616"/>
  <c r="D616"/>
  <c r="C617"/>
  <c r="D617"/>
  <c r="C618"/>
  <c r="D618"/>
  <c r="C619"/>
  <c r="D619"/>
  <c r="C620"/>
  <c r="D620"/>
  <c r="C621"/>
  <c r="D621"/>
  <c r="C622"/>
  <c r="D622"/>
  <c r="C623"/>
  <c r="D623"/>
  <c r="C624"/>
  <c r="D624"/>
  <c r="C625"/>
  <c r="D625"/>
  <c r="C626"/>
  <c r="D626"/>
  <c r="C627"/>
  <c r="D627"/>
  <c r="C628"/>
  <c r="D628"/>
  <c r="C629"/>
  <c r="D629"/>
  <c r="C630"/>
  <c r="D630"/>
  <c r="C631"/>
  <c r="D631"/>
  <c r="C632"/>
  <c r="D632"/>
  <c r="C633"/>
  <c r="D633"/>
  <c r="C634"/>
  <c r="D634"/>
  <c r="C635"/>
  <c r="D635"/>
  <c r="C636"/>
  <c r="D636"/>
  <c r="C637"/>
  <c r="D637"/>
  <c r="C638"/>
  <c r="D638"/>
  <c r="C639"/>
  <c r="D639"/>
  <c r="C640"/>
  <c r="D640"/>
  <c r="C641"/>
  <c r="D641"/>
  <c r="C642"/>
  <c r="D642"/>
  <c r="C643"/>
  <c r="D643"/>
  <c r="C644"/>
  <c r="D644"/>
  <c r="C645"/>
  <c r="D645"/>
  <c r="C646"/>
  <c r="D646"/>
  <c r="C647"/>
  <c r="D647"/>
  <c r="C648"/>
  <c r="D648"/>
  <c r="C649"/>
  <c r="D649"/>
  <c r="C650"/>
  <c r="D650"/>
  <c r="C651"/>
  <c r="D651"/>
  <c r="C652"/>
  <c r="D652"/>
  <c r="C653"/>
  <c r="D653"/>
  <c r="C654"/>
  <c r="D654"/>
  <c r="C655"/>
  <c r="D655"/>
  <c r="C656"/>
  <c r="D656"/>
  <c r="C657"/>
  <c r="D657"/>
  <c r="C658"/>
  <c r="D658"/>
  <c r="C659"/>
  <c r="D659"/>
  <c r="C660"/>
  <c r="D660"/>
  <c r="C661"/>
  <c r="D661"/>
  <c r="C662"/>
  <c r="D662"/>
  <c r="C663"/>
  <c r="D663"/>
  <c r="C664"/>
  <c r="D664"/>
  <c r="C665"/>
  <c r="D665"/>
  <c r="C666"/>
  <c r="D666"/>
  <c r="C667"/>
  <c r="D667"/>
  <c r="C668"/>
  <c r="D668"/>
  <c r="C669"/>
  <c r="D669"/>
  <c r="C670"/>
  <c r="D670"/>
  <c r="C671"/>
  <c r="D671"/>
  <c r="C672"/>
  <c r="D672"/>
  <c r="C673"/>
  <c r="D673"/>
  <c r="C674"/>
  <c r="D674"/>
  <c r="C675"/>
  <c r="D675"/>
  <c r="C676"/>
  <c r="D676"/>
  <c r="C677"/>
  <c r="D677"/>
  <c r="C678"/>
  <c r="D678"/>
  <c r="C679"/>
  <c r="D679"/>
  <c r="C680"/>
  <c r="D680"/>
  <c r="C681"/>
  <c r="D681"/>
  <c r="C682"/>
  <c r="D682"/>
  <c r="C683"/>
  <c r="D683"/>
  <c r="C684"/>
  <c r="D684"/>
  <c r="C685"/>
  <c r="D685"/>
  <c r="C686"/>
  <c r="D686"/>
  <c r="C687"/>
  <c r="D687"/>
  <c r="C688"/>
  <c r="D688"/>
  <c r="C689"/>
  <c r="D689"/>
  <c r="C690"/>
  <c r="D690"/>
  <c r="C691"/>
  <c r="D691"/>
  <c r="C692"/>
  <c r="D692"/>
  <c r="C693"/>
  <c r="D693"/>
  <c r="C694"/>
  <c r="D694"/>
  <c r="C695"/>
  <c r="D695"/>
  <c r="C696"/>
  <c r="D696"/>
  <c r="C697"/>
  <c r="D697"/>
  <c r="C698"/>
  <c r="D698"/>
  <c r="C699"/>
  <c r="D699"/>
  <c r="C700"/>
  <c r="D700"/>
  <c r="C701"/>
  <c r="D701"/>
  <c r="C702"/>
  <c r="D702"/>
  <c r="C703"/>
  <c r="D703"/>
  <c r="C704"/>
  <c r="D704"/>
  <c r="C705"/>
  <c r="D705"/>
  <c r="C706"/>
  <c r="D706"/>
  <c r="C707"/>
  <c r="D707"/>
  <c r="C708"/>
  <c r="D708"/>
  <c r="C709"/>
  <c r="D709"/>
  <c r="C710"/>
  <c r="D710"/>
  <c r="C711"/>
  <c r="D711"/>
  <c r="C712"/>
  <c r="D712"/>
  <c r="C713"/>
  <c r="D713"/>
  <c r="C714"/>
  <c r="D714"/>
  <c r="C715"/>
  <c r="D715"/>
  <c r="C716"/>
  <c r="D716"/>
  <c r="C717"/>
  <c r="D717"/>
  <c r="C718"/>
  <c r="D718"/>
  <c r="C719"/>
  <c r="D719"/>
  <c r="Z5" i="2"/>
  <c r="Z11"/>
  <c r="Z21"/>
  <c r="Z23"/>
  <c r="Z37"/>
  <c r="Z54"/>
  <c r="Z64"/>
  <c r="Z65"/>
  <c r="Z74"/>
  <c r="Z77"/>
  <c r="Z78"/>
  <c r="Z79"/>
  <c r="Z95"/>
  <c r="Z96"/>
  <c r="Z196"/>
  <c r="Z199"/>
  <c r="Z227"/>
  <c r="Z228"/>
  <c r="Z232"/>
  <c r="Z246"/>
  <c r="Z319"/>
  <c r="Z326"/>
  <c r="Z350"/>
  <c r="Z360"/>
  <c r="Z366"/>
  <c r="Z381"/>
  <c r="Z382"/>
  <c r="Z385"/>
  <c r="Z467"/>
  <c r="Z478"/>
  <c r="Z479"/>
  <c r="Z483"/>
  <c r="Z658"/>
  <c r="Z659"/>
  <c r="Z660"/>
  <c r="Z666"/>
  <c r="Z678"/>
  <c r="Z684"/>
  <c r="Z691"/>
  <c r="Z701"/>
  <c r="Z2"/>
  <c r="Z6"/>
  <c r="Z7"/>
  <c r="Z8"/>
  <c r="Z14"/>
  <c r="Z15"/>
  <c r="Z17"/>
  <c r="Z18"/>
  <c r="Z22"/>
  <c r="Z24"/>
  <c r="Z25"/>
  <c r="Z27"/>
  <c r="Z28"/>
  <c r="Z30"/>
  <c r="Z31"/>
  <c r="Z32"/>
  <c r="Z36"/>
  <c r="Z39"/>
  <c r="Z40"/>
  <c r="Z44"/>
  <c r="Z46"/>
  <c r="Z47"/>
  <c r="Z49"/>
  <c r="Z52"/>
  <c r="Z53"/>
  <c r="Z55"/>
  <c r="Z63"/>
  <c r="Z66"/>
  <c r="Z67"/>
  <c r="Z68"/>
  <c r="Z70"/>
  <c r="Z72"/>
  <c r="Z76"/>
  <c r="Z80"/>
  <c r="Z82"/>
  <c r="Z84"/>
  <c r="Z85"/>
  <c r="Z87"/>
  <c r="Z92"/>
  <c r="Z93"/>
  <c r="Z97"/>
  <c r="Z100"/>
  <c r="Z103"/>
  <c r="Z107"/>
  <c r="Z111"/>
  <c r="Z113"/>
  <c r="Z114"/>
  <c r="Z117"/>
  <c r="Z134"/>
  <c r="Z136"/>
  <c r="Z137"/>
  <c r="Z139"/>
  <c r="Z146"/>
  <c r="Z147"/>
  <c r="Z152"/>
  <c r="Z154"/>
  <c r="Z155"/>
  <c r="Z158"/>
  <c r="Z159"/>
  <c r="Z160"/>
  <c r="Z161"/>
  <c r="Z162"/>
  <c r="Z163"/>
  <c r="Z173"/>
  <c r="Z188"/>
  <c r="Z189"/>
  <c r="Z193"/>
  <c r="Z194"/>
  <c r="Z195"/>
  <c r="Z197"/>
  <c r="Z198"/>
  <c r="Z200"/>
  <c r="Z201"/>
  <c r="Z202"/>
  <c r="Z203"/>
  <c r="Z204"/>
  <c r="Z213"/>
  <c r="Z214"/>
  <c r="Z221"/>
  <c r="Z225"/>
  <c r="Z226"/>
  <c r="Z229"/>
  <c r="Z230"/>
  <c r="Z233"/>
  <c r="Z234"/>
  <c r="Z237"/>
  <c r="Z239"/>
  <c r="Z240"/>
  <c r="Z245"/>
  <c r="Z247"/>
  <c r="Z251"/>
  <c r="Z252"/>
  <c r="Z253"/>
  <c r="Z254"/>
  <c r="Z255"/>
  <c r="Z258"/>
  <c r="Z263"/>
  <c r="Z264"/>
  <c r="Z265"/>
  <c r="Z268"/>
  <c r="Z274"/>
  <c r="Z275"/>
  <c r="Z276"/>
  <c r="Z277"/>
  <c r="Z278"/>
  <c r="Z279"/>
  <c r="Z286"/>
  <c r="Z287"/>
  <c r="Z288"/>
  <c r="Z289"/>
  <c r="Z290"/>
  <c r="Z291"/>
  <c r="Z311"/>
  <c r="Z314"/>
  <c r="Z315"/>
  <c r="Z320"/>
  <c r="Z324"/>
  <c r="Z327"/>
  <c r="Z328"/>
  <c r="Z329"/>
  <c r="Z332"/>
  <c r="Z338"/>
  <c r="Z339"/>
  <c r="Z351"/>
  <c r="Z352"/>
  <c r="Z354"/>
  <c r="Z357"/>
  <c r="Z358"/>
  <c r="Z359"/>
  <c r="Z362"/>
  <c r="Z363"/>
  <c r="Z364"/>
  <c r="Z365"/>
  <c r="Z367"/>
  <c r="Z370"/>
  <c r="Z375"/>
  <c r="Z386"/>
  <c r="Z387"/>
  <c r="Z389"/>
  <c r="Z403"/>
  <c r="Z423"/>
  <c r="Z425"/>
  <c r="Z426"/>
  <c r="Z429"/>
  <c r="Z430"/>
  <c r="Z432"/>
  <c r="Z434"/>
  <c r="Z435"/>
  <c r="Z443"/>
  <c r="Z444"/>
  <c r="Z458"/>
  <c r="Z462"/>
  <c r="Z465"/>
  <c r="Z469"/>
  <c r="Z471"/>
  <c r="Z472"/>
  <c r="Z480"/>
  <c r="Z481"/>
  <c r="Z484"/>
  <c r="Z485"/>
  <c r="Z490"/>
  <c r="Z497"/>
  <c r="Z498"/>
  <c r="Z501"/>
  <c r="Z502"/>
  <c r="Z522"/>
  <c r="Z523"/>
  <c r="Z533"/>
  <c r="Z534"/>
  <c r="Z537"/>
  <c r="Z538"/>
  <c r="Z550"/>
  <c r="Z551"/>
  <c r="Z565"/>
  <c r="Z573"/>
  <c r="Z575"/>
  <c r="Z594"/>
  <c r="Z595"/>
  <c r="Z599"/>
  <c r="Z602"/>
  <c r="Z603"/>
  <c r="Z605"/>
  <c r="Z614"/>
  <c r="Z615"/>
  <c r="Z617"/>
  <c r="Z651"/>
  <c r="Z652"/>
  <c r="Z653"/>
  <c r="Z657"/>
  <c r="Z661"/>
  <c r="Z667"/>
  <c r="Z669"/>
  <c r="Z672"/>
  <c r="Z673"/>
  <c r="Z676"/>
  <c r="Z680"/>
  <c r="Z681"/>
  <c r="Z682"/>
  <c r="Z685"/>
  <c r="Z686"/>
  <c r="Z687"/>
  <c r="Z692"/>
  <c r="Z696"/>
  <c r="Z699"/>
  <c r="Z702"/>
  <c r="Z703"/>
  <c r="Z706"/>
  <c r="Z715"/>
  <c r="Z716"/>
  <c r="Z719"/>
  <c r="Z3"/>
  <c r="Z4"/>
  <c r="Z12"/>
  <c r="Z16"/>
  <c r="Z19"/>
  <c r="Z20"/>
  <c r="Z26"/>
  <c r="Z29"/>
  <c r="Z33"/>
  <c r="Z35"/>
  <c r="Z38"/>
  <c r="Z41"/>
  <c r="Z42"/>
  <c r="Z43"/>
  <c r="Z45"/>
  <c r="Z48"/>
  <c r="Z50"/>
  <c r="Z51"/>
  <c r="Z56"/>
  <c r="Z59"/>
  <c r="Z69"/>
  <c r="Z71"/>
  <c r="Z75"/>
  <c r="Z83"/>
  <c r="Z86"/>
  <c r="Z90"/>
  <c r="Z91"/>
  <c r="Z94"/>
  <c r="Z98"/>
  <c r="Z101"/>
  <c r="Z102"/>
  <c r="Z104"/>
  <c r="Z105"/>
  <c r="Z106"/>
  <c r="Z108"/>
  <c r="Z112"/>
  <c r="Z115"/>
  <c r="Z116"/>
  <c r="Z118"/>
  <c r="Z120"/>
  <c r="Z123"/>
  <c r="Z126"/>
  <c r="Z132"/>
  <c r="Z133"/>
  <c r="Z138"/>
  <c r="Z140"/>
  <c r="Z141"/>
  <c r="Z142"/>
  <c r="Z143"/>
  <c r="Z145"/>
  <c r="Z148"/>
  <c r="Z149"/>
  <c r="Z150"/>
  <c r="Z153"/>
  <c r="Z156"/>
  <c r="Z164"/>
  <c r="Z165"/>
  <c r="Z167"/>
  <c r="Z171"/>
  <c r="Z172"/>
  <c r="Z174"/>
  <c r="Z175"/>
  <c r="Z176"/>
  <c r="Z180"/>
  <c r="Z181"/>
  <c r="Z182"/>
  <c r="Z183"/>
  <c r="Z185"/>
  <c r="Z186"/>
  <c r="Z190"/>
  <c r="Z191"/>
  <c r="Z192"/>
  <c r="Z212"/>
  <c r="Z215"/>
  <c r="Z216"/>
  <c r="Z217"/>
  <c r="Z219"/>
  <c r="Z220"/>
  <c r="Z222"/>
  <c r="Z223"/>
  <c r="Z224"/>
  <c r="Z231"/>
  <c r="Z235"/>
  <c r="Z236"/>
  <c r="Z238"/>
  <c r="Z244"/>
  <c r="Z248"/>
  <c r="Z249"/>
  <c r="Z250"/>
  <c r="Z256"/>
  <c r="Z257"/>
  <c r="Z259"/>
  <c r="Z260"/>
  <c r="Z261"/>
  <c r="Z262"/>
  <c r="Z266"/>
  <c r="Z267"/>
  <c r="Z269"/>
  <c r="Z270"/>
  <c r="Z271"/>
  <c r="Z272"/>
  <c r="Z280"/>
  <c r="Z281"/>
  <c r="Z284"/>
  <c r="Z292"/>
  <c r="Z293"/>
  <c r="Z294"/>
  <c r="Z297"/>
  <c r="Z300"/>
  <c r="Z302"/>
  <c r="Z304"/>
  <c r="Z306"/>
  <c r="Z308"/>
  <c r="Z309"/>
  <c r="Z310"/>
  <c r="Z312"/>
  <c r="Z313"/>
  <c r="Z317"/>
  <c r="Z318"/>
  <c r="Z321"/>
  <c r="Z322"/>
  <c r="Z323"/>
  <c r="Z325"/>
  <c r="Z330"/>
  <c r="Z333"/>
  <c r="Z334"/>
  <c r="Z335"/>
  <c r="Z336"/>
  <c r="Z340"/>
  <c r="Z341"/>
  <c r="Z342"/>
  <c r="Z343"/>
  <c r="Z345"/>
  <c r="Z347"/>
  <c r="Z349"/>
  <c r="Z353"/>
  <c r="Z355"/>
  <c r="Z356"/>
  <c r="Z361"/>
  <c r="Z368"/>
  <c r="Z369"/>
  <c r="Z371"/>
  <c r="Z372"/>
  <c r="Z374"/>
  <c r="Z377"/>
  <c r="Z380"/>
  <c r="Z383"/>
  <c r="Z384"/>
  <c r="Z388"/>
  <c r="Z390"/>
  <c r="Z391"/>
  <c r="Z392"/>
  <c r="Z396"/>
  <c r="Z401"/>
  <c r="Z404"/>
  <c r="Z405"/>
  <c r="Z407"/>
  <c r="Z408"/>
  <c r="Z413"/>
  <c r="Z414"/>
  <c r="Z415"/>
  <c r="Z416"/>
  <c r="Z418"/>
  <c r="Z424"/>
  <c r="Z427"/>
  <c r="Z431"/>
  <c r="Z433"/>
  <c r="Z436"/>
  <c r="Z437"/>
  <c r="Z440"/>
  <c r="Z446"/>
  <c r="Z451"/>
  <c r="Z453"/>
  <c r="Z455"/>
  <c r="Z456"/>
  <c r="Z459"/>
  <c r="Z460"/>
  <c r="Z461"/>
  <c r="Z463"/>
  <c r="Z466"/>
  <c r="Z468"/>
  <c r="Z470"/>
  <c r="Z473"/>
  <c r="Z474"/>
  <c r="Z477"/>
  <c r="Z482"/>
  <c r="Z487"/>
  <c r="Z488"/>
  <c r="Z491"/>
  <c r="Z492"/>
  <c r="Z493"/>
  <c r="Z499"/>
  <c r="Z500"/>
  <c r="Z503"/>
  <c r="Z504"/>
  <c r="Z505"/>
  <c r="Z506"/>
  <c r="Z509"/>
  <c r="Z510"/>
  <c r="Z513"/>
  <c r="Z517"/>
  <c r="Z518"/>
  <c r="Z524"/>
  <c r="Z525"/>
  <c r="Z527"/>
  <c r="Z528"/>
  <c r="Z529"/>
  <c r="Z530"/>
  <c r="Z531"/>
  <c r="Z532"/>
  <c r="Z535"/>
  <c r="Z536"/>
  <c r="Z539"/>
  <c r="Z540"/>
  <c r="Z541"/>
  <c r="Z544"/>
  <c r="Z545"/>
  <c r="Z552"/>
  <c r="Z553"/>
  <c r="Z556"/>
  <c r="Z557"/>
  <c r="Z563"/>
  <c r="Z566"/>
  <c r="Z567"/>
  <c r="Z576"/>
  <c r="Z577"/>
  <c r="Z578"/>
  <c r="Z582"/>
  <c r="Z585"/>
  <c r="Z600"/>
  <c r="Z601"/>
  <c r="Z604"/>
  <c r="Z606"/>
  <c r="Z608"/>
  <c r="Z609"/>
  <c r="Z616"/>
  <c r="Z618"/>
  <c r="Z620"/>
  <c r="Z624"/>
  <c r="Z625"/>
  <c r="Z629"/>
  <c r="Z631"/>
  <c r="Z632"/>
  <c r="Z635"/>
  <c r="Z636"/>
  <c r="Z640"/>
  <c r="Z642"/>
  <c r="Z643"/>
  <c r="Z647"/>
  <c r="Z648"/>
  <c r="Z649"/>
  <c r="Z650"/>
  <c r="Z654"/>
  <c r="Z656"/>
  <c r="Z662"/>
  <c r="Z668"/>
  <c r="Z670"/>
  <c r="Z671"/>
  <c r="Z674"/>
  <c r="Z675"/>
  <c r="Z677"/>
  <c r="Z679"/>
  <c r="Z689"/>
  <c r="Z693"/>
  <c r="Z694"/>
  <c r="Z697"/>
  <c r="Z700"/>
  <c r="Z704"/>
  <c r="Z705"/>
  <c r="Z707"/>
  <c r="Z709"/>
  <c r="Z710"/>
  <c r="Z712"/>
  <c r="Z713"/>
  <c r="Z714"/>
  <c r="Z717"/>
  <c r="Z718"/>
  <c r="Z9"/>
  <c r="Z10"/>
  <c r="Z57"/>
  <c r="Z58"/>
  <c r="Z60"/>
  <c r="Z61"/>
  <c r="Z62"/>
  <c r="Z73"/>
  <c r="Z81"/>
  <c r="Z99"/>
  <c r="Z110"/>
  <c r="Z119"/>
  <c r="Z121"/>
  <c r="Z122"/>
  <c r="Z124"/>
  <c r="Z125"/>
  <c r="Z129"/>
  <c r="Z130"/>
  <c r="Z144"/>
  <c r="Z151"/>
  <c r="Z157"/>
  <c r="Z166"/>
  <c r="Z168"/>
  <c r="Z169"/>
  <c r="Z177"/>
  <c r="Z178"/>
  <c r="Z179"/>
  <c r="Z184"/>
  <c r="Z187"/>
  <c r="Z205"/>
  <c r="Z206"/>
  <c r="Z207"/>
  <c r="Z208"/>
  <c r="Z209"/>
  <c r="Z210"/>
  <c r="Z218"/>
  <c r="Z241"/>
  <c r="Z242"/>
  <c r="Z273"/>
  <c r="Z282"/>
  <c r="Z283"/>
  <c r="Z285"/>
  <c r="Z295"/>
  <c r="Z296"/>
  <c r="Z298"/>
  <c r="Z299"/>
  <c r="Z301"/>
  <c r="Z303"/>
  <c r="Z305"/>
  <c r="Z307"/>
  <c r="Z316"/>
  <c r="Z331"/>
  <c r="Z337"/>
  <c r="Z344"/>
  <c r="Z346"/>
  <c r="Z348"/>
  <c r="Z373"/>
  <c r="Z376"/>
  <c r="Z378"/>
  <c r="Z379"/>
  <c r="Z393"/>
  <c r="Z394"/>
  <c r="Z395"/>
  <c r="Z397"/>
  <c r="Z398"/>
  <c r="Z399"/>
  <c r="Z400"/>
  <c r="Z402"/>
  <c r="Z406"/>
  <c r="Z410"/>
  <c r="Z417"/>
  <c r="Z419"/>
  <c r="Z420"/>
  <c r="Z421"/>
  <c r="Z422"/>
  <c r="Z438"/>
  <c r="Z439"/>
  <c r="Z441"/>
  <c r="Z442"/>
  <c r="Z445"/>
  <c r="Z447"/>
  <c r="Z449"/>
  <c r="Z450"/>
  <c r="Z452"/>
  <c r="Z454"/>
  <c r="Z464"/>
  <c r="Z475"/>
  <c r="Z489"/>
  <c r="Z494"/>
  <c r="Z495"/>
  <c r="Z507"/>
  <c r="Z508"/>
  <c r="Z512"/>
  <c r="Z514"/>
  <c r="Z515"/>
  <c r="Z519"/>
  <c r="Z520"/>
  <c r="Z521"/>
  <c r="Z526"/>
  <c r="Z546"/>
  <c r="Z547"/>
  <c r="Z548"/>
  <c r="Z549"/>
  <c r="Z555"/>
  <c r="Z559"/>
  <c r="Z560"/>
  <c r="Z562"/>
  <c r="Z564"/>
  <c r="Z568"/>
  <c r="Z569"/>
  <c r="Z570"/>
  <c r="Z572"/>
  <c r="Z574"/>
  <c r="Z580"/>
  <c r="Z581"/>
  <c r="Z583"/>
  <c r="Z584"/>
  <c r="Z586"/>
  <c r="Z587"/>
  <c r="Z588"/>
  <c r="Z589"/>
  <c r="Z591"/>
  <c r="Z593"/>
  <c r="Z596"/>
  <c r="Z597"/>
  <c r="Z598"/>
  <c r="Z607"/>
  <c r="Z610"/>
  <c r="Z611"/>
  <c r="Z612"/>
  <c r="Z613"/>
  <c r="Z621"/>
  <c r="Z622"/>
  <c r="Z623"/>
  <c r="Z626"/>
  <c r="Z627"/>
  <c r="Z628"/>
  <c r="Z633"/>
  <c r="Z634"/>
  <c r="Z637"/>
  <c r="Z638"/>
  <c r="Z639"/>
  <c r="Z641"/>
  <c r="Z644"/>
  <c r="Z646"/>
  <c r="Z655"/>
  <c r="Z664"/>
  <c r="Z665"/>
  <c r="Z683"/>
  <c r="Z688"/>
  <c r="Z690"/>
  <c r="Z695"/>
  <c r="Z698"/>
  <c r="Z708"/>
  <c r="Z13"/>
  <c r="Z34"/>
  <c r="Z88"/>
  <c r="Z109"/>
  <c r="Z127"/>
  <c r="Z128"/>
  <c r="Z131"/>
  <c r="Z135"/>
  <c r="Z211"/>
  <c r="Z243"/>
  <c r="Z409"/>
  <c r="Z411"/>
  <c r="Z412"/>
  <c r="Z428"/>
  <c r="Z448"/>
  <c r="Z457"/>
  <c r="Z486"/>
  <c r="Z496"/>
  <c r="Z511"/>
  <c r="Z516"/>
  <c r="Z554"/>
  <c r="Z558"/>
  <c r="Z561"/>
  <c r="Z571"/>
  <c r="Z579"/>
  <c r="Z590"/>
  <c r="Z619"/>
  <c r="Z630"/>
  <c r="Z645"/>
  <c r="Z663"/>
  <c r="Z711"/>
  <c r="Z89"/>
  <c r="Z170"/>
  <c r="Z476"/>
  <c r="Z542"/>
  <c r="Z592"/>
  <c r="Z543"/>
  <c r="Z1"/>
  <c r="Y1"/>
  <c r="Y2"/>
  <c r="Y3"/>
  <c r="Y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537"/>
  <c r="Y538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73"/>
  <c r="Y574"/>
  <c r="Y575"/>
  <c r="Y576"/>
  <c r="Y577"/>
  <c r="Y578"/>
  <c r="Y579"/>
  <c r="Y580"/>
  <c r="Y581"/>
  <c r="Y582"/>
  <c r="Y583"/>
  <c r="Y584"/>
  <c r="Y585"/>
  <c r="Y586"/>
  <c r="Y587"/>
  <c r="Y588"/>
  <c r="Y589"/>
  <c r="Y590"/>
  <c r="Y591"/>
  <c r="Y592"/>
  <c r="Y593"/>
  <c r="Y594"/>
  <c r="Y595"/>
  <c r="Y596"/>
  <c r="Y597"/>
  <c r="Y598"/>
  <c r="Y599"/>
  <c r="Y600"/>
  <c r="Y601"/>
  <c r="Y602"/>
  <c r="Y603"/>
  <c r="Y604"/>
  <c r="Y605"/>
  <c r="Y606"/>
  <c r="Y607"/>
  <c r="Y608"/>
  <c r="Y609"/>
  <c r="Y610"/>
  <c r="Y611"/>
  <c r="Y612"/>
  <c r="Y613"/>
  <c r="Y614"/>
  <c r="Y615"/>
  <c r="Y616"/>
  <c r="Y617"/>
  <c r="Y618"/>
  <c r="Y619"/>
  <c r="Y620"/>
  <c r="Y621"/>
  <c r="Y622"/>
  <c r="Y623"/>
  <c r="Y624"/>
  <c r="Y625"/>
  <c r="Y626"/>
  <c r="Y627"/>
  <c r="Y628"/>
  <c r="Y629"/>
  <c r="Y630"/>
  <c r="Y631"/>
  <c r="Y632"/>
  <c r="Y633"/>
  <c r="Y634"/>
  <c r="Y635"/>
  <c r="Y636"/>
  <c r="Y637"/>
  <c r="Y638"/>
  <c r="Y639"/>
  <c r="Y640"/>
  <c r="Y641"/>
  <c r="Y642"/>
  <c r="Y643"/>
  <c r="Y644"/>
  <c r="Y645"/>
  <c r="Y646"/>
  <c r="Y647"/>
  <c r="Y648"/>
  <c r="Y649"/>
  <c r="Y650"/>
  <c r="Y651"/>
  <c r="Y652"/>
  <c r="Y653"/>
  <c r="Y654"/>
  <c r="Y655"/>
  <c r="Y656"/>
  <c r="Y657"/>
  <c r="Y658"/>
  <c r="Y659"/>
  <c r="Y660"/>
  <c r="Y661"/>
  <c r="Y662"/>
  <c r="Y663"/>
  <c r="Y664"/>
  <c r="Y665"/>
  <c r="Y666"/>
  <c r="Y667"/>
  <c r="Y668"/>
  <c r="Y669"/>
  <c r="Y670"/>
  <c r="Y671"/>
  <c r="Y672"/>
  <c r="Y673"/>
  <c r="Y674"/>
  <c r="Y675"/>
  <c r="Y676"/>
  <c r="Y677"/>
  <c r="Y678"/>
  <c r="Y679"/>
  <c r="Y680"/>
  <c r="Y681"/>
  <c r="Y682"/>
  <c r="Y683"/>
  <c r="Y684"/>
  <c r="Y685"/>
  <c r="Y686"/>
  <c r="Y687"/>
  <c r="Y688"/>
  <c r="Y689"/>
  <c r="Y690"/>
  <c r="Y691"/>
  <c r="Y692"/>
  <c r="Y693"/>
  <c r="Y694"/>
  <c r="Y695"/>
  <c r="Y696"/>
  <c r="Y697"/>
  <c r="Y698"/>
  <c r="Y699"/>
  <c r="Y700"/>
  <c r="Y701"/>
  <c r="Y702"/>
  <c r="Y703"/>
  <c r="Y704"/>
  <c r="Y705"/>
  <c r="Y706"/>
  <c r="Y707"/>
  <c r="Y708"/>
  <c r="Y709"/>
  <c r="Y710"/>
  <c r="Y711"/>
  <c r="Y712"/>
  <c r="Y713"/>
  <c r="Y714"/>
  <c r="Y715"/>
  <c r="Y716"/>
  <c r="Y717"/>
  <c r="Y718"/>
  <c r="Y719"/>
  <c r="N8" i="3"/>
  <c r="N7"/>
  <c r="N6"/>
  <c r="N5"/>
  <c r="N3"/>
  <c r="N4"/>
  <c r="E2" i="1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1"/>
  <c r="C327"/>
  <c r="D327"/>
  <c r="C328"/>
  <c r="D328"/>
  <c r="C329"/>
  <c r="D329"/>
  <c r="C330"/>
  <c r="D330"/>
  <c r="C331"/>
  <c r="D331"/>
  <c r="C332"/>
  <c r="D332"/>
  <c r="C333"/>
  <c r="D333"/>
  <c r="C334"/>
  <c r="D334"/>
  <c r="C335"/>
  <c r="D335"/>
  <c r="C336"/>
  <c r="D336"/>
  <c r="C337"/>
  <c r="D337"/>
  <c r="C338"/>
  <c r="D338"/>
  <c r="C339"/>
  <c r="D339"/>
  <c r="C340"/>
  <c r="D340"/>
  <c r="C341"/>
  <c r="D341"/>
  <c r="C342"/>
  <c r="D342"/>
  <c r="C343"/>
  <c r="D343"/>
  <c r="C344"/>
  <c r="D344"/>
  <c r="C345"/>
  <c r="D345"/>
  <c r="C346"/>
  <c r="D346"/>
  <c r="C347"/>
  <c r="D347"/>
  <c r="C348"/>
  <c r="D348"/>
  <c r="C349"/>
  <c r="D349"/>
  <c r="C350"/>
  <c r="D350"/>
  <c r="C351"/>
  <c r="D351"/>
  <c r="C352"/>
  <c r="D352"/>
  <c r="C353"/>
  <c r="D353"/>
  <c r="C354"/>
  <c r="D354"/>
  <c r="C355"/>
  <c r="D355"/>
  <c r="C356"/>
  <c r="D356"/>
  <c r="C357"/>
  <c r="D357"/>
  <c r="C358"/>
  <c r="D358"/>
  <c r="C359"/>
  <c r="D359"/>
  <c r="C360"/>
  <c r="D360"/>
  <c r="C361"/>
  <c r="D361"/>
  <c r="C362"/>
  <c r="D362"/>
  <c r="C363"/>
  <c r="D363"/>
  <c r="C364"/>
  <c r="D364"/>
  <c r="C365"/>
  <c r="D365"/>
  <c r="C366"/>
  <c r="D366"/>
  <c r="C367"/>
  <c r="D367"/>
  <c r="C368"/>
  <c r="D368"/>
  <c r="C369"/>
  <c r="D369"/>
  <c r="C370"/>
  <c r="D370"/>
  <c r="C371"/>
  <c r="D371"/>
  <c r="C372"/>
  <c r="D372"/>
  <c r="C373"/>
  <c r="D373"/>
  <c r="C374"/>
  <c r="D374"/>
  <c r="C375"/>
  <c r="D375"/>
  <c r="C376"/>
  <c r="D376"/>
  <c r="C377"/>
  <c r="D377"/>
  <c r="C378"/>
  <c r="D378"/>
  <c r="C379"/>
  <c r="D379"/>
  <c r="C380"/>
  <c r="D380"/>
  <c r="C381"/>
  <c r="D381"/>
  <c r="C382"/>
  <c r="D382"/>
  <c r="C383"/>
  <c r="D383"/>
  <c r="C384"/>
  <c r="D384"/>
  <c r="C385"/>
  <c r="D385"/>
  <c r="C386"/>
  <c r="D386"/>
  <c r="C387"/>
  <c r="D387"/>
  <c r="C388"/>
  <c r="D388"/>
  <c r="C389"/>
  <c r="D389"/>
  <c r="C390"/>
  <c r="D390"/>
  <c r="U3" i="2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2"/>
  <c r="K136"/>
  <c r="K52"/>
  <c r="K53"/>
  <c r="K283"/>
  <c r="K284"/>
  <c r="K17"/>
  <c r="K54"/>
  <c r="K55"/>
  <c r="K2"/>
  <c r="K285"/>
  <c r="K286"/>
  <c r="K56"/>
  <c r="K287"/>
  <c r="K288"/>
  <c r="K57"/>
  <c r="K137"/>
  <c r="K18"/>
  <c r="K58"/>
  <c r="K289"/>
  <c r="K19"/>
  <c r="K290"/>
  <c r="K20"/>
  <c r="K350"/>
  <c r="K291"/>
  <c r="K351"/>
  <c r="K138"/>
  <c r="K352"/>
  <c r="K292"/>
  <c r="K21"/>
  <c r="K59"/>
  <c r="K139"/>
  <c r="K22"/>
  <c r="K3"/>
  <c r="K293"/>
  <c r="K60"/>
  <c r="K140"/>
  <c r="K141"/>
  <c r="K142"/>
  <c r="K143"/>
  <c r="K294"/>
  <c r="K61"/>
  <c r="K62"/>
  <c r="K295"/>
  <c r="K353"/>
  <c r="K144"/>
  <c r="K296"/>
  <c r="K23"/>
  <c r="K297"/>
  <c r="K145"/>
  <c r="K63"/>
  <c r="K64"/>
  <c r="K24"/>
  <c r="K4"/>
  <c r="K25"/>
  <c r="K146"/>
  <c r="K65"/>
  <c r="K66"/>
  <c r="K67"/>
  <c r="K147"/>
  <c r="K68"/>
  <c r="K148"/>
  <c r="K26"/>
  <c r="K69"/>
  <c r="K27"/>
  <c r="K70"/>
  <c r="K298"/>
  <c r="K149"/>
  <c r="K299"/>
  <c r="K28"/>
  <c r="K150"/>
  <c r="K5"/>
  <c r="K354"/>
  <c r="K151"/>
  <c r="K152"/>
  <c r="K153"/>
  <c r="K154"/>
  <c r="K71"/>
  <c r="K29"/>
  <c r="K155"/>
  <c r="K72"/>
  <c r="K156"/>
  <c r="K300"/>
  <c r="K30"/>
  <c r="K31"/>
  <c r="K157"/>
  <c r="K158"/>
  <c r="K73"/>
  <c r="K301"/>
  <c r="K159"/>
  <c r="K160"/>
  <c r="K161"/>
  <c r="K302"/>
  <c r="K162"/>
  <c r="K303"/>
  <c r="K74"/>
  <c r="K32"/>
  <c r="K163"/>
  <c r="K164"/>
  <c r="K33"/>
  <c r="K165"/>
  <c r="K75"/>
  <c r="K166"/>
  <c r="K34"/>
  <c r="K167"/>
  <c r="K168"/>
  <c r="K304"/>
  <c r="K76"/>
  <c r="K169"/>
  <c r="K170"/>
  <c r="K171"/>
  <c r="K172"/>
  <c r="K173"/>
  <c r="K174"/>
  <c r="K305"/>
  <c r="K175"/>
  <c r="K176"/>
  <c r="K355"/>
  <c r="K177"/>
  <c r="K77"/>
  <c r="K78"/>
  <c r="K35"/>
  <c r="K79"/>
  <c r="K306"/>
  <c r="K178"/>
  <c r="K179"/>
  <c r="K36"/>
  <c r="K180"/>
  <c r="K307"/>
  <c r="K181"/>
  <c r="K356"/>
  <c r="K182"/>
  <c r="K183"/>
  <c r="K184"/>
  <c r="K308"/>
  <c r="K185"/>
  <c r="K186"/>
  <c r="K309"/>
  <c r="K310"/>
  <c r="K187"/>
  <c r="K188"/>
  <c r="K311"/>
  <c r="K189"/>
  <c r="K80"/>
  <c r="K312"/>
  <c r="K190"/>
  <c r="K357"/>
  <c r="K358"/>
  <c r="K359"/>
  <c r="K360"/>
  <c r="K191"/>
  <c r="K192"/>
  <c r="K193"/>
  <c r="K194"/>
  <c r="K195"/>
  <c r="K196"/>
  <c r="K81"/>
  <c r="K197"/>
  <c r="K198"/>
  <c r="K313"/>
  <c r="K199"/>
  <c r="K82"/>
  <c r="K83"/>
  <c r="K200"/>
  <c r="K201"/>
  <c r="K314"/>
  <c r="K37"/>
  <c r="K202"/>
  <c r="K84"/>
  <c r="K203"/>
  <c r="K204"/>
  <c r="K205"/>
  <c r="K38"/>
  <c r="K206"/>
  <c r="K207"/>
  <c r="K208"/>
  <c r="K315"/>
  <c r="K209"/>
  <c r="K316"/>
  <c r="K210"/>
  <c r="K211"/>
  <c r="K317"/>
  <c r="K212"/>
  <c r="K318"/>
  <c r="K361"/>
  <c r="K213"/>
  <c r="K85"/>
  <c r="K214"/>
  <c r="K215"/>
  <c r="K86"/>
  <c r="K216"/>
  <c r="K217"/>
  <c r="K218"/>
  <c r="K219"/>
  <c r="K87"/>
  <c r="K220"/>
  <c r="K362"/>
  <c r="K221"/>
  <c r="K222"/>
  <c r="K223"/>
  <c r="K88"/>
  <c r="K319"/>
  <c r="K224"/>
  <c r="K89"/>
  <c r="K363"/>
  <c r="K90"/>
  <c r="K225"/>
  <c r="K6"/>
  <c r="K320"/>
  <c r="K39"/>
  <c r="K364"/>
  <c r="K321"/>
  <c r="K91"/>
  <c r="K365"/>
  <c r="K322"/>
  <c r="K366"/>
  <c r="K226"/>
  <c r="K323"/>
  <c r="K227"/>
  <c r="K228"/>
  <c r="K367"/>
  <c r="K92"/>
  <c r="K93"/>
  <c r="K324"/>
  <c r="K325"/>
  <c r="K229"/>
  <c r="K326"/>
  <c r="K94"/>
  <c r="K230"/>
  <c r="K231"/>
  <c r="K40"/>
  <c r="K7"/>
  <c r="K41"/>
  <c r="K95"/>
  <c r="K96"/>
  <c r="K232"/>
  <c r="K97"/>
  <c r="K233"/>
  <c r="K98"/>
  <c r="K99"/>
  <c r="K8"/>
  <c r="K42"/>
  <c r="K9"/>
  <c r="K327"/>
  <c r="K100"/>
  <c r="K234"/>
  <c r="K101"/>
  <c r="K235"/>
  <c r="K43"/>
  <c r="K328"/>
  <c r="K236"/>
  <c r="K102"/>
  <c r="K237"/>
  <c r="K238"/>
  <c r="K329"/>
  <c r="K239"/>
  <c r="K330"/>
  <c r="K44"/>
  <c r="K45"/>
  <c r="K10"/>
  <c r="K331"/>
  <c r="K240"/>
  <c r="K103"/>
  <c r="K332"/>
  <c r="K11"/>
  <c r="K104"/>
  <c r="K333"/>
  <c r="K105"/>
  <c r="K46"/>
  <c r="K241"/>
  <c r="K242"/>
  <c r="K47"/>
  <c r="K106"/>
  <c r="K334"/>
  <c r="K243"/>
  <c r="K107"/>
  <c r="K368"/>
  <c r="K244"/>
  <c r="K245"/>
  <c r="K108"/>
  <c r="K109"/>
  <c r="K12"/>
  <c r="K110"/>
  <c r="K111"/>
  <c r="K112"/>
  <c r="K246"/>
  <c r="K247"/>
  <c r="K113"/>
  <c r="K248"/>
  <c r="K114"/>
  <c r="K48"/>
  <c r="K115"/>
  <c r="K249"/>
  <c r="K13"/>
  <c r="K250"/>
  <c r="K49"/>
  <c r="K116"/>
  <c r="K251"/>
  <c r="K252"/>
  <c r="K253"/>
  <c r="K335"/>
  <c r="K254"/>
  <c r="K255"/>
  <c r="K256"/>
  <c r="K336"/>
  <c r="K117"/>
  <c r="K257"/>
  <c r="K258"/>
  <c r="K118"/>
  <c r="K119"/>
  <c r="K259"/>
  <c r="K120"/>
  <c r="K121"/>
  <c r="K260"/>
  <c r="K122"/>
  <c r="K50"/>
  <c r="K14"/>
  <c r="K123"/>
  <c r="K15"/>
  <c r="K261"/>
  <c r="K369"/>
  <c r="K262"/>
  <c r="K337"/>
  <c r="K338"/>
  <c r="K51"/>
  <c r="K263"/>
  <c r="K339"/>
  <c r="K264"/>
  <c r="K340"/>
  <c r="K124"/>
  <c r="K265"/>
  <c r="K125"/>
  <c r="K370"/>
  <c r="K371"/>
  <c r="K341"/>
  <c r="K266"/>
  <c r="K267"/>
  <c r="K268"/>
  <c r="K269"/>
  <c r="K342"/>
  <c r="K343"/>
  <c r="K126"/>
  <c r="K127"/>
  <c r="K344"/>
  <c r="K372"/>
  <c r="K270"/>
  <c r="K271"/>
  <c r="K272"/>
  <c r="K273"/>
  <c r="K274"/>
  <c r="K275"/>
  <c r="K276"/>
  <c r="K128"/>
  <c r="K16"/>
  <c r="K129"/>
  <c r="K130"/>
  <c r="K131"/>
  <c r="K345"/>
  <c r="K132"/>
  <c r="K346"/>
  <c r="K277"/>
  <c r="K278"/>
  <c r="K279"/>
  <c r="K280"/>
  <c r="K133"/>
  <c r="K134"/>
  <c r="K281"/>
  <c r="K347"/>
  <c r="K348"/>
  <c r="K349"/>
  <c r="K135"/>
  <c r="K282"/>
  <c r="D2" i="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1"/>
  <c r="C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1"/>
  <c r="I3"/>
  <c r="I7"/>
  <c r="I8"/>
  <c r="I11"/>
  <c r="I13"/>
  <c r="I14"/>
  <c r="I15"/>
  <c r="I16"/>
  <c r="I17"/>
  <c r="I23"/>
  <c r="I24"/>
  <c r="I28"/>
  <c r="I33"/>
  <c r="I34"/>
  <c r="I37"/>
  <c r="I38"/>
  <c r="I39"/>
  <c r="I48"/>
  <c r="I49"/>
  <c r="I50"/>
  <c r="I51"/>
  <c r="I52"/>
  <c r="I53"/>
  <c r="I54"/>
  <c r="I55"/>
  <c r="I57"/>
  <c r="I59"/>
  <c r="I60"/>
  <c r="I61"/>
  <c r="I62"/>
  <c r="I64"/>
  <c r="I70"/>
  <c r="I73"/>
  <c r="I75"/>
  <c r="I76"/>
  <c r="I77"/>
  <c r="I78"/>
  <c r="I79"/>
  <c r="I82"/>
  <c r="I91"/>
  <c r="I93"/>
  <c r="I96"/>
  <c r="I98"/>
  <c r="I101"/>
  <c r="I102"/>
  <c r="I107"/>
  <c r="I108"/>
  <c r="I111"/>
  <c r="I115"/>
  <c r="I116"/>
  <c r="I118"/>
  <c r="I120"/>
  <c r="I163"/>
  <c r="I164"/>
  <c r="I166"/>
  <c r="I167"/>
  <c r="I171"/>
  <c r="I173"/>
  <c r="I174"/>
  <c r="I175"/>
  <c r="I177"/>
  <c r="I179"/>
  <c r="I181"/>
  <c r="I182"/>
  <c r="I188"/>
  <c r="I189"/>
  <c r="I190"/>
  <c r="I191"/>
  <c r="I192"/>
  <c r="I194"/>
  <c r="I196"/>
  <c r="I197"/>
  <c r="I198"/>
  <c r="I206"/>
  <c r="I207"/>
  <c r="I208"/>
  <c r="I209"/>
  <c r="I211"/>
  <c r="I213"/>
  <c r="I217"/>
  <c r="I219"/>
  <c r="I221"/>
  <c r="I222"/>
  <c r="I223"/>
  <c r="I225"/>
  <c r="I229"/>
  <c r="I230"/>
  <c r="I231"/>
  <c r="I233"/>
  <c r="I234"/>
  <c r="I235"/>
  <c r="I245"/>
  <c r="I247"/>
  <c r="I248"/>
  <c r="I249"/>
  <c r="I259"/>
  <c r="I264"/>
  <c r="I266"/>
  <c r="I268"/>
  <c r="I271"/>
  <c r="I281"/>
  <c r="I282"/>
  <c r="I283"/>
  <c r="I286"/>
  <c r="I287"/>
  <c r="I289"/>
  <c r="I290"/>
  <c r="I291"/>
  <c r="I293"/>
  <c r="I298"/>
  <c r="I299"/>
  <c r="I300"/>
  <c r="I306"/>
  <c r="I307"/>
  <c r="I308"/>
  <c r="I313"/>
  <c r="I314"/>
  <c r="I315"/>
  <c r="I317"/>
  <c r="I343"/>
  <c r="I344"/>
  <c r="I345"/>
  <c r="I346"/>
  <c r="I347"/>
  <c r="I348"/>
  <c r="I351"/>
  <c r="I352"/>
  <c r="I353"/>
  <c r="I354"/>
  <c r="I363"/>
  <c r="I364"/>
  <c r="I366"/>
  <c r="I370"/>
  <c r="I374"/>
  <c r="I375"/>
  <c r="I376"/>
  <c r="I378"/>
  <c r="I380"/>
  <c r="I382"/>
  <c r="I384"/>
  <c r="I394"/>
  <c r="I396"/>
  <c r="I399"/>
  <c r="I400"/>
  <c r="I401"/>
  <c r="I406"/>
  <c r="I407"/>
  <c r="I411"/>
  <c r="I415"/>
  <c r="I417"/>
  <c r="I418"/>
  <c r="I420"/>
  <c r="I424"/>
  <c r="I425"/>
  <c r="I441"/>
  <c r="I445"/>
  <c r="I447"/>
  <c r="I448"/>
  <c r="I449"/>
  <c r="I451"/>
  <c r="I452"/>
  <c r="I453"/>
  <c r="I454"/>
  <c r="I458"/>
  <c r="I459"/>
  <c r="I469"/>
  <c r="I470"/>
  <c r="I472"/>
  <c r="I473"/>
  <c r="I474"/>
  <c r="I475"/>
  <c r="I482"/>
  <c r="I483"/>
  <c r="I487"/>
  <c r="I490"/>
  <c r="I501"/>
  <c r="I503"/>
  <c r="I557"/>
  <c r="I558"/>
  <c r="I560"/>
  <c r="I561"/>
  <c r="I562"/>
  <c r="I566"/>
  <c r="I567"/>
  <c r="I569"/>
  <c r="I570"/>
  <c r="I576"/>
  <c r="I580"/>
  <c r="I584"/>
  <c r="I586"/>
  <c r="I588"/>
  <c r="I593"/>
  <c r="I597"/>
  <c r="I598"/>
  <c r="I601"/>
  <c r="I602"/>
  <c r="I603"/>
  <c r="I604"/>
  <c r="I609"/>
  <c r="I611"/>
  <c r="I612"/>
  <c r="I613"/>
  <c r="I616"/>
  <c r="I617"/>
  <c r="I618"/>
  <c r="I619"/>
  <c r="I2"/>
  <c r="I4"/>
  <c r="I6"/>
  <c r="I9"/>
  <c r="I12"/>
  <c r="I18"/>
  <c r="I19"/>
  <c r="I20"/>
  <c r="I22"/>
  <c r="I25"/>
  <c r="I26"/>
  <c r="I27"/>
  <c r="I29"/>
  <c r="I31"/>
  <c r="I32"/>
  <c r="I35"/>
  <c r="I36"/>
  <c r="I40"/>
  <c r="I41"/>
  <c r="I42"/>
  <c r="I44"/>
  <c r="I56"/>
  <c r="I58"/>
  <c r="I63"/>
  <c r="I65"/>
  <c r="I66"/>
  <c r="I67"/>
  <c r="I69"/>
  <c r="I72"/>
  <c r="I74"/>
  <c r="I80"/>
  <c r="I81"/>
  <c r="I84"/>
  <c r="I85"/>
  <c r="I87"/>
  <c r="I94"/>
  <c r="I95"/>
  <c r="I99"/>
  <c r="I103"/>
  <c r="I109"/>
  <c r="I110"/>
  <c r="I112"/>
  <c r="I113"/>
  <c r="I114"/>
  <c r="I117"/>
  <c r="I119"/>
  <c r="I121"/>
  <c r="I122"/>
  <c r="I123"/>
  <c r="I124"/>
  <c r="I125"/>
  <c r="I126"/>
  <c r="I127"/>
  <c r="I129"/>
  <c r="I130"/>
  <c r="I131"/>
  <c r="I132"/>
  <c r="I133"/>
  <c r="I134"/>
  <c r="I135"/>
  <c r="I136"/>
  <c r="I137"/>
  <c r="I141"/>
  <c r="I142"/>
  <c r="I143"/>
  <c r="I144"/>
  <c r="I145"/>
  <c r="I146"/>
  <c r="I147"/>
  <c r="I148"/>
  <c r="I149"/>
  <c r="I150"/>
  <c r="I154"/>
  <c r="I155"/>
  <c r="I158"/>
  <c r="I159"/>
  <c r="I160"/>
  <c r="I161"/>
  <c r="I162"/>
  <c r="I165"/>
  <c r="I168"/>
  <c r="I169"/>
  <c r="I170"/>
  <c r="I172"/>
  <c r="I176"/>
  <c r="I178"/>
  <c r="I180"/>
  <c r="I183"/>
  <c r="I184"/>
  <c r="I185"/>
  <c r="I195"/>
  <c r="I199"/>
  <c r="I200"/>
  <c r="I201"/>
  <c r="I203"/>
  <c r="I204"/>
  <c r="I205"/>
  <c r="I210"/>
  <c r="I212"/>
  <c r="I214"/>
  <c r="I218"/>
  <c r="I220"/>
  <c r="I224"/>
  <c r="I226"/>
  <c r="I227"/>
  <c r="I228"/>
  <c r="I232"/>
  <c r="I236"/>
  <c r="I237"/>
  <c r="I239"/>
  <c r="I241"/>
  <c r="I242"/>
  <c r="I246"/>
  <c r="I250"/>
  <c r="I251"/>
  <c r="I255"/>
  <c r="I256"/>
  <c r="I257"/>
  <c r="I258"/>
  <c r="I260"/>
  <c r="I261"/>
  <c r="I262"/>
  <c r="I263"/>
  <c r="I265"/>
  <c r="I267"/>
  <c r="I269"/>
  <c r="I270"/>
  <c r="I272"/>
  <c r="I273"/>
  <c r="I274"/>
  <c r="I276"/>
  <c r="I277"/>
  <c r="I278"/>
  <c r="I285"/>
  <c r="I288"/>
  <c r="I292"/>
  <c r="I294"/>
  <c r="I295"/>
  <c r="I297"/>
  <c r="I301"/>
  <c r="I302"/>
  <c r="I620"/>
  <c r="I303"/>
  <c r="I310"/>
  <c r="I311"/>
  <c r="I312"/>
  <c r="I316"/>
  <c r="I318"/>
  <c r="I319"/>
  <c r="I321"/>
  <c r="I323"/>
  <c r="I330"/>
  <c r="I331"/>
  <c r="I332"/>
  <c r="I333"/>
  <c r="I334"/>
  <c r="I336"/>
  <c r="I337"/>
  <c r="I349"/>
  <c r="I350"/>
  <c r="I355"/>
  <c r="I356"/>
  <c r="I357"/>
  <c r="I360"/>
  <c r="I361"/>
  <c r="I367"/>
  <c r="I368"/>
  <c r="I369"/>
  <c r="I371"/>
  <c r="I372"/>
  <c r="I377"/>
  <c r="I379"/>
  <c r="I381"/>
  <c r="I383"/>
  <c r="I385"/>
  <c r="I386"/>
  <c r="I387"/>
  <c r="I388"/>
  <c r="I389"/>
  <c r="I390"/>
  <c r="I393"/>
  <c r="I397"/>
  <c r="I398"/>
  <c r="I402"/>
  <c r="I404"/>
  <c r="I405"/>
  <c r="I408"/>
  <c r="I409"/>
  <c r="I410"/>
  <c r="I412"/>
  <c r="I413"/>
  <c r="I414"/>
  <c r="I419"/>
  <c r="I421"/>
  <c r="I422"/>
  <c r="I426"/>
  <c r="I427"/>
  <c r="I428"/>
  <c r="I429"/>
  <c r="I431"/>
  <c r="I433"/>
  <c r="I434"/>
  <c r="I435"/>
  <c r="I436"/>
  <c r="I439"/>
  <c r="I440"/>
  <c r="I442"/>
  <c r="I443"/>
  <c r="I444"/>
  <c r="I446"/>
  <c r="I450"/>
  <c r="I455"/>
  <c r="I456"/>
  <c r="I457"/>
  <c r="I460"/>
  <c r="I461"/>
  <c r="I463"/>
  <c r="I465"/>
  <c r="I466"/>
  <c r="I468"/>
  <c r="I471"/>
  <c r="I476"/>
  <c r="I477"/>
  <c r="I481"/>
  <c r="I485"/>
  <c r="I486"/>
  <c r="I488"/>
  <c r="I489"/>
  <c r="I491"/>
  <c r="I492"/>
  <c r="I496"/>
  <c r="I497"/>
  <c r="I498"/>
  <c r="I500"/>
  <c r="I504"/>
  <c r="I507"/>
  <c r="I515"/>
  <c r="I516"/>
  <c r="I518"/>
  <c r="I527"/>
  <c r="I530"/>
  <c r="I533"/>
  <c r="I534"/>
  <c r="I538"/>
  <c r="I541"/>
  <c r="I542"/>
  <c r="I543"/>
  <c r="I544"/>
  <c r="I545"/>
  <c r="I546"/>
  <c r="I547"/>
  <c r="I548"/>
  <c r="I550"/>
  <c r="I551"/>
  <c r="I552"/>
  <c r="I553"/>
  <c r="I554"/>
  <c r="I555"/>
  <c r="I559"/>
  <c r="I563"/>
  <c r="I568"/>
  <c r="I571"/>
  <c r="I572"/>
  <c r="I573"/>
  <c r="I574"/>
  <c r="I575"/>
  <c r="I577"/>
  <c r="I578"/>
  <c r="I579"/>
  <c r="I581"/>
  <c r="I582"/>
  <c r="I583"/>
  <c r="I589"/>
  <c r="I590"/>
  <c r="I591"/>
  <c r="I592"/>
  <c r="I594"/>
  <c r="I596"/>
  <c r="I599"/>
  <c r="I605"/>
  <c r="I606"/>
  <c r="I608"/>
  <c r="I614"/>
  <c r="I615"/>
  <c r="I5"/>
  <c r="I10"/>
  <c r="I30"/>
  <c r="I43"/>
  <c r="I45"/>
  <c r="I46"/>
  <c r="I71"/>
  <c r="I86"/>
  <c r="I88"/>
  <c r="I90"/>
  <c r="I92"/>
  <c r="I100"/>
  <c r="I105"/>
  <c r="I106"/>
  <c r="I128"/>
  <c r="I138"/>
  <c r="I139"/>
  <c r="I151"/>
  <c r="I152"/>
  <c r="I153"/>
  <c r="I156"/>
  <c r="I186"/>
  <c r="I187"/>
  <c r="I193"/>
  <c r="I202"/>
  <c r="I215"/>
  <c r="I216"/>
  <c r="I238"/>
  <c r="I240"/>
  <c r="I243"/>
  <c r="I244"/>
  <c r="I252"/>
  <c r="I253"/>
  <c r="I254"/>
  <c r="I275"/>
  <c r="I279"/>
  <c r="I280"/>
  <c r="I284"/>
  <c r="I304"/>
  <c r="I309"/>
  <c r="I320"/>
  <c r="I322"/>
  <c r="I324"/>
  <c r="I325"/>
  <c r="I327"/>
  <c r="I328"/>
  <c r="I335"/>
  <c r="I338"/>
  <c r="I340"/>
  <c r="I341"/>
  <c r="I342"/>
  <c r="I358"/>
  <c r="I359"/>
  <c r="I362"/>
  <c r="I365"/>
  <c r="I373"/>
  <c r="I391"/>
  <c r="I392"/>
  <c r="I395"/>
  <c r="I403"/>
  <c r="I416"/>
  <c r="I423"/>
  <c r="I430"/>
  <c r="I432"/>
  <c r="I437"/>
  <c r="I464"/>
  <c r="I467"/>
  <c r="I478"/>
  <c r="I479"/>
  <c r="I480"/>
  <c r="I484"/>
  <c r="I493"/>
  <c r="I494"/>
  <c r="I495"/>
  <c r="I499"/>
  <c r="I502"/>
  <c r="I505"/>
  <c r="I506"/>
  <c r="I508"/>
  <c r="I509"/>
  <c r="I511"/>
  <c r="I512"/>
  <c r="I513"/>
  <c r="I514"/>
  <c r="I517"/>
  <c r="I519"/>
  <c r="I520"/>
  <c r="I521"/>
  <c r="I523"/>
  <c r="I524"/>
  <c r="I525"/>
  <c r="I526"/>
  <c r="I528"/>
  <c r="I529"/>
  <c r="I531"/>
  <c r="I532"/>
  <c r="I535"/>
  <c r="I536"/>
  <c r="I537"/>
  <c r="I539"/>
  <c r="I540"/>
  <c r="I549"/>
  <c r="I556"/>
  <c r="I564"/>
  <c r="I585"/>
  <c r="I587"/>
  <c r="I595"/>
  <c r="I600"/>
  <c r="I607"/>
  <c r="I610"/>
  <c r="I21"/>
  <c r="I47"/>
  <c r="I68"/>
  <c r="I83"/>
  <c r="I89"/>
  <c r="I97"/>
  <c r="I104"/>
  <c r="I140"/>
  <c r="I157"/>
  <c r="I296"/>
  <c r="I305"/>
  <c r="I326"/>
  <c r="I329"/>
  <c r="I339"/>
  <c r="I438"/>
  <c r="I462"/>
  <c r="I510"/>
  <c r="I522"/>
  <c r="I565"/>
  <c r="I1"/>
</calcChain>
</file>

<file path=xl/sharedStrings.xml><?xml version="1.0" encoding="utf-8"?>
<sst xmlns="http://schemas.openxmlformats.org/spreadsheetml/2006/main" count="7045" uniqueCount="2069">
  <si>
    <t>ab</t>
  </si>
  <si>
    <t>about</t>
  </si>
  <si>
    <t>ac</t>
  </si>
  <si>
    <t>access</t>
  </si>
  <si>
    <t>account</t>
  </si>
  <si>
    <t>act</t>
  </si>
  <si>
    <t>ad</t>
  </si>
  <si>
    <t>add</t>
  </si>
  <si>
    <t>address</t>
  </si>
  <si>
    <t>after</t>
  </si>
  <si>
    <t>ag</t>
  </si>
  <si>
    <t>age</t>
  </si>
  <si>
    <t>ai</t>
  </si>
  <si>
    <t>al</t>
  </si>
  <si>
    <t>all</t>
  </si>
  <si>
    <t>also</t>
  </si>
  <si>
    <t>am</t>
  </si>
  <si>
    <t>ame</t>
  </si>
  <si>
    <t>an</t>
  </si>
  <si>
    <t>and</t>
  </si>
  <si>
    <t>another</t>
  </si>
  <si>
    <t>any</t>
  </si>
  <si>
    <t>ap</t>
  </si>
  <si>
    <t>ar</t>
  </si>
  <si>
    <t>are</t>
  </si>
  <si>
    <t>area</t>
  </si>
  <si>
    <t>art</t>
  </si>
  <si>
    <t>as</t>
  </si>
  <si>
    <t>at</t>
  </si>
  <si>
    <t>ate</t>
  </si>
  <si>
    <t>ati</t>
  </si>
  <si>
    <t>atio</t>
  </si>
  <si>
    <t>au</t>
  </si>
  <si>
    <t>av</t>
  </si>
  <si>
    <t>available</t>
  </si>
  <si>
    <t>ave</t>
  </si>
  <si>
    <t>ay</t>
  </si>
  <si>
    <t>ba</t>
  </si>
  <si>
    <t>back</t>
  </si>
  <si>
    <t>based</t>
  </si>
  <si>
    <t>be</t>
  </si>
  <si>
    <t>because</t>
  </si>
  <si>
    <t>been</t>
  </si>
  <si>
    <t>before</t>
  </si>
  <si>
    <t>being</t>
  </si>
  <si>
    <t>best</t>
  </si>
  <si>
    <t>between</t>
  </si>
  <si>
    <t>bi</t>
  </si>
  <si>
    <t>big</t>
  </si>
  <si>
    <t>bl</t>
  </si>
  <si>
    <t>black</t>
  </si>
  <si>
    <t>bo</t>
  </si>
  <si>
    <t>board</t>
  </si>
  <si>
    <t>book</t>
  </si>
  <si>
    <t>books</t>
  </si>
  <si>
    <t>both</t>
  </si>
  <si>
    <t>bu</t>
  </si>
  <si>
    <t>but</t>
  </si>
  <si>
    <t>buy</t>
  </si>
  <si>
    <t>by</t>
  </si>
  <si>
    <t>ca</t>
  </si>
  <si>
    <t>call</t>
  </si>
  <si>
    <t>can</t>
  </si>
  <si>
    <t>car</t>
  </si>
  <si>
    <t>care</t>
  </si>
  <si>
    <t>case</t>
  </si>
  <si>
    <t>ce</t>
  </si>
  <si>
    <t>center</t>
  </si>
  <si>
    <t>ces</t>
  </si>
  <si>
    <t>ch</t>
  </si>
  <si>
    <t>change</t>
  </si>
  <si>
    <t>check</t>
  </si>
  <si>
    <t>ci</t>
  </si>
  <si>
    <t>city</t>
  </si>
  <si>
    <t>ck</t>
  </si>
  <si>
    <t>cl</t>
  </si>
  <si>
    <t>class</t>
  </si>
  <si>
    <t>click</t>
  </si>
  <si>
    <t>co</t>
  </si>
  <si>
    <t>code</t>
  </si>
  <si>
    <t>college</t>
  </si>
  <si>
    <t>com</t>
  </si>
  <si>
    <t>comments</t>
  </si>
  <si>
    <t>company</t>
  </si>
  <si>
    <t>compare</t>
  </si>
  <si>
    <t>computer</t>
  </si>
  <si>
    <t>con</t>
  </si>
  <si>
    <t>contact</t>
  </si>
  <si>
    <t>content</t>
  </si>
  <si>
    <t>control</t>
  </si>
  <si>
    <t>could</t>
  </si>
  <si>
    <t>county</t>
  </si>
  <si>
    <t>cr</t>
  </si>
  <si>
    <t>ct</t>
  </si>
  <si>
    <t>cti</t>
  </si>
  <si>
    <t>cu</t>
  </si>
  <si>
    <t>current</t>
  </si>
  <si>
    <t>da</t>
  </si>
  <si>
    <t>data</t>
  </si>
  <si>
    <t>date</t>
  </si>
  <si>
    <t>day</t>
  </si>
  <si>
    <t>days</t>
  </si>
  <si>
    <t>de</t>
  </si>
  <si>
    <t>department</t>
  </si>
  <si>
    <t>design</t>
  </si>
  <si>
    <t>details</t>
  </si>
  <si>
    <t>di</t>
  </si>
  <si>
    <t>did</t>
  </si>
  <si>
    <t>digital</t>
  </si>
  <si>
    <t>din</t>
  </si>
  <si>
    <t>do</t>
  </si>
  <si>
    <t>does</t>
  </si>
  <si>
    <t>down</t>
  </si>
  <si>
    <t>download</t>
  </si>
  <si>
    <t>dr</t>
  </si>
  <si>
    <t>ds</t>
  </si>
  <si>
    <t>dt</t>
  </si>
  <si>
    <t>du</t>
  </si>
  <si>
    <t>during</t>
  </si>
  <si>
    <t>dvd</t>
  </si>
  <si>
    <t>ea</t>
  </si>
  <si>
    <t>each</t>
  </si>
  <si>
    <t>ear</t>
  </si>
  <si>
    <t>eb</t>
  </si>
  <si>
    <t>ebay</t>
  </si>
  <si>
    <t>ec</t>
  </si>
  <si>
    <t>eco</t>
  </si>
  <si>
    <t>ect</t>
  </si>
  <si>
    <t>ed</t>
  </si>
  <si>
    <t>edi</t>
  </si>
  <si>
    <t>ee</t>
  </si>
  <si>
    <t>ef</t>
  </si>
  <si>
    <t>eg</t>
  </si>
  <si>
    <t>ei</t>
  </si>
  <si>
    <t>el</t>
  </si>
  <si>
    <t>em</t>
  </si>
  <si>
    <t>email</t>
  </si>
  <si>
    <t>en</t>
  </si>
  <si>
    <t>end</t>
  </si>
  <si>
    <t>ent</t>
  </si>
  <si>
    <t>eo</t>
  </si>
  <si>
    <t>ep</t>
  </si>
  <si>
    <t>er</t>
  </si>
  <si>
    <t>era</t>
  </si>
  <si>
    <t>ere</t>
  </si>
  <si>
    <t>eri</t>
  </si>
  <si>
    <t>ers</t>
  </si>
  <si>
    <t>es</t>
  </si>
  <si>
    <t>ese</t>
  </si>
  <si>
    <t>ess</t>
  </si>
  <si>
    <t>est</t>
  </si>
  <si>
    <t>et</t>
  </si>
  <si>
    <t>eth</t>
  </si>
  <si>
    <t>ev</t>
  </si>
  <si>
    <t>eve</t>
  </si>
  <si>
    <t>even</t>
  </si>
  <si>
    <t>events</t>
  </si>
  <si>
    <t>ever</t>
  </si>
  <si>
    <t>every</t>
  </si>
  <si>
    <t>ew</t>
  </si>
  <si>
    <t>ex</t>
  </si>
  <si>
    <t>ey</t>
  </si>
  <si>
    <t>fa</t>
  </si>
  <si>
    <t>family</t>
  </si>
  <si>
    <t>fe</t>
  </si>
  <si>
    <t>ff</t>
  </si>
  <si>
    <t>fi</t>
  </si>
  <si>
    <t>file</t>
  </si>
  <si>
    <t>find</t>
  </si>
  <si>
    <t>first</t>
  </si>
  <si>
    <t>fo</t>
  </si>
  <si>
    <t>following</t>
  </si>
  <si>
    <t>for</t>
  </si>
  <si>
    <t>form</t>
  </si>
  <si>
    <t>forum</t>
  </si>
  <si>
    <t>found</t>
  </si>
  <si>
    <t>fr</t>
  </si>
  <si>
    <t>free</t>
  </si>
  <si>
    <t>from</t>
  </si>
  <si>
    <t>ft</t>
  </si>
  <si>
    <t>full</t>
  </si>
  <si>
    <t>ga</t>
  </si>
  <si>
    <t>game</t>
  </si>
  <si>
    <t>games</t>
  </si>
  <si>
    <t>ge</t>
  </si>
  <si>
    <t>general</t>
  </si>
  <si>
    <t>get</t>
  </si>
  <si>
    <t>gh</t>
  </si>
  <si>
    <t>gi</t>
  </si>
  <si>
    <t>go</t>
  </si>
  <si>
    <t>good</t>
  </si>
  <si>
    <t>gr</t>
  </si>
  <si>
    <t>great</t>
  </si>
  <si>
    <t>group</t>
  </si>
  <si>
    <t>guide</t>
  </si>
  <si>
    <t>ha</t>
  </si>
  <si>
    <t>had</t>
  </si>
  <si>
    <t>has</t>
  </si>
  <si>
    <t>hat</t>
  </si>
  <si>
    <t>have</t>
  </si>
  <si>
    <t>he</t>
  </si>
  <si>
    <t>health</t>
  </si>
  <si>
    <t>help</t>
  </si>
  <si>
    <t>her</t>
  </si>
  <si>
    <t>here</t>
  </si>
  <si>
    <t>hi</t>
  </si>
  <si>
    <t>hich</t>
  </si>
  <si>
    <t>high</t>
  </si>
  <si>
    <t>him</t>
  </si>
  <si>
    <t>hing</t>
  </si>
  <si>
    <t>his</t>
  </si>
  <si>
    <t>history</t>
  </si>
  <si>
    <t>ho</t>
  </si>
  <si>
    <t>home</t>
  </si>
  <si>
    <t>hotel</t>
  </si>
  <si>
    <t>hotels</t>
  </si>
  <si>
    <t>hours</t>
  </si>
  <si>
    <t>house</t>
  </si>
  <si>
    <t>how</t>
  </si>
  <si>
    <t>ht</t>
  </si>
  <si>
    <t>ia</t>
  </si>
  <si>
    <t>ic</t>
  </si>
  <si>
    <t>ica</t>
  </si>
  <si>
    <t>ice</t>
  </si>
  <si>
    <t>id</t>
  </si>
  <si>
    <t>ide</t>
  </si>
  <si>
    <t>ie</t>
  </si>
  <si>
    <t>ies</t>
  </si>
  <si>
    <t>if</t>
  </si>
  <si>
    <t>ig</t>
  </si>
  <si>
    <t>igh</t>
  </si>
  <si>
    <t>ight</t>
  </si>
  <si>
    <t>il</t>
  </si>
  <si>
    <t>ill</t>
  </si>
  <si>
    <t>im</t>
  </si>
  <si>
    <t>image</t>
  </si>
  <si>
    <t>in</t>
  </si>
  <si>
    <t>include</t>
  </si>
  <si>
    <t>including</t>
  </si>
  <si>
    <t>ine</t>
  </si>
  <si>
    <t>info</t>
  </si>
  <si>
    <t>ing</t>
  </si>
  <si>
    <t>int</t>
  </si>
  <si>
    <t>into</t>
  </si>
  <si>
    <t>io</t>
  </si>
  <si>
    <t>ion</t>
  </si>
  <si>
    <t>ip</t>
  </si>
  <si>
    <t>ir</t>
  </si>
  <si>
    <t>is</t>
  </si>
  <si>
    <t>ist</t>
  </si>
  <si>
    <t>it</t>
  </si>
  <si>
    <t>ite</t>
  </si>
  <si>
    <t>item</t>
  </si>
  <si>
    <t>items</t>
  </si>
  <si>
    <t>ith</t>
  </si>
  <si>
    <t>iti</t>
  </si>
  <si>
    <t>its</t>
  </si>
  <si>
    <t>ity</t>
  </si>
  <si>
    <t>iv</t>
  </si>
  <si>
    <t>ive</t>
  </si>
  <si>
    <t>jan</t>
  </si>
  <si>
    <t>just</t>
  </si>
  <si>
    <t>ke</t>
  </si>
  <si>
    <t>ki</t>
  </si>
  <si>
    <t>know</t>
  </si>
  <si>
    <t>la</t>
  </si>
  <si>
    <t>last</t>
  </si>
  <si>
    <t>ld</t>
  </si>
  <si>
    <t>le</t>
  </si>
  <si>
    <t>level</t>
  </si>
  <si>
    <t>li</t>
  </si>
  <si>
    <t>life</t>
  </si>
  <si>
    <t>like</t>
  </si>
  <si>
    <t>lin</t>
  </si>
  <si>
    <t>line</t>
  </si>
  <si>
    <t>link</t>
  </si>
  <si>
    <t>links</t>
  </si>
  <si>
    <t>list</t>
  </si>
  <si>
    <t>listing</t>
  </si>
  <si>
    <t>little</t>
  </si>
  <si>
    <t>ll</t>
  </si>
  <si>
    <t>lo</t>
  </si>
  <si>
    <t>local</t>
  </si>
  <si>
    <t>location</t>
  </si>
  <si>
    <t>long</t>
  </si>
  <si>
    <t>low</t>
  </si>
  <si>
    <t>ls</t>
  </si>
  <si>
    <t>lt</t>
  </si>
  <si>
    <t>lu</t>
  </si>
  <si>
    <t>ly</t>
  </si>
  <si>
    <t>ma</t>
  </si>
  <si>
    <t>made</t>
  </si>
  <si>
    <t>mail</t>
  </si>
  <si>
    <t>main</t>
  </si>
  <si>
    <t>make</t>
  </si>
  <si>
    <t>management</t>
  </si>
  <si>
    <t>many</t>
  </si>
  <si>
    <t>map</t>
  </si>
  <si>
    <t>may</t>
  </si>
  <si>
    <t>mb</t>
  </si>
  <si>
    <t>me</t>
  </si>
  <si>
    <t>media</t>
  </si>
  <si>
    <t>members</t>
  </si>
  <si>
    <t>men</t>
  </si>
  <si>
    <t>ment</t>
  </si>
  <si>
    <t>mi</t>
  </si>
  <si>
    <t>mm</t>
  </si>
  <si>
    <t>mo</t>
  </si>
  <si>
    <t>money</t>
  </si>
  <si>
    <t>more</t>
  </si>
  <si>
    <t>most</t>
  </si>
  <si>
    <t>movies</t>
  </si>
  <si>
    <t>mp</t>
  </si>
  <si>
    <t>ms</t>
  </si>
  <si>
    <t>much</t>
  </si>
  <si>
    <t>must</t>
  </si>
  <si>
    <t>my</t>
  </si>
  <si>
    <t>na</t>
  </si>
  <si>
    <t>nal</t>
  </si>
  <si>
    <t>name</t>
  </si>
  <si>
    <t>nc</t>
  </si>
  <si>
    <t>nce</t>
  </si>
  <si>
    <t>nd</t>
  </si>
  <si>
    <t>ne</t>
  </si>
  <si>
    <t>need</t>
  </si>
  <si>
    <t>network</t>
  </si>
  <si>
    <t>new</t>
  </si>
  <si>
    <t>news</t>
  </si>
  <si>
    <t>next</t>
  </si>
  <si>
    <t>nf</t>
  </si>
  <si>
    <t>ng</t>
  </si>
  <si>
    <t>ni</t>
  </si>
  <si>
    <t>no</t>
  </si>
  <si>
    <t>non</t>
  </si>
  <si>
    <t>not</t>
  </si>
  <si>
    <t>now</t>
  </si>
  <si>
    <t>ns</t>
  </si>
  <si>
    <t>nt</t>
  </si>
  <si>
    <t>nte</t>
  </si>
  <si>
    <t>nth</t>
  </si>
  <si>
    <t>nts</t>
  </si>
  <si>
    <t>number</t>
  </si>
  <si>
    <t>oa</t>
  </si>
  <si>
    <t>ob</t>
  </si>
  <si>
    <t>oc</t>
  </si>
  <si>
    <t>od</t>
  </si>
  <si>
    <t>of</t>
  </si>
  <si>
    <t>off</t>
  </si>
  <si>
    <t>office</t>
  </si>
  <si>
    <t>oft</t>
  </si>
  <si>
    <t>og</t>
  </si>
  <si>
    <t>ol</t>
  </si>
  <si>
    <t>old</t>
  </si>
  <si>
    <t>om</t>
  </si>
  <si>
    <t>ome</t>
  </si>
  <si>
    <t>on</t>
  </si>
  <si>
    <t>ona</t>
  </si>
  <si>
    <t>one</t>
  </si>
  <si>
    <t>online</t>
  </si>
  <si>
    <t>only</t>
  </si>
  <si>
    <t>ons</t>
  </si>
  <si>
    <t>ont</t>
  </si>
  <si>
    <t>oo</t>
  </si>
  <si>
    <t>op</t>
  </si>
  <si>
    <t>open</t>
  </si>
  <si>
    <t>or</t>
  </si>
  <si>
    <t>order</t>
  </si>
  <si>
    <t>ore</t>
  </si>
  <si>
    <t>ort</t>
  </si>
  <si>
    <t>os</t>
  </si>
  <si>
    <t>ot</t>
  </si>
  <si>
    <t>oth</t>
  </si>
  <si>
    <t>other</t>
  </si>
  <si>
    <t>ou</t>
  </si>
  <si>
    <t>ough</t>
  </si>
  <si>
    <t>ould</t>
  </si>
  <si>
    <t>oun</t>
  </si>
  <si>
    <t>our</t>
  </si>
  <si>
    <t>out</t>
  </si>
  <si>
    <t>ov</t>
  </si>
  <si>
    <t>over</t>
  </si>
  <si>
    <t>ow</t>
  </si>
  <si>
    <t>own</t>
  </si>
  <si>
    <t>pa</t>
  </si>
  <si>
    <t>page</t>
  </si>
  <si>
    <t>pages</t>
  </si>
  <si>
    <t>part</t>
  </si>
  <si>
    <t>pe</t>
  </si>
  <si>
    <t>people</t>
  </si>
  <si>
    <t>per</t>
  </si>
  <si>
    <t>personal</t>
  </si>
  <si>
    <t>phone</t>
  </si>
  <si>
    <t>photo</t>
  </si>
  <si>
    <t>pi</t>
  </si>
  <si>
    <t>pictures</t>
  </si>
  <si>
    <t>pl</t>
  </si>
  <si>
    <t>place</t>
  </si>
  <si>
    <t>please</t>
  </si>
  <si>
    <t>pm</t>
  </si>
  <si>
    <t>po</t>
  </si>
  <si>
    <t>policy</t>
  </si>
  <si>
    <t>post</t>
  </si>
  <si>
    <t>posted</t>
  </si>
  <si>
    <t>posts</t>
  </si>
  <si>
    <t>power</t>
  </si>
  <si>
    <t>pp</t>
  </si>
  <si>
    <t>pr</t>
  </si>
  <si>
    <t>previous</t>
  </si>
  <si>
    <t>price</t>
  </si>
  <si>
    <t>prices</t>
  </si>
  <si>
    <t>pro</t>
  </si>
  <si>
    <t>product</t>
  </si>
  <si>
    <t>products</t>
  </si>
  <si>
    <t>profile</t>
  </si>
  <si>
    <t>program</t>
  </si>
  <si>
    <t>project</t>
  </si>
  <si>
    <t>public</t>
  </si>
  <si>
    <t>qu</t>
  </si>
  <si>
    <t>quality</t>
  </si>
  <si>
    <t>ra</t>
  </si>
  <si>
    <t>ran</t>
  </si>
  <si>
    <t>rat</t>
  </si>
  <si>
    <t>rate</t>
  </si>
  <si>
    <t>rc</t>
  </si>
  <si>
    <t>rd</t>
  </si>
  <si>
    <t>re</t>
  </si>
  <si>
    <t>rea</t>
  </si>
  <si>
    <t>read</t>
  </si>
  <si>
    <t>real</t>
  </si>
  <si>
    <t>related</t>
  </si>
  <si>
    <t>reply</t>
  </si>
  <si>
    <t>report</t>
  </si>
  <si>
    <t>res</t>
  </si>
  <si>
    <t>research</t>
  </si>
  <si>
    <t>reserved</t>
  </si>
  <si>
    <t>resources</t>
  </si>
  <si>
    <t>results</t>
  </si>
  <si>
    <t>return</t>
  </si>
  <si>
    <t>review</t>
  </si>
  <si>
    <t>reviews</t>
  </si>
  <si>
    <t>ri</t>
  </si>
  <si>
    <t>right</t>
  </si>
  <si>
    <t>rights</t>
  </si>
  <si>
    <t>rin</t>
  </si>
  <si>
    <t>rm</t>
  </si>
  <si>
    <t>rn</t>
  </si>
  <si>
    <t>ro</t>
  </si>
  <si>
    <t>rr</t>
  </si>
  <si>
    <t>rs</t>
  </si>
  <si>
    <t>rt</t>
  </si>
  <si>
    <t>ru</t>
  </si>
  <si>
    <t>ry</t>
  </si>
  <si>
    <t>sa</t>
  </si>
  <si>
    <t>said</t>
  </si>
  <si>
    <t>same</t>
  </si>
  <si>
    <t>san</t>
  </si>
  <si>
    <t>save</t>
  </si>
  <si>
    <t>sc</t>
  </si>
  <si>
    <t>school</t>
  </si>
  <si>
    <t>se</t>
  </si>
  <si>
    <t>search</t>
  </si>
  <si>
    <t>section</t>
  </si>
  <si>
    <t>see</t>
  </si>
  <si>
    <t>send</t>
  </si>
  <si>
    <t>ser</t>
  </si>
  <si>
    <t>service</t>
  </si>
  <si>
    <t>set</t>
  </si>
  <si>
    <t>sex</t>
  </si>
  <si>
    <t>sh</t>
  </si>
  <si>
    <t>shall</t>
  </si>
  <si>
    <t>she</t>
  </si>
  <si>
    <t>shop</t>
  </si>
  <si>
    <t>should</t>
  </si>
  <si>
    <t>show</t>
  </si>
  <si>
    <t>si</t>
  </si>
  <si>
    <t>sign</t>
  </si>
  <si>
    <t>sin</t>
  </si>
  <si>
    <t>since</t>
  </si>
  <si>
    <t>site</t>
  </si>
  <si>
    <t>sites</t>
  </si>
  <si>
    <t>size</t>
  </si>
  <si>
    <t>small</t>
  </si>
  <si>
    <t>so</t>
  </si>
  <si>
    <t>software</t>
  </si>
  <si>
    <t>some</t>
  </si>
  <si>
    <t>south</t>
  </si>
  <si>
    <t>sp</t>
  </si>
  <si>
    <t>special</t>
  </si>
  <si>
    <t>sports</t>
  </si>
  <si>
    <t>ss</t>
  </si>
  <si>
    <t>st</t>
  </si>
  <si>
    <t>sta</t>
  </si>
  <si>
    <t>state</t>
  </si>
  <si>
    <t>states</t>
  </si>
  <si>
    <t>ste</t>
  </si>
  <si>
    <t>sti</t>
  </si>
  <si>
    <t>still</t>
  </si>
  <si>
    <t>sto</t>
  </si>
  <si>
    <t>store</t>
  </si>
  <si>
    <t>str</t>
  </si>
  <si>
    <t>su</t>
  </si>
  <si>
    <t>subject</t>
  </si>
  <si>
    <t>such</t>
  </si>
  <si>
    <t>support</t>
  </si>
  <si>
    <t>system</t>
  </si>
  <si>
    <t>systems</t>
  </si>
  <si>
    <t>ta</t>
  </si>
  <si>
    <t>take</t>
  </si>
  <si>
    <t>te</t>
  </si>
  <si>
    <t>technology</t>
  </si>
  <si>
    <t>ted</t>
  </si>
  <si>
    <t>ter</t>
  </si>
  <si>
    <t>terms</t>
  </si>
  <si>
    <t>text</t>
  </si>
  <si>
    <t>th</t>
  </si>
  <si>
    <t>tha</t>
  </si>
  <si>
    <t>than</t>
  </si>
  <si>
    <t>that</t>
  </si>
  <si>
    <t>the</t>
  </si>
  <si>
    <t>their</t>
  </si>
  <si>
    <t>them</t>
  </si>
  <si>
    <t>then</t>
  </si>
  <si>
    <t>ther</t>
  </si>
  <si>
    <t>there</t>
  </si>
  <si>
    <t>these</t>
  </si>
  <si>
    <t>they</t>
  </si>
  <si>
    <t>thi</t>
  </si>
  <si>
    <t>thin</t>
  </si>
  <si>
    <t>think</t>
  </si>
  <si>
    <t>this</t>
  </si>
  <si>
    <t>those</t>
  </si>
  <si>
    <t>three</t>
  </si>
  <si>
    <t>through</t>
  </si>
  <si>
    <t>ti</t>
  </si>
  <si>
    <t>time</t>
  </si>
  <si>
    <t>times</t>
  </si>
  <si>
    <t>tin</t>
  </si>
  <si>
    <t>tio</t>
  </si>
  <si>
    <t>tion</t>
  </si>
  <si>
    <t>title</t>
  </si>
  <si>
    <t>to</t>
  </si>
  <si>
    <t>today</t>
  </si>
  <si>
    <t>tools</t>
  </si>
  <si>
    <t>top</t>
  </si>
  <si>
    <t>tor</t>
  </si>
  <si>
    <t>total</t>
  </si>
  <si>
    <t>tr</t>
  </si>
  <si>
    <t>tra</t>
  </si>
  <si>
    <t>travel</t>
  </si>
  <si>
    <t>ts</t>
  </si>
  <si>
    <t>tt</t>
  </si>
  <si>
    <t>tu</t>
  </si>
  <si>
    <t>tw</t>
  </si>
  <si>
    <t>two</t>
  </si>
  <si>
    <t>ty</t>
  </si>
  <si>
    <t>type</t>
  </si>
  <si>
    <t>ua</t>
  </si>
  <si>
    <t>uc</t>
  </si>
  <si>
    <t>ue</t>
  </si>
  <si>
    <t>uk</t>
  </si>
  <si>
    <t>ul</t>
  </si>
  <si>
    <t>um</t>
  </si>
  <si>
    <t>un</t>
  </si>
  <si>
    <t>under</t>
  </si>
  <si>
    <t>united</t>
  </si>
  <si>
    <t>up</t>
  </si>
  <si>
    <t>ur</t>
  </si>
  <si>
    <t>ure</t>
  </si>
  <si>
    <t>us</t>
  </si>
  <si>
    <t>usa</t>
  </si>
  <si>
    <t>use</t>
  </si>
  <si>
    <t>used</t>
  </si>
  <si>
    <t>user</t>
  </si>
  <si>
    <t>using</t>
  </si>
  <si>
    <t>ut</t>
  </si>
  <si>
    <t>va</t>
  </si>
  <si>
    <t>ve</t>
  </si>
  <si>
    <t>ver</t>
  </si>
  <si>
    <t>very</t>
  </si>
  <si>
    <t>vi</t>
  </si>
  <si>
    <t>video</t>
  </si>
  <si>
    <t>view</t>
  </si>
  <si>
    <t>visit</t>
  </si>
  <si>
    <t>wa</t>
  </si>
  <si>
    <t>want</t>
  </si>
  <si>
    <t>was</t>
  </si>
  <si>
    <t>water</t>
  </si>
  <si>
    <t>way</t>
  </si>
  <si>
    <t>we</t>
  </si>
  <si>
    <t>web</t>
  </si>
  <si>
    <t>well</t>
  </si>
  <si>
    <t>were</t>
  </si>
  <si>
    <t>wh</t>
  </si>
  <si>
    <t>what</t>
  </si>
  <si>
    <t>when</t>
  </si>
  <si>
    <t>where</t>
  </si>
  <si>
    <t>whic</t>
  </si>
  <si>
    <t>which</t>
  </si>
  <si>
    <t>while</t>
  </si>
  <si>
    <t>white</t>
  </si>
  <si>
    <t>who</t>
  </si>
  <si>
    <t>why</t>
  </si>
  <si>
    <t>wi</t>
  </si>
  <si>
    <t>will</t>
  </si>
  <si>
    <t>wit</t>
  </si>
  <si>
    <t>with</t>
  </si>
  <si>
    <t>within</t>
  </si>
  <si>
    <t>without</t>
  </si>
  <si>
    <t>wo</t>
  </si>
  <si>
    <t>women</t>
  </si>
  <si>
    <t>work</t>
  </si>
  <si>
    <t>world</t>
  </si>
  <si>
    <t>would</t>
  </si>
  <si>
    <t>year</t>
  </si>
  <si>
    <t>years</t>
  </si>
  <si>
    <t>yo</t>
  </si>
  <si>
    <t>you</t>
  </si>
  <si>
    <t>your</t>
  </si>
  <si>
    <t>ys</t>
  </si>
  <si>
    <t>a</t>
  </si>
  <si>
    <t>hot</t>
  </si>
  <si>
    <t>word</t>
  </si>
  <si>
    <t>write</t>
  </si>
  <si>
    <t>thing</t>
  </si>
  <si>
    <t>look</t>
  </si>
  <si>
    <t>come</t>
  </si>
  <si>
    <t>sound</t>
  </si>
  <si>
    <t>side</t>
  </si>
  <si>
    <t>live</t>
  </si>
  <si>
    <t>round</t>
  </si>
  <si>
    <t>man</t>
  </si>
  <si>
    <t>came</t>
  </si>
  <si>
    <t>give</t>
  </si>
  <si>
    <t>sentence</t>
  </si>
  <si>
    <t>say</t>
  </si>
  <si>
    <t>differ</t>
  </si>
  <si>
    <t>turn</t>
  </si>
  <si>
    <t>cause</t>
  </si>
  <si>
    <t>mean</t>
  </si>
  <si>
    <t>move</t>
  </si>
  <si>
    <t>boy</t>
  </si>
  <si>
    <t>too</t>
  </si>
  <si>
    <t>tell</t>
  </si>
  <si>
    <t>air</t>
  </si>
  <si>
    <t>play</t>
  </si>
  <si>
    <t>put</t>
  </si>
  <si>
    <t>hand</t>
  </si>
  <si>
    <t>port</t>
  </si>
  <si>
    <t>large</t>
  </si>
  <si>
    <t>spell</t>
  </si>
  <si>
    <t>land</t>
  </si>
  <si>
    <t>follow</t>
  </si>
  <si>
    <t>ask</t>
  </si>
  <si>
    <t>went</t>
  </si>
  <si>
    <t>light</t>
  </si>
  <si>
    <t>kind</t>
  </si>
  <si>
    <t>picture</t>
  </si>
  <si>
    <t>try</t>
  </si>
  <si>
    <t>again</t>
  </si>
  <si>
    <t>animal</t>
  </si>
  <si>
    <t>point</t>
  </si>
  <si>
    <t>mother</t>
  </si>
  <si>
    <t>near</t>
  </si>
  <si>
    <t>build</t>
  </si>
  <si>
    <t>self</t>
  </si>
  <si>
    <t>earth</t>
  </si>
  <si>
    <t>father</t>
  </si>
  <si>
    <t>head</t>
  </si>
  <si>
    <t>stand</t>
  </si>
  <si>
    <t>country</t>
  </si>
  <si>
    <t>answer</t>
  </si>
  <si>
    <t>grow</t>
  </si>
  <si>
    <t>study</t>
  </si>
  <si>
    <t>learn</t>
  </si>
  <si>
    <t>plant</t>
  </si>
  <si>
    <t>cover</t>
  </si>
  <si>
    <t>food</t>
  </si>
  <si>
    <t>sun</t>
  </si>
  <si>
    <t>four</t>
  </si>
  <si>
    <t>keep</t>
  </si>
  <si>
    <t>eye</t>
  </si>
  <si>
    <t>never</t>
  </si>
  <si>
    <t>let</t>
  </si>
  <si>
    <t>thought</t>
  </si>
  <si>
    <t>tree</t>
  </si>
  <si>
    <t>cross</t>
  </si>
  <si>
    <t>farm</t>
  </si>
  <si>
    <t>hard</t>
  </si>
  <si>
    <t>start</t>
  </si>
  <si>
    <t>might</t>
  </si>
  <si>
    <t>story</t>
  </si>
  <si>
    <t>saw</t>
  </si>
  <si>
    <t>far</t>
  </si>
  <si>
    <t>sea</t>
  </si>
  <si>
    <t>draw</t>
  </si>
  <si>
    <t>left</t>
  </si>
  <si>
    <t>late</t>
  </si>
  <si>
    <t>run</t>
  </si>
  <si>
    <t>don't</t>
  </si>
  <si>
    <t>press</t>
  </si>
  <si>
    <t>close</t>
  </si>
  <si>
    <t>night</t>
  </si>
  <si>
    <t>few</t>
  </si>
  <si>
    <t>north</t>
  </si>
  <si>
    <t>seem</t>
  </si>
  <si>
    <t>together</t>
  </si>
  <si>
    <t>children</t>
  </si>
  <si>
    <t>begin</t>
  </si>
  <si>
    <t>got</t>
  </si>
  <si>
    <t>walk</t>
  </si>
  <si>
    <t>example</t>
  </si>
  <si>
    <t>ease</t>
  </si>
  <si>
    <t>paper</t>
  </si>
  <si>
    <t>always</t>
  </si>
  <si>
    <t>music</t>
  </si>
  <si>
    <t>mark</t>
  </si>
  <si>
    <t>often</t>
  </si>
  <si>
    <t>letter</t>
  </si>
  <si>
    <t>until</t>
  </si>
  <si>
    <t>mile</t>
  </si>
  <si>
    <t>river</t>
  </si>
  <si>
    <t>feet</t>
  </si>
  <si>
    <t>second</t>
  </si>
  <si>
    <t>carry</t>
  </si>
  <si>
    <t>took</t>
  </si>
  <si>
    <t>science</t>
  </si>
  <si>
    <t>eat</t>
  </si>
  <si>
    <t>room</t>
  </si>
  <si>
    <t>friend</t>
  </si>
  <si>
    <t>began</t>
  </si>
  <si>
    <t>idea</t>
  </si>
  <si>
    <t>fish</t>
  </si>
  <si>
    <t>mountain</t>
  </si>
  <si>
    <t>stop</t>
  </si>
  <si>
    <t>once</t>
  </si>
  <si>
    <t>base</t>
  </si>
  <si>
    <t>hear</t>
  </si>
  <si>
    <t>horse</t>
  </si>
  <si>
    <t>cut</t>
  </si>
  <si>
    <t>sure</t>
  </si>
  <si>
    <t>watch</t>
  </si>
  <si>
    <t>color</t>
  </si>
  <si>
    <t>face</t>
  </si>
  <si>
    <t>wood</t>
  </si>
  <si>
    <t>enough</t>
  </si>
  <si>
    <t>plain</t>
  </si>
  <si>
    <t>girl</t>
  </si>
  <si>
    <t>usual</t>
  </si>
  <si>
    <t>young</t>
  </si>
  <si>
    <t>ready</t>
  </si>
  <si>
    <t>above</t>
  </si>
  <si>
    <t>red</t>
  </si>
  <si>
    <t>though</t>
  </si>
  <si>
    <t>feel</t>
  </si>
  <si>
    <t>talk</t>
  </si>
  <si>
    <t>bird</t>
  </si>
  <si>
    <t>soon</t>
  </si>
  <si>
    <t>body</t>
  </si>
  <si>
    <t>dog</t>
  </si>
  <si>
    <t>direct</t>
  </si>
  <si>
    <t>pose</t>
  </si>
  <si>
    <t>leave</t>
  </si>
  <si>
    <t>song</t>
  </si>
  <si>
    <t>measure</t>
  </si>
  <si>
    <t>door</t>
  </si>
  <si>
    <t>short</t>
  </si>
  <si>
    <t>numeral</t>
  </si>
  <si>
    <t>wind</t>
  </si>
  <si>
    <t>question</t>
  </si>
  <si>
    <t>happen</t>
  </si>
  <si>
    <t>complete</t>
  </si>
  <si>
    <t>ship</t>
  </si>
  <si>
    <t>half</t>
  </si>
  <si>
    <t>rock</t>
  </si>
  <si>
    <t>fire</t>
  </si>
  <si>
    <t>problem</t>
  </si>
  <si>
    <t>piece</t>
  </si>
  <si>
    <t>told</t>
  </si>
  <si>
    <t>knew</t>
  </si>
  <si>
    <t>pass</t>
  </si>
  <si>
    <t>whole</t>
  </si>
  <si>
    <t>king</t>
  </si>
  <si>
    <t>space</t>
  </si>
  <si>
    <t>heard</t>
  </si>
  <si>
    <t>hour</t>
  </si>
  <si>
    <t>better</t>
  </si>
  <si>
    <t>hundred</t>
  </si>
  <si>
    <t>five</t>
  </si>
  <si>
    <t>remember</t>
  </si>
  <si>
    <t>step</t>
  </si>
  <si>
    <t>early</t>
  </si>
  <si>
    <t>hold</t>
  </si>
  <si>
    <t>west</t>
  </si>
  <si>
    <t>ground</t>
  </si>
  <si>
    <t>interest</t>
  </si>
  <si>
    <t>reach</t>
  </si>
  <si>
    <t>fast</t>
  </si>
  <si>
    <t>verb</t>
  </si>
  <si>
    <t>sing</t>
  </si>
  <si>
    <t>listen</t>
  </si>
  <si>
    <t>six</t>
  </si>
  <si>
    <t>table</t>
  </si>
  <si>
    <t>less</t>
  </si>
  <si>
    <t>morning</t>
  </si>
  <si>
    <t>ten</t>
  </si>
  <si>
    <t>simple</t>
  </si>
  <si>
    <t>several</t>
  </si>
  <si>
    <t>vowel</t>
  </si>
  <si>
    <t>toward</t>
  </si>
  <si>
    <t>war</t>
  </si>
  <si>
    <t>lay</t>
  </si>
  <si>
    <t>against</t>
  </si>
  <si>
    <t>pattern</t>
  </si>
  <si>
    <t>slow</t>
  </si>
  <si>
    <t>love</t>
  </si>
  <si>
    <t>person</t>
  </si>
  <si>
    <t>serve</t>
  </si>
  <si>
    <t>appear</t>
  </si>
  <si>
    <t>road</t>
  </si>
  <si>
    <t>rain</t>
  </si>
  <si>
    <t>rule</t>
  </si>
  <si>
    <t>govern</t>
  </si>
  <si>
    <t>pull</t>
  </si>
  <si>
    <t>cold</t>
  </si>
  <si>
    <t>notice</t>
  </si>
  <si>
    <t>voice</t>
  </si>
  <si>
    <t>unit</t>
  </si>
  <si>
    <t>town</t>
  </si>
  <si>
    <t>fine</t>
  </si>
  <si>
    <t>certain</t>
  </si>
  <si>
    <t>fly</t>
  </si>
  <si>
    <t>fall</t>
  </si>
  <si>
    <t>lead</t>
  </si>
  <si>
    <t>cry</t>
  </si>
  <si>
    <t>dark</t>
  </si>
  <si>
    <t>machine</t>
  </si>
  <si>
    <t>note</t>
  </si>
  <si>
    <t>wait</t>
  </si>
  <si>
    <t>plan</t>
  </si>
  <si>
    <t>figure</t>
  </si>
  <si>
    <t>star</t>
  </si>
  <si>
    <t>box</t>
  </si>
  <si>
    <t>noun</t>
  </si>
  <si>
    <t>field</t>
  </si>
  <si>
    <t>rest</t>
  </si>
  <si>
    <t>correct</t>
  </si>
  <si>
    <t>able</t>
  </si>
  <si>
    <t>pound</t>
  </si>
  <si>
    <t>done</t>
  </si>
  <si>
    <t>beauty</t>
  </si>
  <si>
    <t>drive</t>
  </si>
  <si>
    <t>stood</t>
  </si>
  <si>
    <t>contain</t>
  </si>
  <si>
    <t>front</t>
  </si>
  <si>
    <t>teach</t>
  </si>
  <si>
    <t>week</t>
  </si>
  <si>
    <t>final</t>
  </si>
  <si>
    <t>gave</t>
  </si>
  <si>
    <t>green</t>
  </si>
  <si>
    <t>oh</t>
  </si>
  <si>
    <t>quick</t>
  </si>
  <si>
    <t>develop</t>
  </si>
  <si>
    <t>ocean</t>
  </si>
  <si>
    <t>warm</t>
  </si>
  <si>
    <t>minute</t>
  </si>
  <si>
    <t>strong</t>
  </si>
  <si>
    <t>mind</t>
  </si>
  <si>
    <t>behind</t>
  </si>
  <si>
    <t>clear</t>
  </si>
  <si>
    <t>tail</t>
  </si>
  <si>
    <t>produce</t>
  </si>
  <si>
    <t>fact</t>
  </si>
  <si>
    <t>street</t>
  </si>
  <si>
    <t>inch</t>
  </si>
  <si>
    <t>multiply</t>
  </si>
  <si>
    <t>nothing</t>
  </si>
  <si>
    <t>course</t>
  </si>
  <si>
    <t>stay</t>
  </si>
  <si>
    <t>wheel</t>
  </si>
  <si>
    <t>force</t>
  </si>
  <si>
    <t>blue</t>
  </si>
  <si>
    <t>object</t>
  </si>
  <si>
    <t>decide</t>
  </si>
  <si>
    <t>surface</t>
  </si>
  <si>
    <t>deep</t>
  </si>
  <si>
    <t>moon</t>
  </si>
  <si>
    <t>island</t>
  </si>
  <si>
    <t>foot</t>
  </si>
  <si>
    <t>busy</t>
  </si>
  <si>
    <t>test</t>
  </si>
  <si>
    <t>record</t>
  </si>
  <si>
    <t>boat</t>
  </si>
  <si>
    <t>common</t>
  </si>
  <si>
    <t>gold</t>
  </si>
  <si>
    <t>possible</t>
  </si>
  <si>
    <t>plane</t>
  </si>
  <si>
    <t>stead</t>
  </si>
  <si>
    <t>dry</t>
  </si>
  <si>
    <t>wonder</t>
  </si>
  <si>
    <t>laugh</t>
  </si>
  <si>
    <t>thousand</t>
  </si>
  <si>
    <t>ago</t>
  </si>
  <si>
    <t>shape</t>
  </si>
  <si>
    <t>equate</t>
  </si>
  <si>
    <t>miss</t>
  </si>
  <si>
    <t>brought</t>
  </si>
  <si>
    <t>heat</t>
  </si>
  <si>
    <t>snow</t>
  </si>
  <si>
    <t>tire</t>
  </si>
  <si>
    <t>bring</t>
  </si>
  <si>
    <t>yes</t>
  </si>
  <si>
    <t>distant</t>
  </si>
  <si>
    <t>fill</t>
  </si>
  <si>
    <t>east</t>
  </si>
  <si>
    <t>paint</t>
  </si>
  <si>
    <t>language</t>
  </si>
  <si>
    <t>among</t>
  </si>
  <si>
    <t>grand</t>
  </si>
  <si>
    <t>ball</t>
  </si>
  <si>
    <t>yet</t>
  </si>
  <si>
    <t>wave</t>
  </si>
  <si>
    <t>drop</t>
  </si>
  <si>
    <t>heart</t>
  </si>
  <si>
    <t>present</t>
  </si>
  <si>
    <t>heavy</t>
  </si>
  <si>
    <t>dance</t>
  </si>
  <si>
    <t>engine</t>
  </si>
  <si>
    <t>position</t>
  </si>
  <si>
    <t>arm</t>
  </si>
  <si>
    <t>wide</t>
  </si>
  <si>
    <t>sail</t>
  </si>
  <si>
    <t>material</t>
  </si>
  <si>
    <t>vary</t>
  </si>
  <si>
    <t>settle</t>
  </si>
  <si>
    <t>speak</t>
  </si>
  <si>
    <t>weight</t>
  </si>
  <si>
    <t>matter</t>
  </si>
  <si>
    <t>circle</t>
  </si>
  <si>
    <t>pair</t>
  </si>
  <si>
    <t>divide</t>
  </si>
  <si>
    <t>syllable</t>
  </si>
  <si>
    <t>felt</t>
  </si>
  <si>
    <t>perhaps</t>
  </si>
  <si>
    <t>pick</t>
  </si>
  <si>
    <t>sudden</t>
  </si>
  <si>
    <t>count</t>
  </si>
  <si>
    <t>square</t>
  </si>
  <si>
    <t>reason</t>
  </si>
  <si>
    <t>length</t>
  </si>
  <si>
    <t>represent</t>
  </si>
  <si>
    <t>region</t>
  </si>
  <si>
    <t>energy</t>
  </si>
  <si>
    <t>hunt</t>
  </si>
  <si>
    <t>probable</t>
  </si>
  <si>
    <t>bed</t>
  </si>
  <si>
    <t>brother</t>
  </si>
  <si>
    <t>egg</t>
  </si>
  <si>
    <t>ride</t>
  </si>
  <si>
    <t>cell</t>
  </si>
  <si>
    <t>believe</t>
  </si>
  <si>
    <t>fraction</t>
  </si>
  <si>
    <t>forest</t>
  </si>
  <si>
    <t>sit</t>
  </si>
  <si>
    <t>race</t>
  </si>
  <si>
    <t>window</t>
  </si>
  <si>
    <t>summer</t>
  </si>
  <si>
    <t>train</t>
  </si>
  <si>
    <t>sleep</t>
  </si>
  <si>
    <t>prove</t>
  </si>
  <si>
    <t>lone</t>
  </si>
  <si>
    <t>leg</t>
  </si>
  <si>
    <t>exercise</t>
  </si>
  <si>
    <t>wall</t>
  </si>
  <si>
    <t>catch</t>
  </si>
  <si>
    <t>mount</t>
  </si>
  <si>
    <t>wish</t>
  </si>
  <si>
    <t>sky</t>
  </si>
  <si>
    <t>joy</t>
  </si>
  <si>
    <t>winter</t>
  </si>
  <si>
    <t>sat</t>
  </si>
  <si>
    <t>written</t>
  </si>
  <si>
    <t>wild</t>
  </si>
  <si>
    <t>instrument</t>
  </si>
  <si>
    <t>kept</t>
  </si>
  <si>
    <t>glass</t>
  </si>
  <si>
    <t>grass</t>
  </si>
  <si>
    <t>cow</t>
  </si>
  <si>
    <t>job</t>
  </si>
  <si>
    <t>edge</t>
  </si>
  <si>
    <t>past</t>
  </si>
  <si>
    <t>soft</t>
  </si>
  <si>
    <t>fun</t>
  </si>
  <si>
    <t>bright</t>
  </si>
  <si>
    <t>gas</t>
  </si>
  <si>
    <t>weather</t>
  </si>
  <si>
    <t>month</t>
  </si>
  <si>
    <t>million</t>
  </si>
  <si>
    <t>bear</t>
  </si>
  <si>
    <t>finish</t>
  </si>
  <si>
    <t>happy</t>
  </si>
  <si>
    <t>hope</t>
  </si>
  <si>
    <t>flower</t>
  </si>
  <si>
    <t>clothe</t>
  </si>
  <si>
    <t>strange</t>
  </si>
  <si>
    <t>gone</t>
  </si>
  <si>
    <t>jump</t>
  </si>
  <si>
    <t>baby</t>
  </si>
  <si>
    <t>eight</t>
  </si>
  <si>
    <t>village</t>
  </si>
  <si>
    <t>meet</t>
  </si>
  <si>
    <t>root</t>
  </si>
  <si>
    <t>raise</t>
  </si>
  <si>
    <t>solve</t>
  </si>
  <si>
    <t>metal</t>
  </si>
  <si>
    <t>whether</t>
  </si>
  <si>
    <t>push</t>
  </si>
  <si>
    <t>seven</t>
  </si>
  <si>
    <t>paragraph</t>
  </si>
  <si>
    <t>third</t>
  </si>
  <si>
    <t>held</t>
  </si>
  <si>
    <t>hair</t>
  </si>
  <si>
    <t>describe</t>
  </si>
  <si>
    <t>cook</t>
  </si>
  <si>
    <t>floor</t>
  </si>
  <si>
    <t>either</t>
  </si>
  <si>
    <t>result</t>
  </si>
  <si>
    <t>burn</t>
  </si>
  <si>
    <t>hill</t>
  </si>
  <si>
    <t>safe</t>
  </si>
  <si>
    <t>cat</t>
  </si>
  <si>
    <t>century</t>
  </si>
  <si>
    <t>consider</t>
  </si>
  <si>
    <t>law</t>
  </si>
  <si>
    <t>bit</t>
  </si>
  <si>
    <t>coast</t>
  </si>
  <si>
    <t>copy</t>
  </si>
  <si>
    <t>phrase</t>
  </si>
  <si>
    <t>silent</t>
  </si>
  <si>
    <t>tall</t>
  </si>
  <si>
    <t>sand</t>
  </si>
  <si>
    <t>soil</t>
  </si>
  <si>
    <t>roll</t>
  </si>
  <si>
    <t>temperature</t>
  </si>
  <si>
    <t>finger</t>
  </si>
  <si>
    <t>industry</t>
  </si>
  <si>
    <t>value</t>
  </si>
  <si>
    <t>fight</t>
  </si>
  <si>
    <t>lie</t>
  </si>
  <si>
    <t>beat</t>
  </si>
  <si>
    <t>excite</t>
  </si>
  <si>
    <t>natural</t>
  </si>
  <si>
    <t>sense</t>
  </si>
  <si>
    <t>else</t>
  </si>
  <si>
    <t>quite</t>
  </si>
  <si>
    <t>broke</t>
  </si>
  <si>
    <t>middle</t>
  </si>
  <si>
    <t>kill</t>
  </si>
  <si>
    <t>son</t>
  </si>
  <si>
    <t>lake</t>
  </si>
  <si>
    <t>moment</t>
  </si>
  <si>
    <t>scale</t>
  </si>
  <si>
    <t>loud</t>
  </si>
  <si>
    <t>spring</t>
  </si>
  <si>
    <t>observe</t>
  </si>
  <si>
    <t>child</t>
  </si>
  <si>
    <t>straight</t>
  </si>
  <si>
    <t>consonant</t>
  </si>
  <si>
    <t>nation</t>
  </si>
  <si>
    <t>dictionary</t>
  </si>
  <si>
    <t>milk</t>
  </si>
  <si>
    <t>speed</t>
  </si>
  <si>
    <t>method</t>
  </si>
  <si>
    <t>organ</t>
  </si>
  <si>
    <t>pay</t>
  </si>
  <si>
    <t>dress</t>
  </si>
  <si>
    <t>cloud</t>
  </si>
  <si>
    <t>surprise</t>
  </si>
  <si>
    <t>quiet</t>
  </si>
  <si>
    <t>stone</t>
  </si>
  <si>
    <t>tiny</t>
  </si>
  <si>
    <t>climb</t>
  </si>
  <si>
    <t>cool</t>
  </si>
  <si>
    <t>poor</t>
  </si>
  <si>
    <t>lot</t>
  </si>
  <si>
    <t>experiment</t>
  </si>
  <si>
    <t>bottom</t>
  </si>
  <si>
    <t>key</t>
  </si>
  <si>
    <t>iron</t>
  </si>
  <si>
    <t>single</t>
  </si>
  <si>
    <t>stick</t>
  </si>
  <si>
    <t>flat</t>
  </si>
  <si>
    <t>twenty</t>
  </si>
  <si>
    <t>skin</t>
  </si>
  <si>
    <t>smile</t>
  </si>
  <si>
    <t>crease</t>
  </si>
  <si>
    <t>hole</t>
  </si>
  <si>
    <t>trade</t>
  </si>
  <si>
    <t>melody</t>
  </si>
  <si>
    <t>trip</t>
  </si>
  <si>
    <t>receive</t>
  </si>
  <si>
    <t>row</t>
  </si>
  <si>
    <t>mouth</t>
  </si>
  <si>
    <t>exact</t>
  </si>
  <si>
    <t>symbol</t>
  </si>
  <si>
    <t>die</t>
  </si>
  <si>
    <t>least</t>
  </si>
  <si>
    <t>trouble</t>
  </si>
  <si>
    <t>shout</t>
  </si>
  <si>
    <t>except</t>
  </si>
  <si>
    <t>wrote</t>
  </si>
  <si>
    <t>seed</t>
  </si>
  <si>
    <t>tone</t>
  </si>
  <si>
    <t>join</t>
  </si>
  <si>
    <t>suggest</t>
  </si>
  <si>
    <t>clean</t>
  </si>
  <si>
    <t>break</t>
  </si>
  <si>
    <t>lady</t>
  </si>
  <si>
    <t>yard</t>
  </si>
  <si>
    <t>rise</t>
  </si>
  <si>
    <t>bad</t>
  </si>
  <si>
    <t>blow</t>
  </si>
  <si>
    <t>oil</t>
  </si>
  <si>
    <t>blood</t>
  </si>
  <si>
    <t>touch</t>
  </si>
  <si>
    <t>grew</t>
  </si>
  <si>
    <t>cent</t>
  </si>
  <si>
    <t>mix</t>
  </si>
  <si>
    <t>team</t>
  </si>
  <si>
    <t>wire</t>
  </si>
  <si>
    <t>cost</t>
  </si>
  <si>
    <t>lost</t>
  </si>
  <si>
    <t>brown</t>
  </si>
  <si>
    <t>wear</t>
  </si>
  <si>
    <t>garden</t>
  </si>
  <si>
    <t>equal</t>
  </si>
  <si>
    <t>sent</t>
  </si>
  <si>
    <t>choose</t>
  </si>
  <si>
    <t>fell</t>
  </si>
  <si>
    <t>fit</t>
  </si>
  <si>
    <t>flow</t>
  </si>
  <si>
    <t>fair</t>
  </si>
  <si>
    <t>bank</t>
  </si>
  <si>
    <t>collect</t>
  </si>
  <si>
    <t>decimal</t>
  </si>
  <si>
    <t>gentle</t>
  </si>
  <si>
    <t>woman</t>
  </si>
  <si>
    <t>captain</t>
  </si>
  <si>
    <t>practice</t>
  </si>
  <si>
    <t>separate</t>
  </si>
  <si>
    <t>difficult</t>
  </si>
  <si>
    <t>doctor</t>
  </si>
  <si>
    <t>protect</t>
  </si>
  <si>
    <t>noon</t>
  </si>
  <si>
    <t>whose</t>
  </si>
  <si>
    <t>locate</t>
  </si>
  <si>
    <t>ring</t>
  </si>
  <si>
    <t>character</t>
  </si>
  <si>
    <t>insect</t>
  </si>
  <si>
    <t>caught</t>
  </si>
  <si>
    <t>period</t>
  </si>
  <si>
    <t>indicate</t>
  </si>
  <si>
    <t>radio</t>
  </si>
  <si>
    <t>spoke</t>
  </si>
  <si>
    <t>atom</t>
  </si>
  <si>
    <t>human</t>
  </si>
  <si>
    <t>effect</t>
  </si>
  <si>
    <t>electric</t>
  </si>
  <si>
    <t>expect</t>
  </si>
  <si>
    <t>crop</t>
  </si>
  <si>
    <t>modern</t>
  </si>
  <si>
    <t>element</t>
  </si>
  <si>
    <t>hit</t>
  </si>
  <si>
    <t>student</t>
  </si>
  <si>
    <t>corner</t>
  </si>
  <si>
    <t>party</t>
  </si>
  <si>
    <t>supply</t>
  </si>
  <si>
    <t>bone</t>
  </si>
  <si>
    <t>rail</t>
  </si>
  <si>
    <t>imagine</t>
  </si>
  <si>
    <t>provide</t>
  </si>
  <si>
    <t>agree</t>
  </si>
  <si>
    <t>thus</t>
  </si>
  <si>
    <t>capital</t>
  </si>
  <si>
    <t>won't</t>
  </si>
  <si>
    <t>chair</t>
  </si>
  <si>
    <t>danger</t>
  </si>
  <si>
    <t>fruit</t>
  </si>
  <si>
    <t>rich</t>
  </si>
  <si>
    <t>thick</t>
  </si>
  <si>
    <t>soldier</t>
  </si>
  <si>
    <t>process</t>
  </si>
  <si>
    <t>operate</t>
  </si>
  <si>
    <t>guess</t>
  </si>
  <si>
    <t>necessary</t>
  </si>
  <si>
    <t>sharp</t>
  </si>
  <si>
    <t>wing</t>
  </si>
  <si>
    <t>create</t>
  </si>
  <si>
    <t>neighbor</t>
  </si>
  <si>
    <t>wash</t>
  </si>
  <si>
    <t>bat</t>
  </si>
  <si>
    <t>rather</t>
  </si>
  <si>
    <t>crowd</t>
  </si>
  <si>
    <t>corn</t>
  </si>
  <si>
    <t>poem</t>
  </si>
  <si>
    <t>string</t>
  </si>
  <si>
    <t>bell</t>
  </si>
  <si>
    <t>depend</t>
  </si>
  <si>
    <t>meat</t>
  </si>
  <si>
    <t>rub</t>
  </si>
  <si>
    <t>tube</t>
  </si>
  <si>
    <t>famous</t>
  </si>
  <si>
    <t>dollar</t>
  </si>
  <si>
    <t>stream</t>
  </si>
  <si>
    <t>fear</t>
  </si>
  <si>
    <t>sight</t>
  </si>
  <si>
    <t>triangle</t>
  </si>
  <si>
    <t>planet</t>
  </si>
  <si>
    <t>hurry</t>
  </si>
  <si>
    <t>chief</t>
  </si>
  <si>
    <t>colony</t>
  </si>
  <si>
    <t>clock</t>
  </si>
  <si>
    <t>mine</t>
  </si>
  <si>
    <t>tie</t>
  </si>
  <si>
    <t>enter</t>
  </si>
  <si>
    <t>major</t>
  </si>
  <si>
    <t>fresh</t>
  </si>
  <si>
    <t>yellow</t>
  </si>
  <si>
    <t>gun</t>
  </si>
  <si>
    <t>allow</t>
  </si>
  <si>
    <t>print</t>
  </si>
  <si>
    <t>dead</t>
  </si>
  <si>
    <t>spot</t>
  </si>
  <si>
    <t>desert</t>
  </si>
  <si>
    <t>suit</t>
  </si>
  <si>
    <t>lift</t>
  </si>
  <si>
    <t>rose</t>
  </si>
  <si>
    <t>continue</t>
  </si>
  <si>
    <t>block</t>
  </si>
  <si>
    <t>chart</t>
  </si>
  <si>
    <t>sell</t>
  </si>
  <si>
    <t>success</t>
  </si>
  <si>
    <t>subtract</t>
  </si>
  <si>
    <t>event</t>
  </si>
  <si>
    <t>particular</t>
  </si>
  <si>
    <t>deal</t>
  </si>
  <si>
    <t>swim</t>
  </si>
  <si>
    <t>term</t>
  </si>
  <si>
    <t>opposite</t>
  </si>
  <si>
    <t>wife</t>
  </si>
  <si>
    <t>shoe</t>
  </si>
  <si>
    <t>shoulder</t>
  </si>
  <si>
    <t>spread</t>
  </si>
  <si>
    <t>arrange</t>
  </si>
  <si>
    <t>camp</t>
  </si>
  <si>
    <t>invent</t>
  </si>
  <si>
    <t>cotton</t>
  </si>
  <si>
    <t>born</t>
  </si>
  <si>
    <t>determine</t>
  </si>
  <si>
    <t>quart</t>
  </si>
  <si>
    <t>nine</t>
  </si>
  <si>
    <t>truck</t>
  </si>
  <si>
    <t>noise</t>
  </si>
  <si>
    <t>chance</t>
  </si>
  <si>
    <t>gather</t>
  </si>
  <si>
    <t>stretch</t>
  </si>
  <si>
    <t>throw</t>
  </si>
  <si>
    <t>shine</t>
  </si>
  <si>
    <t>property</t>
  </si>
  <si>
    <t>column</t>
  </si>
  <si>
    <t>molecule</t>
  </si>
  <si>
    <t>select</t>
  </si>
  <si>
    <t>wrong</t>
  </si>
  <si>
    <t>gray</t>
  </si>
  <si>
    <t>repeat</t>
  </si>
  <si>
    <t>require</t>
  </si>
  <si>
    <t>broad</t>
  </si>
  <si>
    <t>prepare</t>
  </si>
  <si>
    <t>salt</t>
  </si>
  <si>
    <t>nose</t>
  </si>
  <si>
    <t>plural</t>
  </si>
  <si>
    <t>anger</t>
  </si>
  <si>
    <t>claim</t>
  </si>
  <si>
    <t>continent</t>
  </si>
  <si>
    <t>oxygen</t>
  </si>
  <si>
    <t>sugar</t>
  </si>
  <si>
    <t>death</t>
  </si>
  <si>
    <t>pretty</t>
  </si>
  <si>
    <t>skill</t>
  </si>
  <si>
    <t>season</t>
  </si>
  <si>
    <t>solution</t>
  </si>
  <si>
    <t>magnet</t>
  </si>
  <si>
    <t>silver</t>
  </si>
  <si>
    <t>thank</t>
  </si>
  <si>
    <t>branch</t>
  </si>
  <si>
    <t>match</t>
  </si>
  <si>
    <t>suffix</t>
  </si>
  <si>
    <t>especially</t>
  </si>
  <si>
    <t>fig</t>
  </si>
  <si>
    <t>afraid</t>
  </si>
  <si>
    <t>huge</t>
  </si>
  <si>
    <t>sister</t>
  </si>
  <si>
    <t>steel</t>
  </si>
  <si>
    <t>discuss</t>
  </si>
  <si>
    <t>forward</t>
  </si>
  <si>
    <t>similar</t>
  </si>
  <si>
    <t>experience</t>
  </si>
  <si>
    <t>score</t>
  </si>
  <si>
    <t>apple</t>
  </si>
  <si>
    <t>bought</t>
  </si>
  <si>
    <t>led</t>
  </si>
  <si>
    <t>pitch</t>
  </si>
  <si>
    <t>coat</t>
  </si>
  <si>
    <t>mass</t>
  </si>
  <si>
    <t>card</t>
  </si>
  <si>
    <t>band</t>
  </si>
  <si>
    <t>rope</t>
  </si>
  <si>
    <t>slip</t>
  </si>
  <si>
    <t>win</t>
  </si>
  <si>
    <t>dream</t>
  </si>
  <si>
    <t>evening</t>
  </si>
  <si>
    <t>condition</t>
  </si>
  <si>
    <t>feed</t>
  </si>
  <si>
    <t>tool</t>
  </si>
  <si>
    <t>basic</t>
  </si>
  <si>
    <t>smell</t>
  </si>
  <si>
    <t>valley</t>
  </si>
  <si>
    <t>nor</t>
  </si>
  <si>
    <t>double</t>
  </si>
  <si>
    <t>seat</t>
  </si>
  <si>
    <t>arrive</t>
  </si>
  <si>
    <t>master</t>
  </si>
  <si>
    <t>track</t>
  </si>
  <si>
    <t>parent</t>
  </si>
  <si>
    <t>shore</t>
  </si>
  <si>
    <t>division</t>
  </si>
  <si>
    <t>sheet</t>
  </si>
  <si>
    <t>substance</t>
  </si>
  <si>
    <t>favor</t>
  </si>
  <si>
    <t>connect</t>
  </si>
  <si>
    <t>spend</t>
  </si>
  <si>
    <t>chord</t>
  </si>
  <si>
    <t>fat</t>
  </si>
  <si>
    <t>glad</t>
  </si>
  <si>
    <t>original</t>
  </si>
  <si>
    <t>share</t>
  </si>
  <si>
    <t>station</t>
  </si>
  <si>
    <t>dad</t>
  </si>
  <si>
    <t>bread</t>
  </si>
  <si>
    <t>charge</t>
  </si>
  <si>
    <t>proper</t>
  </si>
  <si>
    <t>bar</t>
  </si>
  <si>
    <t>offer</t>
  </si>
  <si>
    <t>segment</t>
  </si>
  <si>
    <t>slave</t>
  </si>
  <si>
    <t>duck</t>
  </si>
  <si>
    <t>instant</t>
  </si>
  <si>
    <t>market</t>
  </si>
  <si>
    <t>degree</t>
  </si>
  <si>
    <t>populate</t>
  </si>
  <si>
    <t>chick</t>
  </si>
  <si>
    <t>dear</t>
  </si>
  <si>
    <t>enemy</t>
  </si>
  <si>
    <t>drink</t>
  </si>
  <si>
    <t>occur</t>
  </si>
  <si>
    <t>speech</t>
  </si>
  <si>
    <t>nature</t>
  </si>
  <si>
    <t>range</t>
  </si>
  <si>
    <t>steam</t>
  </si>
  <si>
    <t>motion</t>
  </si>
  <si>
    <t>path</t>
  </si>
  <si>
    <t>liquid</t>
  </si>
  <si>
    <t>log</t>
  </si>
  <si>
    <t>meant</t>
  </si>
  <si>
    <t>quotient</t>
  </si>
  <si>
    <t>teeth</t>
  </si>
  <si>
    <t>shell</t>
  </si>
  <si>
    <t>neck</t>
  </si>
  <si>
    <t>himself</t>
  </si>
  <si>
    <t>around</t>
  </si>
  <si>
    <t>however</t>
  </si>
  <si>
    <t>become</t>
  </si>
  <si>
    <t>upon</t>
  </si>
  <si>
    <t>government</t>
  </si>
  <si>
    <t>didn't</t>
  </si>
  <si>
    <t>away</t>
  </si>
  <si>
    <t>called</t>
  </si>
  <si>
    <t>eyes</t>
  </si>
  <si>
    <t>something</t>
  </si>
  <si>
    <t>unite</t>
  </si>
  <si>
    <t>going</t>
  </si>
  <si>
    <t>asked</t>
  </si>
  <si>
    <t>later</t>
  </si>
  <si>
    <t>almost</t>
  </si>
  <si>
    <t>given</t>
  </si>
  <si>
    <t>national</t>
  </si>
  <si>
    <t>social</t>
  </si>
  <si>
    <t>business</t>
  </si>
  <si>
    <t>president</t>
  </si>
  <si>
    <t>things</t>
  </si>
  <si>
    <t>looked</t>
  </si>
  <si>
    <t>church</t>
  </si>
  <si>
    <t>important</t>
  </si>
  <si>
    <t>development</t>
  </si>
  <si>
    <t>seemed</t>
  </si>
  <si>
    <t>others</t>
  </si>
  <si>
    <t>along</t>
  </si>
  <si>
    <t>turned</t>
  </si>
  <si>
    <t>god</t>
  </si>
  <si>
    <t>means</t>
  </si>
  <si>
    <t>itself</t>
  </si>
  <si>
    <t>action</t>
  </si>
  <si>
    <t>it's</t>
  </si>
  <si>
    <t>different</t>
  </si>
  <si>
    <t>hands</t>
  </si>
  <si>
    <t>although</t>
  </si>
  <si>
    <t>inform</t>
  </si>
  <si>
    <t>taken</t>
  </si>
  <si>
    <t>seen</t>
  </si>
  <si>
    <t>having</t>
  </si>
  <si>
    <t>really</t>
  </si>
  <si>
    <t>increase</t>
  </si>
  <si>
    <t>themselves</t>
  </si>
  <si>
    <t>information</t>
  </si>
  <si>
    <t>probably</t>
  </si>
  <si>
    <t>seems</t>
  </si>
  <si>
    <t>cannot</t>
  </si>
  <si>
    <t>across</t>
  </si>
  <si>
    <t>anything</t>
  </si>
  <si>
    <t>making</t>
  </si>
  <si>
    <t>problems</t>
  </si>
  <si>
    <t>became</t>
  </si>
  <si>
    <t>known</t>
  </si>
  <si>
    <t>already</t>
  </si>
  <si>
    <t>political</t>
  </si>
  <si>
    <t>court</t>
  </si>
  <si>
    <t>community</t>
  </si>
  <si>
    <t>society</t>
  </si>
  <si>
    <t>wanted</t>
  </si>
  <si>
    <t>organize</t>
  </si>
  <si>
    <t>education</t>
  </si>
  <si>
    <t>students</t>
  </si>
  <si>
    <t>tax</t>
  </si>
  <si>
    <t>university</t>
  </si>
  <si>
    <t>spirit</t>
  </si>
  <si>
    <t>future</t>
  </si>
  <si>
    <t>usually</t>
  </si>
  <si>
    <t>recent</t>
  </si>
  <si>
    <t>evidence</t>
  </si>
  <si>
    <t>further</t>
  </si>
  <si>
    <t>sometimes</t>
  </si>
  <si>
    <t>says</t>
  </si>
  <si>
    <t>situation</t>
  </si>
  <si>
    <t>outside</t>
  </si>
  <si>
    <t>lines</t>
  </si>
  <si>
    <t>peace</t>
  </si>
  <si>
    <t>member</t>
  </si>
  <si>
    <t>minutes</t>
  </si>
  <si>
    <t>schools</t>
  </si>
  <si>
    <t>living</t>
  </si>
  <si>
    <t>months</t>
  </si>
  <si>
    <t>therefore</t>
  </si>
  <si>
    <t>started</t>
  </si>
  <si>
    <t>longer</t>
  </si>
  <si>
    <t>various</t>
  </si>
  <si>
    <t>finally</t>
  </si>
  <si>
    <t>greater</t>
  </si>
  <si>
    <t>pressure</t>
  </si>
  <si>
    <t>stage</t>
  </si>
  <si>
    <t>expected</t>
  </si>
  <si>
    <t>secretary</t>
  </si>
  <si>
    <t>needed</t>
  </si>
  <si>
    <t>values</t>
  </si>
  <si>
    <t>union</t>
  </si>
  <si>
    <t>private</t>
  </si>
  <si>
    <t>alone</t>
  </si>
  <si>
    <t>required</t>
  </si>
  <si>
    <t>english</t>
  </si>
  <si>
    <t>understand</t>
  </si>
  <si>
    <t>moved</t>
  </si>
  <si>
    <t>amount</t>
  </si>
  <si>
    <t>conditions</t>
  </si>
  <si>
    <t>nations</t>
  </si>
  <si>
    <t>costs</t>
  </si>
  <si>
    <t>taking</t>
  </si>
  <si>
    <t>couldn't</t>
  </si>
  <si>
    <t>forces</t>
  </si>
  <si>
    <t>everything</t>
  </si>
  <si>
    <t>coming</t>
  </si>
  <si>
    <t>effort</t>
  </si>
  <si>
    <t>purpose</t>
  </si>
  <si>
    <t>basis</t>
  </si>
  <si>
    <t>looking</t>
  </si>
  <si>
    <t>difference</t>
  </si>
  <si>
    <t>entire</t>
  </si>
  <si>
    <t>followed</t>
  </si>
  <si>
    <t>feeling</t>
  </si>
  <si>
    <t>makes</t>
  </si>
  <si>
    <t>attention</t>
  </si>
  <si>
    <t>developed</t>
  </si>
  <si>
    <t>tried</t>
  </si>
  <si>
    <t>simply</t>
  </si>
  <si>
    <t>can't</t>
  </si>
  <si>
    <t>committee</t>
  </si>
  <si>
    <t>inside</t>
  </si>
  <si>
    <t>reached</t>
  </si>
  <si>
    <t>easy</t>
  </si>
  <si>
    <t>accord</t>
  </si>
  <si>
    <t>beyond</t>
  </si>
  <si>
    <t>shown</t>
  </si>
  <si>
    <t>religious</t>
  </si>
  <si>
    <t>defense</t>
  </si>
  <si>
    <t>getting</t>
  </si>
  <si>
    <t>beginning</t>
  </si>
  <si>
    <t>instead</t>
  </si>
  <si>
    <t>received</t>
  </si>
  <si>
    <t>doing</t>
  </si>
  <si>
    <t>employ</t>
  </si>
  <si>
    <t>trying</t>
  </si>
  <si>
    <t>friends</t>
  </si>
  <si>
    <t>sort</t>
  </si>
  <si>
    <t>administration</t>
  </si>
  <si>
    <t>higher</t>
  </si>
  <si>
    <t>building</t>
  </si>
  <si>
    <t>religion</t>
  </si>
  <si>
    <t>meeting</t>
  </si>
  <si>
    <t>walked</t>
  </si>
  <si>
    <t>passed</t>
  </si>
  <si>
    <t>foreign</t>
  </si>
  <si>
    <t>medical</t>
  </si>
  <si>
    <t>training</t>
  </si>
  <si>
    <t>indeed</t>
  </si>
  <si>
    <t>wasn't</t>
  </si>
  <si>
    <t>likely</t>
  </si>
  <si>
    <t>moral</t>
  </si>
  <si>
    <t>club</t>
  </si>
  <si>
    <t>needs</t>
  </si>
  <si>
    <t>international</t>
  </si>
  <si>
    <t>working</t>
  </si>
  <si>
    <t>countries</t>
  </si>
  <si>
    <t>police</t>
  </si>
  <si>
    <t>stock</t>
  </si>
  <si>
    <t>happened</t>
  </si>
  <si>
    <t>growth</t>
  </si>
  <si>
    <t>cases</t>
  </si>
  <si>
    <t>effective</t>
  </si>
  <si>
    <t>involved</t>
  </si>
  <si>
    <t>earlier</t>
  </si>
  <si>
    <t>increased</t>
  </si>
  <si>
    <t>hall</t>
  </si>
  <si>
    <t>particularly</t>
  </si>
  <si>
    <t>boys</t>
  </si>
  <si>
    <t>paid</t>
  </si>
  <si>
    <t>production</t>
  </si>
  <si>
    <t>district</t>
  </si>
  <si>
    <t>thinking</t>
  </si>
  <si>
    <t>concern</t>
  </si>
  <si>
    <t>girls</t>
  </si>
  <si>
    <t>direction</t>
  </si>
  <si>
    <t>trial</t>
  </si>
  <si>
    <t>weeks</t>
  </si>
  <si>
    <t>points</t>
  </si>
  <si>
    <t>respect</t>
  </si>
  <si>
    <t>certainly</t>
  </si>
  <si>
    <t>ideas</t>
  </si>
  <si>
    <t>industrial</t>
  </si>
  <si>
    <t>methods</t>
  </si>
  <si>
    <t>operation</t>
  </si>
  <si>
    <t>addition</t>
  </si>
  <si>
    <t>association</t>
  </si>
  <si>
    <t>combine</t>
  </si>
  <si>
    <t>knowledge</t>
  </si>
  <si>
    <t>decided</t>
  </si>
  <si>
    <t>statement</t>
  </si>
  <si>
    <t>below</t>
  </si>
  <si>
    <t>nearly</t>
  </si>
  <si>
    <t>directly</t>
  </si>
  <si>
    <t>influence</t>
  </si>
  <si>
    <t>showed</t>
  </si>
  <si>
    <t>throughout</t>
  </si>
  <si>
    <t>questions</t>
  </si>
  <si>
    <t>firm</t>
  </si>
  <si>
    <t>reading</t>
  </si>
  <si>
    <t>husband</t>
  </si>
  <si>
    <t>doubt</t>
  </si>
  <si>
    <t>services</t>
  </si>
  <si>
    <t>according</t>
  </si>
  <si>
    <t>programs</t>
  </si>
  <si>
    <t>anyone</t>
  </si>
  <si>
    <t>average</t>
  </si>
  <si>
    <t>former</t>
  </si>
  <si>
    <t>bill</t>
  </si>
  <si>
    <t>due</t>
  </si>
  <si>
    <t>comes</t>
  </si>
  <si>
    <t>army</t>
  </si>
  <si>
    <t>actual</t>
  </si>
  <si>
    <t>neither</t>
  </si>
  <si>
    <t>relate</t>
  </si>
  <si>
    <t>normal</t>
  </si>
  <si>
    <t>population</t>
  </si>
  <si>
    <t>remain</t>
  </si>
  <si>
    <t>merely</t>
  </si>
  <si>
    <t>decision</t>
  </si>
  <si>
    <t>opportunity</t>
  </si>
  <si>
    <t>demand</t>
  </si>
  <si>
    <t>strength</t>
  </si>
  <si>
    <t>active</t>
  </si>
  <si>
    <t>western</t>
  </si>
  <si>
    <t>sales</t>
  </si>
  <si>
    <t>continued</t>
  </si>
  <si>
    <t>standard</t>
  </si>
  <si>
    <t>generally</t>
  </si>
  <si>
    <t>provided</t>
  </si>
  <si>
    <t>serious</t>
  </si>
  <si>
    <t>opened</t>
  </si>
  <si>
    <t>performance</t>
  </si>
  <si>
    <t>maybe</t>
  </si>
  <si>
    <t>changes</t>
  </si>
  <si>
    <t>literature</t>
  </si>
  <si>
    <t>marry</t>
  </si>
  <si>
    <t>works</t>
  </si>
  <si>
    <t>planning</t>
  </si>
  <si>
    <t>officer</t>
  </si>
  <si>
    <t>stopped</t>
  </si>
  <si>
    <t>lack</t>
  </si>
  <si>
    <t>myself</t>
  </si>
  <si>
    <t>truth</t>
  </si>
  <si>
    <t>freedom</t>
  </si>
  <si>
    <t>manner</t>
  </si>
  <si>
    <t>manufacture</t>
  </si>
  <si>
    <t>clearly</t>
  </si>
  <si>
    <t>movement</t>
  </si>
  <si>
    <t>ways</t>
  </si>
  <si>
    <t>forms</t>
  </si>
  <si>
    <t>somewhat</t>
  </si>
  <si>
    <t>efforts</t>
  </si>
  <si>
    <t>meaning</t>
  </si>
  <si>
    <t>progress</t>
  </si>
  <si>
    <t>treatment</t>
  </si>
  <si>
    <t>beautiful</t>
  </si>
  <si>
    <t>placed</t>
  </si>
  <si>
    <t>attack</t>
  </si>
  <si>
    <t>apparently</t>
  </si>
  <si>
    <t>groups</t>
  </si>
  <si>
    <t>carried</t>
  </si>
  <si>
    <t>regard</t>
  </si>
  <si>
    <t>man's</t>
  </si>
  <si>
    <t>herself</t>
  </si>
  <si>
    <t>numbers</t>
  </si>
  <si>
    <t>immediately</t>
  </si>
  <si>
    <t>running</t>
  </si>
  <si>
    <t>recently</t>
  </si>
  <si>
    <t>shake</t>
  </si>
  <si>
    <t>larger</t>
  </si>
  <si>
    <t>lower</t>
  </si>
  <si>
    <t>attempt</t>
  </si>
  <si>
    <t>couple</t>
  </si>
  <si>
    <t>audience</t>
  </si>
  <si>
    <t>persons</t>
  </si>
  <si>
    <t>understanding</t>
  </si>
  <si>
    <t>arms</t>
  </si>
  <si>
    <t>daily</t>
  </si>
  <si>
    <t>suppose</t>
  </si>
  <si>
    <t>additional</t>
  </si>
  <si>
    <t>hospital</t>
  </si>
  <si>
    <t>pool</t>
  </si>
  <si>
    <t>technical</t>
  </si>
  <si>
    <t>served</t>
  </si>
  <si>
    <t>declare</t>
  </si>
  <si>
    <t>described</t>
  </si>
  <si>
    <t>steps</t>
  </si>
  <si>
    <t>reported</t>
  </si>
  <si>
    <t>determined</t>
  </si>
  <si>
    <t>park</t>
  </si>
  <si>
    <t>staff</t>
  </si>
  <si>
    <t>faith</t>
  </si>
  <si>
    <t>responsibility</t>
  </si>
  <si>
    <t>latter</t>
  </si>
  <si>
    <t>learned</t>
  </si>
  <si>
    <t>writing</t>
  </si>
  <si>
    <t>ones</t>
  </si>
  <si>
    <t>choice</t>
  </si>
  <si>
    <t>fiscal</t>
  </si>
  <si>
    <t>scene</t>
  </si>
  <si>
    <t>activity</t>
  </si>
  <si>
    <t>types</t>
  </si>
  <si>
    <t>lived</t>
  </si>
  <si>
    <t>distance</t>
  </si>
  <si>
    <t>letters</t>
  </si>
  <si>
    <t>returned</t>
  </si>
  <si>
    <t>obtained</t>
  </si>
  <si>
    <t>specific</t>
  </si>
  <si>
    <t>fix</t>
  </si>
  <si>
    <t>slowly</t>
  </si>
  <si>
    <t>shot</t>
  </si>
  <si>
    <t>poet</t>
  </si>
  <si>
    <t>moving</t>
  </si>
  <si>
    <t>propose</t>
  </si>
  <si>
    <t>obviously</t>
  </si>
  <si>
    <t>plans</t>
  </si>
  <si>
    <t>whatever</t>
  </si>
  <si>
    <t>afternoon</t>
  </si>
  <si>
    <t>figures</t>
  </si>
  <si>
    <t>parts</t>
  </si>
  <si>
    <t>approve</t>
  </si>
  <si>
    <t>saying</t>
  </si>
  <si>
    <t>immediate</t>
  </si>
  <si>
    <t>fame</t>
  </si>
  <si>
    <t>gives</t>
  </si>
  <si>
    <t>extent</t>
  </si>
  <si>
    <t>justice</t>
  </si>
  <si>
    <t>cars</t>
  </si>
  <si>
    <t>opinion</t>
  </si>
  <si>
    <t>ahead</t>
  </si>
  <si>
    <t>refuse</t>
  </si>
  <si>
    <t>completely</t>
  </si>
  <si>
    <t>desire</t>
  </si>
  <si>
    <t>judge</t>
  </si>
  <si>
    <t>none</t>
  </si>
  <si>
    <t>waiting</t>
  </si>
  <si>
    <t>popular</t>
  </si>
  <si>
    <t>film</t>
  </si>
  <si>
    <t>importance</t>
  </si>
  <si>
    <t>n't</t>
  </si>
  <si>
    <t>issue</t>
  </si>
  <si>
    <t>lose</t>
  </si>
  <si>
    <t>kid</t>
  </si>
  <si>
    <t>guy</t>
  </si>
  <si>
    <t>teacher</t>
  </si>
  <si>
    <t>actually</t>
  </si>
  <si>
    <t>someone</t>
  </si>
  <si>
    <t>yeah</t>
  </si>
  <si>
    <t>role</t>
  </si>
  <si>
    <t>economic</t>
  </si>
  <si>
    <t>drug</t>
  </si>
  <si>
    <t>leader</t>
  </si>
  <si>
    <t>military</t>
  </si>
  <si>
    <t>explain</t>
  </si>
  <si>
    <t>relationship</t>
  </si>
  <si>
    <t>federal</t>
  </si>
  <si>
    <t>model</t>
  </si>
  <si>
    <t>director</t>
  </si>
  <si>
    <t>player</t>
  </si>
  <si>
    <t>official</t>
  </si>
  <si>
    <t>everyone</t>
  </si>
  <si>
    <t>patient</t>
  </si>
  <si>
    <t>worker</t>
  </si>
  <si>
    <t>movie</t>
  </si>
  <si>
    <t>source</t>
  </si>
  <si>
    <t>organization</t>
  </si>
  <si>
    <t>culture</t>
  </si>
  <si>
    <t>billion</t>
  </si>
  <si>
    <t>realize</t>
  </si>
  <si>
    <t>daughter</t>
  </si>
  <si>
    <t>campaign</t>
  </si>
  <si>
    <t>economy</t>
  </si>
  <si>
    <t>risk</t>
  </si>
  <si>
    <t>involve</t>
  </si>
  <si>
    <t>security</t>
  </si>
  <si>
    <t>sport</t>
  </si>
  <si>
    <t>seek</t>
  </si>
  <si>
    <t>behavior</t>
  </si>
  <si>
    <t>quickly</t>
  </si>
  <si>
    <t>goal</t>
  </si>
  <si>
    <t>author</t>
  </si>
  <si>
    <t>focus</t>
  </si>
  <si>
    <t>agency</t>
  </si>
  <si>
    <t>reduce</t>
  </si>
  <si>
    <t>series</t>
  </si>
  <si>
    <t>significant</t>
  </si>
  <si>
    <t>response</t>
  </si>
  <si>
    <t>factor</t>
  </si>
  <si>
    <t>decade</t>
  </si>
  <si>
    <t>article</t>
  </si>
  <si>
    <t>shoot</t>
  </si>
  <si>
    <t>artist</t>
  </si>
  <si>
    <t>career</t>
  </si>
  <si>
    <t>despite</t>
  </si>
  <si>
    <t>central</t>
  </si>
  <si>
    <t>exactly</t>
  </si>
  <si>
    <t>approach</t>
  </si>
  <si>
    <t>fund</t>
  </si>
  <si>
    <t>individual</t>
  </si>
  <si>
    <t>accept</t>
  </si>
  <si>
    <t>resource</t>
  </si>
  <si>
    <t>identify</t>
  </si>
  <si>
    <t>disease</t>
  </si>
  <si>
    <t>argue</t>
  </si>
  <si>
    <t>cup</t>
  </si>
  <si>
    <t>ability</t>
  </si>
  <si>
    <t>recognize</t>
  </si>
  <si>
    <t>loss</t>
  </si>
  <si>
    <t>television</t>
  </si>
  <si>
    <t>election</t>
  </si>
  <si>
    <t>everybody</t>
  </si>
  <si>
    <t>physical</t>
  </si>
  <si>
    <t>message</t>
  </si>
  <si>
    <t>fail</t>
  </si>
  <si>
    <t>analysis</t>
  </si>
  <si>
    <t>benefit</t>
  </si>
  <si>
    <t>lawyer</t>
  </si>
  <si>
    <t>environmental</t>
  </si>
  <si>
    <t>professor</t>
  </si>
  <si>
    <t>financial</t>
  </si>
  <si>
    <t>crime</t>
  </si>
  <si>
    <t>ok</t>
  </si>
  <si>
    <t>authority</t>
  </si>
  <si>
    <t>strategy</t>
  </si>
  <si>
    <t>democratic</t>
  </si>
  <si>
    <t>environment</t>
  </si>
  <si>
    <t>executive</t>
  </si>
  <si>
    <t>hang</t>
  </si>
  <si>
    <t>forget</t>
  </si>
  <si>
    <t>remove</t>
  </si>
  <si>
    <t>manager</t>
  </si>
  <si>
    <t>enjoy</t>
  </si>
  <si>
    <t>legal</t>
  </si>
  <si>
    <t>memory</t>
  </si>
  <si>
    <t>establish</t>
  </si>
  <si>
    <t>nice</t>
  </si>
  <si>
    <t>expert</t>
  </si>
  <si>
    <t>avoid</t>
  </si>
  <si>
    <t>tonight</t>
  </si>
  <si>
    <t>yourself</t>
  </si>
  <si>
    <t>theory</t>
  </si>
  <si>
    <t>impact</t>
  </si>
  <si>
    <t>respond</t>
  </si>
  <si>
    <t>maintain</t>
  </si>
  <si>
    <t>traditional</t>
  </si>
  <si>
    <t>onto</t>
  </si>
  <si>
    <t>reveal</t>
  </si>
  <si>
    <t>weapon</t>
  </si>
  <si>
    <t>employee</t>
  </si>
  <si>
    <t>cultural</t>
  </si>
  <si>
    <t>pain</t>
  </si>
  <si>
    <t>apply</t>
  </si>
  <si>
    <t>interview</t>
  </si>
  <si>
    <t>manage</t>
  </si>
  <si>
    <t>camera</t>
  </si>
  <si>
    <t>structure</t>
  </si>
  <si>
    <t>politics</t>
  </si>
  <si>
    <t>perform</t>
  </si>
  <si>
    <t>suddenly</t>
  </si>
  <si>
    <t>discover</t>
  </si>
  <si>
    <t>candidate</t>
  </si>
  <si>
    <t>treat</t>
  </si>
  <si>
    <t>affect</t>
  </si>
  <si>
    <t>conference</t>
  </si>
  <si>
    <t>style</t>
  </si>
  <si>
    <t>adult</t>
  </si>
  <si>
    <t>worry</t>
  </si>
  <si>
    <t>mention</t>
  </si>
  <si>
    <t>writer</t>
  </si>
  <si>
    <t>challenge</t>
  </si>
  <si>
    <t>institution</t>
  </si>
  <si>
    <t>improve</t>
  </si>
  <si>
    <t>stuff</t>
  </si>
  <si>
    <t>i</t>
  </si>
  <si>
    <t>mr</t>
  </si>
  <si>
    <t>american</t>
  </si>
  <si>
    <t>mrs</t>
  </si>
  <si>
    <t>john</t>
  </si>
  <si>
    <t>york</t>
  </si>
  <si>
    <t>i'm</t>
  </si>
  <si>
    <t>washington</t>
  </si>
  <si>
    <t>america</t>
  </si>
  <si>
    <t>that's</t>
  </si>
  <si>
    <t>i'll</t>
  </si>
  <si>
    <t>miles</t>
  </si>
  <si>
    <t>england</t>
  </si>
  <si>
    <t>william</t>
  </si>
  <si>
    <t>christian</t>
  </si>
  <si>
    <t>kennedy</t>
  </si>
  <si>
    <t>french</t>
  </si>
  <si>
    <t>southern</t>
  </si>
  <si>
    <t>e</t>
  </si>
  <si>
    <t>george</t>
  </si>
  <si>
    <t>soviet</t>
  </si>
  <si>
    <t>i've</t>
  </si>
  <si>
    <t>reaction</t>
  </si>
  <si>
    <t>europe</t>
  </si>
  <si>
    <t>british</t>
  </si>
  <si>
    <t>corps</t>
  </si>
  <si>
    <t>republican</t>
  </si>
  <si>
    <t>congress</t>
  </si>
  <si>
    <t>tv</t>
  </si>
  <si>
    <t>democrat</t>
  </si>
  <si>
    <t>hes</t>
  </si>
  <si>
    <t>der</t>
  </si>
  <si>
    <t>fth</t>
  </si>
  <si>
    <t>les</t>
  </si>
  <si>
    <t>ant</t>
  </si>
  <si>
    <t>ind</t>
  </si>
  <si>
    <t>pri</t>
  </si>
  <si>
    <t>ree</t>
  </si>
  <si>
    <t>ble</t>
  </si>
  <si>
    <t>ast</t>
  </si>
  <si>
    <t>nta</t>
  </si>
  <si>
    <t>tur</t>
  </si>
  <si>
    <t>por</t>
  </si>
  <si>
    <t>ght</t>
  </si>
  <si>
    <t>ain</t>
  </si>
  <si>
    <t>anc</t>
  </si>
  <si>
    <t>cha</t>
  </si>
  <si>
    <t>eas</t>
  </si>
  <si>
    <t>par</t>
  </si>
  <si>
    <t>ove</t>
  </si>
  <si>
    <t>nde</t>
  </si>
  <si>
    <t>rom</t>
  </si>
  <si>
    <t>rec</t>
  </si>
  <si>
    <t>ert</t>
  </si>
  <si>
    <t>lan</t>
  </si>
  <si>
    <t>cal</t>
  </si>
  <si>
    <t>sof</t>
  </si>
  <si>
    <t>orm</t>
  </si>
  <si>
    <t>tes</t>
  </si>
  <si>
    <t>ost</t>
  </si>
  <si>
    <t>tic</t>
  </si>
  <si>
    <t>hea</t>
  </si>
  <si>
    <t>ina</t>
  </si>
  <si>
    <t>wor</t>
  </si>
  <si>
    <t>ber</t>
  </si>
  <si>
    <t>lic</t>
  </si>
  <si>
    <t>han</t>
  </si>
  <si>
    <t>mat</t>
  </si>
  <si>
    <t>tat</t>
  </si>
  <si>
    <t>hin</t>
  </si>
  <si>
    <t>nes</t>
  </si>
  <si>
    <t>pre</t>
  </si>
  <si>
    <t>sho</t>
  </si>
  <si>
    <t>ren</t>
  </si>
  <si>
    <t>ein</t>
  </si>
  <si>
    <t>eme</t>
  </si>
  <si>
    <t>ric</t>
  </si>
  <si>
    <t>ust</t>
  </si>
  <si>
    <t>fro</t>
  </si>
  <si>
    <t>rth</t>
  </si>
  <si>
    <t>inc</t>
  </si>
  <si>
    <t>ase</t>
  </si>
  <si>
    <t>nti</t>
  </si>
  <si>
    <t>ard</t>
  </si>
  <si>
    <t>rch</t>
  </si>
  <si>
    <t>ndi</t>
  </si>
  <si>
    <t>lea</t>
  </si>
  <si>
    <t>tan</t>
  </si>
  <si>
    <t>ssi</t>
  </si>
  <si>
    <t>nin</t>
  </si>
  <si>
    <t>min</t>
  </si>
  <si>
    <t>ail</t>
  </si>
  <si>
    <t>omp</t>
  </si>
  <si>
    <t>ins</t>
  </si>
  <si>
    <t>cou</t>
  </si>
  <si>
    <t>ell</t>
  </si>
  <si>
    <t>erv</t>
  </si>
  <si>
    <t>tal</t>
  </si>
  <si>
    <t>enc</t>
  </si>
  <si>
    <t>ass</t>
  </si>
  <si>
    <t>tth</t>
  </si>
  <si>
    <t>lle</t>
  </si>
  <si>
    <t>ele</t>
  </si>
  <si>
    <t>mor</t>
  </si>
  <si>
    <t>ean</t>
  </si>
  <si>
    <t>sth</t>
  </si>
  <si>
    <t>tem</t>
  </si>
  <si>
    <t>rma</t>
  </si>
  <si>
    <t>als</t>
  </si>
  <si>
    <t>und</t>
  </si>
  <si>
    <t>pla</t>
  </si>
  <si>
    <t>ple</t>
  </si>
  <si>
    <t>eal</t>
  </si>
  <si>
    <t>rie</t>
  </si>
  <si>
    <t>ema</t>
  </si>
  <si>
    <t>ali</t>
  </si>
  <si>
    <t>nda</t>
  </si>
  <si>
    <t>ack</t>
  </si>
  <si>
    <t>hen</t>
  </si>
  <si>
    <t>ial</t>
  </si>
  <si>
    <t>ord</t>
  </si>
  <si>
    <t>ana</t>
  </si>
  <si>
    <t>arc</t>
  </si>
  <si>
    <t>ori</t>
  </si>
  <si>
    <t>che</t>
  </si>
  <si>
    <t>tho</t>
  </si>
  <si>
    <t>eof</t>
  </si>
  <si>
    <t>lis</t>
  </si>
  <si>
    <t>dis</t>
  </si>
  <si>
    <t>een</t>
  </si>
  <si>
    <t>ngt</t>
  </si>
  <si>
    <t>ire</t>
  </si>
  <si>
    <t>ead</t>
  </si>
  <si>
    <t>eto</t>
  </si>
  <si>
    <t>ene</t>
  </si>
  <si>
    <t>att</t>
  </si>
  <si>
    <t>nto</t>
  </si>
  <si>
    <t>omm</t>
  </si>
  <si>
    <t>pos</t>
  </si>
  <si>
    <t>abl</t>
  </si>
  <si>
    <t>lat</t>
  </si>
  <si>
    <t>nds</t>
  </si>
  <si>
    <t>dat</t>
  </si>
  <si>
    <t>lit</t>
  </si>
  <si>
    <t>gra</t>
  </si>
  <si>
    <t>Most common words source</t>
  </si>
  <si>
    <t>Custom list</t>
  </si>
  <si>
    <t>Merged common words</t>
  </si>
  <si>
    <t>most common digram</t>
  </si>
  <si>
    <t>most common trigram</t>
  </si>
  <si>
    <t xml:space="preserve">Keyboard a and A4 </t>
  </si>
  <si>
    <t xml:space="preserve">Keyboard b and B </t>
  </si>
  <si>
    <t xml:space="preserve">Keyboard c and C4 </t>
  </si>
  <si>
    <t xml:space="preserve">Keyboard d and D </t>
  </si>
  <si>
    <t xml:space="preserve">Keyboard e and E </t>
  </si>
  <si>
    <t xml:space="preserve">Keyboard f and F </t>
  </si>
  <si>
    <t xml:space="preserve">Keyboard g and G </t>
  </si>
  <si>
    <t xml:space="preserve">Keyboard h and H </t>
  </si>
  <si>
    <t xml:space="preserve">Keyboard i and I </t>
  </si>
  <si>
    <t xml:space="preserve">Keyboard j and J </t>
  </si>
  <si>
    <t xml:space="preserve">Keyboard k and K </t>
  </si>
  <si>
    <t xml:space="preserve">Keyboard l and L </t>
  </si>
  <si>
    <t xml:space="preserve">Keyboard m and M4 </t>
  </si>
  <si>
    <t xml:space="preserve">Keyboard n and N </t>
  </si>
  <si>
    <t xml:space="preserve">Keyboard o and O4 </t>
  </si>
  <si>
    <t xml:space="preserve">Keyboard p and P4 </t>
  </si>
  <si>
    <t xml:space="preserve">Keyboard q and Q4 </t>
  </si>
  <si>
    <t xml:space="preserve">Keyboard r and R </t>
  </si>
  <si>
    <t xml:space="preserve">Keyboard s and S4 </t>
  </si>
  <si>
    <t xml:space="preserve">Keyboard t and T </t>
  </si>
  <si>
    <t xml:space="preserve">Keyboard u and U </t>
  </si>
  <si>
    <t xml:space="preserve">Keyboard v and V </t>
  </si>
  <si>
    <t xml:space="preserve">Keyboard w and W4 </t>
  </si>
  <si>
    <t xml:space="preserve">Keyboard x and X4 </t>
  </si>
  <si>
    <t xml:space="preserve">Keyboard y and Y4 </t>
  </si>
  <si>
    <t xml:space="preserve">Keyboard z and Z4 </t>
  </si>
  <si>
    <t xml:space="preserve">Keyboard 1 and !4 </t>
  </si>
  <si>
    <t xml:space="preserve">Keyboard 2 and @4 </t>
  </si>
  <si>
    <t xml:space="preserve">Keyboard 3 and #4 </t>
  </si>
  <si>
    <t xml:space="preserve">Keyboard 4 and $4 </t>
  </si>
  <si>
    <t xml:space="preserve">Keyboard 5 and %4 </t>
  </si>
  <si>
    <t xml:space="preserve">Keyboard 6 and ^4 </t>
  </si>
  <si>
    <t xml:space="preserve">Keyboard 7 and &amp;4 </t>
  </si>
  <si>
    <t xml:space="preserve">Keyboard 8 and *4 </t>
  </si>
  <si>
    <t xml:space="preserve">Keyboard 9 and (4 </t>
  </si>
  <si>
    <t xml:space="preserve">Keyboard 0 and )4 </t>
  </si>
  <si>
    <t xml:space="preserve">Keyboard Return (ENTER)5 </t>
  </si>
  <si>
    <t xml:space="preserve">Keyboard ESCAPE </t>
  </si>
  <si>
    <t xml:space="preserve">Keyboard DELETE (Backspace)13 </t>
  </si>
  <si>
    <t xml:space="preserve">Keyboard Tab </t>
  </si>
  <si>
    <t xml:space="preserve">Keyboard Spacebar </t>
  </si>
  <si>
    <t xml:space="preserve">Keyboard - and (underscore)4 </t>
  </si>
  <si>
    <t xml:space="preserve">Keyboard = and +4 </t>
  </si>
  <si>
    <t xml:space="preserve">Keyboard [ and {4 </t>
  </si>
  <si>
    <t xml:space="preserve">Keyboard ] and }4 </t>
  </si>
  <si>
    <t xml:space="preserve">Keyboard \ and | </t>
  </si>
  <si>
    <t xml:space="preserve">Keyboard Non-US # and ~2 </t>
  </si>
  <si>
    <t xml:space="preserve">Keyboard ; and :4 </t>
  </si>
  <si>
    <t xml:space="preserve">Keyboard ‘ and “4 </t>
  </si>
  <si>
    <t xml:space="preserve">Keyboard Grave Accent and Tilde4 </t>
  </si>
  <si>
    <t xml:space="preserve">Keyboard, and &lt;4 </t>
  </si>
  <si>
    <t xml:space="preserve">Keyboard . and &gt;4 </t>
  </si>
  <si>
    <t xml:space="preserve">Keyboard / and ?4 </t>
  </si>
  <si>
    <t xml:space="preserve">Keyboard Caps Lock11 </t>
  </si>
  <si>
    <t>Scancode</t>
  </si>
  <si>
    <t>Key</t>
  </si>
  <si>
    <t>qwerty</t>
  </si>
  <si>
    <t>colemak</t>
  </si>
  <si>
    <t>dvorak</t>
  </si>
  <si>
    <t>tarmak1</t>
  </si>
  <si>
    <t>tarmak2</t>
  </si>
  <si>
    <t>tarmak3</t>
  </si>
  <si>
    <t>tarmak4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</si>
</sst>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Calibri"/>
      <family val="2"/>
      <scheme val="minor"/>
    </font>
    <font>
      <sz val="10"/>
      <color rgb="FF000000"/>
      <name val="Verdana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vertical="top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4" fillId="2" borderId="0" xfId="0" applyFont="1" applyFill="1"/>
    <xf numFmtId="0" fontId="0" fillId="0" borderId="0" xfId="0" applyFill="1"/>
  </cellXfs>
  <cellStyles count="1">
    <cellStyle name="Normal" xfId="0" builtinId="0"/>
  </cellStyles>
  <dxfs count="270"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</dxfs>
  <tableStyles count="0" defaultTableStyle="TableStyleMedium9" defaultPivotStyle="PivotStyleLight16"/>
  <colors>
    <mruColors>
      <color rgb="FFFFCC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719"/>
  <sheetViews>
    <sheetView workbookViewId="0">
      <selection activeCell="N16" sqref="N16"/>
    </sheetView>
  </sheetViews>
  <sheetFormatPr defaultRowHeight="15"/>
  <cols>
    <col min="3" max="3" width="47.140625" bestFit="1" customWidth="1"/>
    <col min="4" max="4" width="10.5703125" bestFit="1" customWidth="1"/>
  </cols>
  <sheetData>
    <row r="1" spans="1:11">
      <c r="A1">
        <v>1</v>
      </c>
      <c r="B1" t="s">
        <v>1995</v>
      </c>
      <c r="C1" t="str">
        <f>"prog_char string_"&amp;A1&amp;"[] PROGMEM = """&amp;B1&amp;""";"</f>
        <v>prog_char string_1[] PROGMEM = "abl";</v>
      </c>
      <c r="D1" t="str">
        <f>"string_" &amp; A1 &amp; ","</f>
        <v>string_1,</v>
      </c>
      <c r="E1">
        <f t="shared" ref="E1:E64" si="0">LEN(B1)</f>
        <v>3</v>
      </c>
      <c r="F1" s="9">
        <f>MAX(E:E)+1</f>
        <v>8</v>
      </c>
      <c r="H1" t="s">
        <v>0</v>
      </c>
      <c r="I1">
        <f t="shared" ref="I1:I64" si="1">IF(ISNUMBER(FIND("e",H1)),1,0)+IF(ISNUMBER(FIND("n",H1)),1,0)</f>
        <v>0</v>
      </c>
      <c r="K1" t="s">
        <v>0</v>
      </c>
    </row>
    <row r="2" spans="1:11">
      <c r="A2">
        <v>2</v>
      </c>
      <c r="B2" t="s">
        <v>846</v>
      </c>
      <c r="C2" t="str">
        <f t="shared" ref="C2:C65" si="2">"prog_char string_"&amp;A2&amp;"[] PROGMEM = """&amp;B2&amp;""";"</f>
        <v>prog_char string_2[] PROGMEM = "able";</v>
      </c>
      <c r="D2" t="str">
        <f t="shared" ref="D2:D65" si="3">"string_" &amp; A2 &amp; ","</f>
        <v>string_2,</v>
      </c>
      <c r="E2">
        <f t="shared" si="0"/>
        <v>4</v>
      </c>
      <c r="H2" t="s">
        <v>1</v>
      </c>
      <c r="I2">
        <f t="shared" si="1"/>
        <v>0</v>
      </c>
      <c r="K2" t="s">
        <v>1</v>
      </c>
    </row>
    <row r="3" spans="1:11">
      <c r="A3">
        <v>3</v>
      </c>
      <c r="B3" t="s">
        <v>1</v>
      </c>
      <c r="C3" t="str">
        <f t="shared" si="2"/>
        <v>prog_char string_3[] PROGMEM = "about";</v>
      </c>
      <c r="D3" t="str">
        <f t="shared" si="3"/>
        <v>string_3,</v>
      </c>
      <c r="E3">
        <f t="shared" si="0"/>
        <v>5</v>
      </c>
      <c r="H3" t="s">
        <v>2</v>
      </c>
      <c r="I3">
        <f t="shared" si="1"/>
        <v>0</v>
      </c>
      <c r="K3" t="s">
        <v>2</v>
      </c>
    </row>
    <row r="4" spans="1:11">
      <c r="A4">
        <v>4</v>
      </c>
      <c r="B4" t="s">
        <v>750</v>
      </c>
      <c r="C4" t="str">
        <f t="shared" si="2"/>
        <v>prog_char string_4[] PROGMEM = "above";</v>
      </c>
      <c r="D4" t="str">
        <f t="shared" si="3"/>
        <v>string_4,</v>
      </c>
      <c r="E4">
        <f t="shared" si="0"/>
        <v>5</v>
      </c>
      <c r="H4" t="s">
        <v>3</v>
      </c>
      <c r="I4">
        <f t="shared" si="1"/>
        <v>1</v>
      </c>
      <c r="K4" t="s">
        <v>3</v>
      </c>
    </row>
    <row r="5" spans="1:11">
      <c r="A5">
        <v>5</v>
      </c>
      <c r="B5" t="s">
        <v>1973</v>
      </c>
      <c r="C5" t="str">
        <f t="shared" si="2"/>
        <v>prog_char string_5[] PROGMEM = "ack";</v>
      </c>
      <c r="D5" t="str">
        <f t="shared" si="3"/>
        <v>string_5,</v>
      </c>
      <c r="E5">
        <f t="shared" si="0"/>
        <v>3</v>
      </c>
      <c r="H5" t="s">
        <v>4</v>
      </c>
      <c r="I5">
        <f t="shared" si="1"/>
        <v>1</v>
      </c>
      <c r="K5" t="s">
        <v>4</v>
      </c>
    </row>
    <row r="6" spans="1:11">
      <c r="A6">
        <v>6</v>
      </c>
      <c r="B6" t="s">
        <v>5</v>
      </c>
      <c r="C6" t="str">
        <f t="shared" si="2"/>
        <v>prog_char string_6[] PROGMEM = "act";</v>
      </c>
      <c r="D6" t="str">
        <f t="shared" si="3"/>
        <v>string_6,</v>
      </c>
      <c r="E6">
        <f t="shared" si="0"/>
        <v>3</v>
      </c>
      <c r="H6" t="s">
        <v>5</v>
      </c>
      <c r="I6">
        <f t="shared" si="1"/>
        <v>0</v>
      </c>
      <c r="K6" t="s">
        <v>5</v>
      </c>
    </row>
    <row r="7" spans="1:11">
      <c r="A7">
        <v>7</v>
      </c>
      <c r="B7" t="s">
        <v>6</v>
      </c>
      <c r="C7" t="str">
        <f t="shared" si="2"/>
        <v>prog_char string_7[] PROGMEM = "ad";</v>
      </c>
      <c r="D7" t="str">
        <f t="shared" si="3"/>
        <v>string_7,</v>
      </c>
      <c r="E7">
        <f t="shared" si="0"/>
        <v>2</v>
      </c>
      <c r="H7" t="s">
        <v>6</v>
      </c>
      <c r="I7">
        <f t="shared" si="1"/>
        <v>0</v>
      </c>
      <c r="K7" t="s">
        <v>6</v>
      </c>
    </row>
    <row r="8" spans="1:11">
      <c r="A8">
        <v>8</v>
      </c>
      <c r="B8" t="s">
        <v>7</v>
      </c>
      <c r="C8" t="str">
        <f t="shared" si="2"/>
        <v>prog_char string_8[] PROGMEM = "add";</v>
      </c>
      <c r="D8" t="str">
        <f t="shared" si="3"/>
        <v>string_8,</v>
      </c>
      <c r="E8">
        <f t="shared" si="0"/>
        <v>3</v>
      </c>
      <c r="H8" t="s">
        <v>7</v>
      </c>
      <c r="I8">
        <f t="shared" si="1"/>
        <v>0</v>
      </c>
      <c r="K8" t="s">
        <v>7</v>
      </c>
    </row>
    <row r="9" spans="1:11">
      <c r="A9">
        <v>9</v>
      </c>
      <c r="B9" t="s">
        <v>1298</v>
      </c>
      <c r="C9" t="str">
        <f t="shared" si="2"/>
        <v>prog_char string_9[] PROGMEM = "afraid";</v>
      </c>
      <c r="D9" t="str">
        <f t="shared" si="3"/>
        <v>string_9,</v>
      </c>
      <c r="E9">
        <f t="shared" si="0"/>
        <v>6</v>
      </c>
      <c r="H9" t="s">
        <v>8</v>
      </c>
      <c r="I9">
        <f t="shared" si="1"/>
        <v>1</v>
      </c>
      <c r="K9" t="s">
        <v>8</v>
      </c>
    </row>
    <row r="10" spans="1:11">
      <c r="A10">
        <v>10</v>
      </c>
      <c r="B10" t="s">
        <v>9</v>
      </c>
      <c r="C10" t="str">
        <f t="shared" si="2"/>
        <v>prog_char string_10[] PROGMEM = "after";</v>
      </c>
      <c r="D10" t="str">
        <f t="shared" si="3"/>
        <v>string_10,</v>
      </c>
      <c r="E10">
        <f t="shared" si="0"/>
        <v>5</v>
      </c>
      <c r="H10" t="s">
        <v>9</v>
      </c>
      <c r="I10">
        <f t="shared" si="1"/>
        <v>1</v>
      </c>
      <c r="K10" t="s">
        <v>9</v>
      </c>
    </row>
    <row r="11" spans="1:11">
      <c r="A11">
        <v>11</v>
      </c>
      <c r="B11" t="s">
        <v>10</v>
      </c>
      <c r="C11" t="str">
        <f t="shared" si="2"/>
        <v>prog_char string_11[] PROGMEM = "ag";</v>
      </c>
      <c r="D11" t="str">
        <f t="shared" si="3"/>
        <v>string_11,</v>
      </c>
      <c r="E11">
        <f t="shared" si="0"/>
        <v>2</v>
      </c>
      <c r="H11" t="s">
        <v>10</v>
      </c>
      <c r="I11">
        <f t="shared" si="1"/>
        <v>0</v>
      </c>
      <c r="K11" t="s">
        <v>10</v>
      </c>
    </row>
    <row r="12" spans="1:11">
      <c r="A12">
        <v>12</v>
      </c>
      <c r="B12" t="s">
        <v>658</v>
      </c>
      <c r="C12" t="str">
        <f t="shared" si="2"/>
        <v>prog_char string_12[] PROGMEM = "again";</v>
      </c>
      <c r="D12" t="str">
        <f t="shared" si="3"/>
        <v>string_12,</v>
      </c>
      <c r="E12">
        <f t="shared" si="0"/>
        <v>5</v>
      </c>
      <c r="H12" t="s">
        <v>11</v>
      </c>
      <c r="I12">
        <f t="shared" si="1"/>
        <v>1</v>
      </c>
      <c r="K12" t="s">
        <v>11</v>
      </c>
    </row>
    <row r="13" spans="1:11">
      <c r="A13">
        <v>13</v>
      </c>
      <c r="B13" t="s">
        <v>811</v>
      </c>
      <c r="C13" t="str">
        <f t="shared" si="2"/>
        <v>prog_char string_13[] PROGMEM = "against";</v>
      </c>
      <c r="D13" t="str">
        <f t="shared" si="3"/>
        <v>string_13,</v>
      </c>
      <c r="E13">
        <f t="shared" si="0"/>
        <v>7</v>
      </c>
      <c r="H13" t="s">
        <v>12</v>
      </c>
      <c r="I13">
        <f t="shared" si="1"/>
        <v>0</v>
      </c>
      <c r="K13" t="s">
        <v>12</v>
      </c>
    </row>
    <row r="14" spans="1:11">
      <c r="A14">
        <v>14</v>
      </c>
      <c r="B14" t="s">
        <v>11</v>
      </c>
      <c r="C14" t="str">
        <f t="shared" si="2"/>
        <v>prog_char string_14[] PROGMEM = "age";</v>
      </c>
      <c r="D14" t="str">
        <f t="shared" si="3"/>
        <v>string_14,</v>
      </c>
      <c r="E14">
        <f t="shared" si="0"/>
        <v>3</v>
      </c>
      <c r="H14" t="s">
        <v>13</v>
      </c>
      <c r="I14">
        <f t="shared" si="1"/>
        <v>0</v>
      </c>
      <c r="K14" t="s">
        <v>13</v>
      </c>
    </row>
    <row r="15" spans="1:11">
      <c r="A15">
        <v>15</v>
      </c>
      <c r="B15" t="s">
        <v>901</v>
      </c>
      <c r="C15" t="str">
        <f t="shared" si="2"/>
        <v>prog_char string_15[] PROGMEM = "ago";</v>
      </c>
      <c r="D15" t="str">
        <f t="shared" si="3"/>
        <v>string_15,</v>
      </c>
      <c r="E15">
        <f t="shared" si="0"/>
        <v>3</v>
      </c>
      <c r="H15" t="s">
        <v>14</v>
      </c>
      <c r="I15">
        <f t="shared" si="1"/>
        <v>0</v>
      </c>
      <c r="K15" t="s">
        <v>14</v>
      </c>
    </row>
    <row r="16" spans="1:11">
      <c r="A16">
        <v>16</v>
      </c>
      <c r="B16" t="s">
        <v>1180</v>
      </c>
      <c r="C16" t="str">
        <f t="shared" si="2"/>
        <v>prog_char string_16[] PROGMEM = "agree";</v>
      </c>
      <c r="D16" t="str">
        <f t="shared" si="3"/>
        <v>string_16,</v>
      </c>
      <c r="E16">
        <f t="shared" si="0"/>
        <v>5</v>
      </c>
      <c r="H16" t="s">
        <v>15</v>
      </c>
      <c r="I16">
        <f t="shared" si="1"/>
        <v>0</v>
      </c>
      <c r="K16" t="s">
        <v>15</v>
      </c>
    </row>
    <row r="17" spans="1:11">
      <c r="A17">
        <v>17</v>
      </c>
      <c r="B17" t="s">
        <v>12</v>
      </c>
      <c r="C17" t="str">
        <f t="shared" si="2"/>
        <v>prog_char string_17[] PROGMEM = "ai";</v>
      </c>
      <c r="D17" t="str">
        <f t="shared" si="3"/>
        <v>string_17,</v>
      </c>
      <c r="E17">
        <f t="shared" si="0"/>
        <v>2</v>
      </c>
      <c r="H17" t="s">
        <v>16</v>
      </c>
      <c r="I17">
        <f t="shared" si="1"/>
        <v>0</v>
      </c>
      <c r="K17" t="s">
        <v>16</v>
      </c>
    </row>
    <row r="18" spans="1:11">
      <c r="A18">
        <v>18</v>
      </c>
      <c r="B18" t="s">
        <v>1947</v>
      </c>
      <c r="C18" t="str">
        <f t="shared" si="2"/>
        <v>prog_char string_18[] PROGMEM = "ail";</v>
      </c>
      <c r="D18" t="str">
        <f t="shared" si="3"/>
        <v>string_18,</v>
      </c>
      <c r="E18">
        <f t="shared" si="0"/>
        <v>3</v>
      </c>
      <c r="H18" t="s">
        <v>17</v>
      </c>
      <c r="I18">
        <f t="shared" si="1"/>
        <v>1</v>
      </c>
      <c r="K18" t="s">
        <v>17</v>
      </c>
    </row>
    <row r="19" spans="1:11">
      <c r="A19">
        <v>19</v>
      </c>
      <c r="B19" t="s">
        <v>1900</v>
      </c>
      <c r="C19" t="str">
        <f t="shared" si="2"/>
        <v>prog_char string_19[] PROGMEM = "ain";</v>
      </c>
      <c r="D19" t="str">
        <f t="shared" si="3"/>
        <v>string_19,</v>
      </c>
      <c r="E19">
        <f t="shared" si="0"/>
        <v>3</v>
      </c>
      <c r="H19" t="s">
        <v>18</v>
      </c>
      <c r="I19">
        <f t="shared" si="1"/>
        <v>1</v>
      </c>
      <c r="K19" t="s">
        <v>18</v>
      </c>
    </row>
    <row r="20" spans="1:11">
      <c r="A20">
        <v>20</v>
      </c>
      <c r="B20" t="s">
        <v>643</v>
      </c>
      <c r="C20" t="str">
        <f t="shared" si="2"/>
        <v>prog_char string_20[] PROGMEM = "air";</v>
      </c>
      <c r="D20" t="str">
        <f t="shared" si="3"/>
        <v>string_20,</v>
      </c>
      <c r="E20">
        <f t="shared" si="0"/>
        <v>3</v>
      </c>
      <c r="H20" t="s">
        <v>19</v>
      </c>
      <c r="I20">
        <f t="shared" si="1"/>
        <v>1</v>
      </c>
      <c r="K20" t="s">
        <v>19</v>
      </c>
    </row>
    <row r="21" spans="1:11">
      <c r="A21">
        <v>21</v>
      </c>
      <c r="B21" t="s">
        <v>13</v>
      </c>
      <c r="C21" t="str">
        <f t="shared" si="2"/>
        <v>prog_char string_21[] PROGMEM = "al";</v>
      </c>
      <c r="D21" t="str">
        <f t="shared" si="3"/>
        <v>string_21,</v>
      </c>
      <c r="E21">
        <f t="shared" si="0"/>
        <v>2</v>
      </c>
      <c r="H21" t="s">
        <v>20</v>
      </c>
      <c r="I21">
        <f t="shared" si="1"/>
        <v>2</v>
      </c>
      <c r="K21" t="s">
        <v>20</v>
      </c>
    </row>
    <row r="22" spans="1:11">
      <c r="A22">
        <v>22</v>
      </c>
      <c r="B22" t="s">
        <v>1971</v>
      </c>
      <c r="C22" t="str">
        <f t="shared" si="2"/>
        <v>prog_char string_22[] PROGMEM = "ali";</v>
      </c>
      <c r="D22" t="str">
        <f t="shared" si="3"/>
        <v>string_22,</v>
      </c>
      <c r="E22">
        <f t="shared" si="0"/>
        <v>3</v>
      </c>
      <c r="H22" t="s">
        <v>21</v>
      </c>
      <c r="I22">
        <f t="shared" si="1"/>
        <v>1</v>
      </c>
      <c r="K22" t="s">
        <v>21</v>
      </c>
    </row>
    <row r="23" spans="1:11">
      <c r="A23">
        <v>23</v>
      </c>
      <c r="B23" t="s">
        <v>14</v>
      </c>
      <c r="C23" t="str">
        <f t="shared" si="2"/>
        <v>prog_char string_23[] PROGMEM = "all";</v>
      </c>
      <c r="D23" t="str">
        <f t="shared" si="3"/>
        <v>string_23,</v>
      </c>
      <c r="E23">
        <f t="shared" si="0"/>
        <v>3</v>
      </c>
      <c r="H23" t="s">
        <v>22</v>
      </c>
      <c r="I23">
        <f t="shared" si="1"/>
        <v>0</v>
      </c>
      <c r="K23" t="s">
        <v>22</v>
      </c>
    </row>
    <row r="24" spans="1:11">
      <c r="A24">
        <v>24</v>
      </c>
      <c r="B24" t="s">
        <v>1228</v>
      </c>
      <c r="C24" t="str">
        <f t="shared" si="2"/>
        <v>prog_char string_24[] PROGMEM = "allow";</v>
      </c>
      <c r="D24" t="str">
        <f t="shared" si="3"/>
        <v>string_24,</v>
      </c>
      <c r="E24">
        <f t="shared" si="0"/>
        <v>5</v>
      </c>
      <c r="H24" t="s">
        <v>23</v>
      </c>
      <c r="I24">
        <f t="shared" si="1"/>
        <v>0</v>
      </c>
      <c r="K24" t="s">
        <v>23</v>
      </c>
    </row>
    <row r="25" spans="1:11">
      <c r="A25">
        <v>25</v>
      </c>
      <c r="B25" t="s">
        <v>1964</v>
      </c>
      <c r="C25" t="str">
        <f t="shared" si="2"/>
        <v>prog_char string_25[] PROGMEM = "als";</v>
      </c>
      <c r="D25" t="str">
        <f t="shared" si="3"/>
        <v>string_25,</v>
      </c>
      <c r="E25">
        <f t="shared" si="0"/>
        <v>3</v>
      </c>
      <c r="H25" t="s">
        <v>24</v>
      </c>
      <c r="I25">
        <f t="shared" si="1"/>
        <v>1</v>
      </c>
      <c r="K25" t="s">
        <v>24</v>
      </c>
    </row>
    <row r="26" spans="1:11">
      <c r="A26">
        <v>26</v>
      </c>
      <c r="B26" t="s">
        <v>15</v>
      </c>
      <c r="C26" t="str">
        <f t="shared" si="2"/>
        <v>prog_char string_26[] PROGMEM = "also";</v>
      </c>
      <c r="D26" t="str">
        <f t="shared" si="3"/>
        <v>string_26,</v>
      </c>
      <c r="E26">
        <f t="shared" si="0"/>
        <v>4</v>
      </c>
      <c r="H26" t="s">
        <v>25</v>
      </c>
      <c r="I26">
        <f t="shared" si="1"/>
        <v>1</v>
      </c>
      <c r="K26" t="s">
        <v>25</v>
      </c>
    </row>
    <row r="27" spans="1:11">
      <c r="A27">
        <v>27</v>
      </c>
      <c r="B27" t="s">
        <v>713</v>
      </c>
      <c r="C27" t="str">
        <f t="shared" si="2"/>
        <v>prog_char string_27[] PROGMEM = "always";</v>
      </c>
      <c r="D27" t="str">
        <f t="shared" si="3"/>
        <v>string_27,</v>
      </c>
      <c r="E27">
        <f t="shared" si="0"/>
        <v>6</v>
      </c>
      <c r="H27" t="s">
        <v>26</v>
      </c>
      <c r="I27">
        <f t="shared" si="1"/>
        <v>0</v>
      </c>
      <c r="K27" t="s">
        <v>26</v>
      </c>
    </row>
    <row r="28" spans="1:11">
      <c r="A28">
        <v>28</v>
      </c>
      <c r="B28" t="s">
        <v>17</v>
      </c>
      <c r="C28" t="str">
        <f t="shared" si="2"/>
        <v>prog_char string_28[] PROGMEM = "ame";</v>
      </c>
      <c r="D28" t="str">
        <f t="shared" si="3"/>
        <v>string_28,</v>
      </c>
      <c r="E28">
        <f t="shared" si="0"/>
        <v>3</v>
      </c>
      <c r="H28" t="s">
        <v>27</v>
      </c>
      <c r="I28">
        <f t="shared" si="1"/>
        <v>0</v>
      </c>
      <c r="K28" t="s">
        <v>27</v>
      </c>
    </row>
    <row r="29" spans="1:11">
      <c r="A29">
        <v>29</v>
      </c>
      <c r="B29" t="s">
        <v>916</v>
      </c>
      <c r="C29" t="str">
        <f t="shared" si="2"/>
        <v>prog_char string_29[] PROGMEM = "among";</v>
      </c>
      <c r="D29" t="str">
        <f t="shared" si="3"/>
        <v>string_29,</v>
      </c>
      <c r="E29">
        <f t="shared" si="0"/>
        <v>5</v>
      </c>
      <c r="H29" t="s">
        <v>28</v>
      </c>
      <c r="I29">
        <f t="shared" si="1"/>
        <v>0</v>
      </c>
      <c r="K29" t="s">
        <v>28</v>
      </c>
    </row>
    <row r="30" spans="1:11">
      <c r="A30">
        <v>30</v>
      </c>
      <c r="B30" t="s">
        <v>18</v>
      </c>
      <c r="C30" t="str">
        <f t="shared" si="2"/>
        <v>prog_char string_30[] PROGMEM = "an";</v>
      </c>
      <c r="D30" t="str">
        <f t="shared" si="3"/>
        <v>string_30,</v>
      </c>
      <c r="E30">
        <f t="shared" si="0"/>
        <v>2</v>
      </c>
      <c r="H30" t="s">
        <v>29</v>
      </c>
      <c r="I30">
        <f t="shared" si="1"/>
        <v>1</v>
      </c>
      <c r="K30" t="s">
        <v>29</v>
      </c>
    </row>
    <row r="31" spans="1:11">
      <c r="A31">
        <v>31</v>
      </c>
      <c r="B31" t="s">
        <v>1977</v>
      </c>
      <c r="C31" t="str">
        <f t="shared" si="2"/>
        <v>prog_char string_31[] PROGMEM = "ana";</v>
      </c>
      <c r="D31" t="str">
        <f t="shared" si="3"/>
        <v>string_31,</v>
      </c>
      <c r="E31">
        <f t="shared" si="0"/>
        <v>3</v>
      </c>
      <c r="H31" t="s">
        <v>30</v>
      </c>
      <c r="I31">
        <f t="shared" si="1"/>
        <v>0</v>
      </c>
      <c r="K31" t="s">
        <v>30</v>
      </c>
    </row>
    <row r="32" spans="1:11">
      <c r="A32">
        <v>32</v>
      </c>
      <c r="B32" t="s">
        <v>1901</v>
      </c>
      <c r="C32" t="str">
        <f t="shared" si="2"/>
        <v>prog_char string_32[] PROGMEM = "anc";</v>
      </c>
      <c r="D32" t="str">
        <f t="shared" si="3"/>
        <v>string_32,</v>
      </c>
      <c r="E32">
        <f t="shared" si="0"/>
        <v>3</v>
      </c>
      <c r="H32" t="s">
        <v>31</v>
      </c>
      <c r="I32">
        <f t="shared" si="1"/>
        <v>0</v>
      </c>
      <c r="K32" t="s">
        <v>31</v>
      </c>
    </row>
    <row r="33" spans="1:11">
      <c r="A33">
        <v>33</v>
      </c>
      <c r="B33" t="s">
        <v>19</v>
      </c>
      <c r="C33" t="str">
        <f t="shared" si="2"/>
        <v>prog_char string_33[] PROGMEM = "and";</v>
      </c>
      <c r="D33" t="str">
        <f t="shared" si="3"/>
        <v>string_33,</v>
      </c>
      <c r="E33">
        <f t="shared" si="0"/>
        <v>3</v>
      </c>
      <c r="H33" t="s">
        <v>32</v>
      </c>
      <c r="I33">
        <f t="shared" si="1"/>
        <v>0</v>
      </c>
      <c r="K33" t="s">
        <v>32</v>
      </c>
    </row>
    <row r="34" spans="1:11">
      <c r="A34">
        <v>34</v>
      </c>
      <c r="B34" t="s">
        <v>670</v>
      </c>
      <c r="C34" t="str">
        <f t="shared" si="2"/>
        <v>prog_char string_34[] PROGMEM = "answer";</v>
      </c>
      <c r="D34" t="str">
        <f t="shared" si="3"/>
        <v>string_34,</v>
      </c>
      <c r="E34">
        <f t="shared" si="0"/>
        <v>6</v>
      </c>
      <c r="H34" t="s">
        <v>33</v>
      </c>
      <c r="I34">
        <f t="shared" si="1"/>
        <v>0</v>
      </c>
      <c r="K34" t="s">
        <v>33</v>
      </c>
    </row>
    <row r="35" spans="1:11">
      <c r="A35">
        <v>35</v>
      </c>
      <c r="B35" t="s">
        <v>1890</v>
      </c>
      <c r="C35" t="str">
        <f t="shared" si="2"/>
        <v>prog_char string_35[] PROGMEM = "ant";</v>
      </c>
      <c r="D35" t="str">
        <f t="shared" si="3"/>
        <v>string_35,</v>
      </c>
      <c r="E35">
        <f t="shared" si="0"/>
        <v>3</v>
      </c>
      <c r="H35" t="s">
        <v>34</v>
      </c>
      <c r="I35">
        <f t="shared" si="1"/>
        <v>1</v>
      </c>
      <c r="K35" t="s">
        <v>34</v>
      </c>
    </row>
    <row r="36" spans="1:11">
      <c r="A36">
        <v>36</v>
      </c>
      <c r="B36" t="s">
        <v>21</v>
      </c>
      <c r="C36" t="str">
        <f t="shared" si="2"/>
        <v>prog_char string_36[] PROGMEM = "any";</v>
      </c>
      <c r="D36" t="str">
        <f t="shared" si="3"/>
        <v>string_36,</v>
      </c>
      <c r="E36">
        <f t="shared" si="0"/>
        <v>3</v>
      </c>
      <c r="H36" t="s">
        <v>35</v>
      </c>
      <c r="I36">
        <f t="shared" si="1"/>
        <v>1</v>
      </c>
      <c r="K36" t="s">
        <v>35</v>
      </c>
    </row>
    <row r="37" spans="1:11">
      <c r="A37">
        <v>37</v>
      </c>
      <c r="B37" t="s">
        <v>22</v>
      </c>
      <c r="C37" t="str">
        <f t="shared" si="2"/>
        <v>prog_char string_37[] PROGMEM = "ap";</v>
      </c>
      <c r="D37" t="str">
        <f t="shared" si="3"/>
        <v>string_37,</v>
      </c>
      <c r="E37">
        <f t="shared" si="0"/>
        <v>2</v>
      </c>
      <c r="H37" t="s">
        <v>36</v>
      </c>
      <c r="I37">
        <f t="shared" si="1"/>
        <v>0</v>
      </c>
      <c r="K37" t="s">
        <v>36</v>
      </c>
    </row>
    <row r="38" spans="1:11">
      <c r="A38">
        <v>38</v>
      </c>
      <c r="B38" t="s">
        <v>817</v>
      </c>
      <c r="C38" t="str">
        <f t="shared" si="2"/>
        <v>prog_char string_38[] PROGMEM = "appear";</v>
      </c>
      <c r="D38" t="str">
        <f t="shared" si="3"/>
        <v>string_38,</v>
      </c>
      <c r="E38">
        <f t="shared" si="0"/>
        <v>6</v>
      </c>
      <c r="H38" t="s">
        <v>37</v>
      </c>
      <c r="I38">
        <f t="shared" si="1"/>
        <v>0</v>
      </c>
      <c r="K38" t="s">
        <v>37</v>
      </c>
    </row>
    <row r="39" spans="1:11">
      <c r="A39">
        <v>39</v>
      </c>
      <c r="B39" t="s">
        <v>23</v>
      </c>
      <c r="C39" t="str">
        <f t="shared" si="2"/>
        <v>prog_char string_39[] PROGMEM = "ar";</v>
      </c>
      <c r="D39" t="str">
        <f t="shared" si="3"/>
        <v>string_39,</v>
      </c>
      <c r="E39">
        <f t="shared" si="0"/>
        <v>2</v>
      </c>
      <c r="H39" t="s">
        <v>38</v>
      </c>
      <c r="I39">
        <f t="shared" si="1"/>
        <v>0</v>
      </c>
      <c r="K39" t="s">
        <v>38</v>
      </c>
    </row>
    <row r="40" spans="1:11">
      <c r="A40">
        <v>40</v>
      </c>
      <c r="B40" t="s">
        <v>1978</v>
      </c>
      <c r="C40" t="str">
        <f t="shared" si="2"/>
        <v>prog_char string_40[] PROGMEM = "arc";</v>
      </c>
      <c r="D40" t="str">
        <f t="shared" si="3"/>
        <v>string_40,</v>
      </c>
      <c r="E40">
        <f t="shared" si="0"/>
        <v>3</v>
      </c>
      <c r="H40" t="s">
        <v>39</v>
      </c>
      <c r="I40">
        <f t="shared" si="1"/>
        <v>1</v>
      </c>
      <c r="K40" t="s">
        <v>39</v>
      </c>
    </row>
    <row r="41" spans="1:11">
      <c r="A41">
        <v>41</v>
      </c>
      <c r="B41" t="s">
        <v>1939</v>
      </c>
      <c r="C41" t="str">
        <f t="shared" si="2"/>
        <v>prog_char string_41[] PROGMEM = "ard";</v>
      </c>
      <c r="D41" t="str">
        <f t="shared" si="3"/>
        <v>string_41,</v>
      </c>
      <c r="E41">
        <f t="shared" si="0"/>
        <v>3</v>
      </c>
      <c r="H41" t="s">
        <v>40</v>
      </c>
      <c r="I41">
        <f t="shared" si="1"/>
        <v>1</v>
      </c>
      <c r="K41" t="s">
        <v>40</v>
      </c>
    </row>
    <row r="42" spans="1:11">
      <c r="A42">
        <v>42</v>
      </c>
      <c r="B42" t="s">
        <v>24</v>
      </c>
      <c r="C42" t="str">
        <f t="shared" si="2"/>
        <v>prog_char string_42[] PROGMEM = "are";</v>
      </c>
      <c r="D42" t="str">
        <f t="shared" si="3"/>
        <v>string_42,</v>
      </c>
      <c r="E42">
        <f t="shared" si="0"/>
        <v>3</v>
      </c>
      <c r="H42" t="s">
        <v>41</v>
      </c>
      <c r="I42">
        <f t="shared" si="1"/>
        <v>1</v>
      </c>
      <c r="K42" t="s">
        <v>41</v>
      </c>
    </row>
    <row r="43" spans="1:11">
      <c r="A43">
        <v>43</v>
      </c>
      <c r="B43" t="s">
        <v>26</v>
      </c>
      <c r="C43" t="str">
        <f t="shared" si="2"/>
        <v>prog_char string_43[] PROGMEM = "art";</v>
      </c>
      <c r="D43" t="str">
        <f t="shared" si="3"/>
        <v>string_43,</v>
      </c>
      <c r="E43">
        <f t="shared" si="0"/>
        <v>3</v>
      </c>
      <c r="H43" t="s">
        <v>42</v>
      </c>
      <c r="I43">
        <f t="shared" si="1"/>
        <v>2</v>
      </c>
      <c r="K43" t="s">
        <v>42</v>
      </c>
    </row>
    <row r="44" spans="1:11">
      <c r="A44">
        <v>44</v>
      </c>
      <c r="B44" t="s">
        <v>27</v>
      </c>
      <c r="C44" t="str">
        <f t="shared" si="2"/>
        <v>prog_char string_44[] PROGMEM = "as";</v>
      </c>
      <c r="D44" t="str">
        <f t="shared" si="3"/>
        <v>string_44,</v>
      </c>
      <c r="E44">
        <f t="shared" si="0"/>
        <v>2</v>
      </c>
      <c r="H44" t="s">
        <v>43</v>
      </c>
      <c r="I44">
        <f t="shared" si="1"/>
        <v>1</v>
      </c>
      <c r="K44" t="s">
        <v>43</v>
      </c>
    </row>
    <row r="45" spans="1:11">
      <c r="A45">
        <v>45</v>
      </c>
      <c r="B45" t="s">
        <v>1937</v>
      </c>
      <c r="C45" t="str">
        <f t="shared" si="2"/>
        <v>prog_char string_45[] PROGMEM = "ase";</v>
      </c>
      <c r="D45" t="str">
        <f t="shared" si="3"/>
        <v>string_45,</v>
      </c>
      <c r="E45">
        <f t="shared" si="0"/>
        <v>3</v>
      </c>
      <c r="H45" t="s">
        <v>44</v>
      </c>
      <c r="I45">
        <f t="shared" si="1"/>
        <v>2</v>
      </c>
      <c r="K45" t="s">
        <v>44</v>
      </c>
    </row>
    <row r="46" spans="1:11">
      <c r="A46">
        <v>46</v>
      </c>
      <c r="B46" t="s">
        <v>652</v>
      </c>
      <c r="C46" t="str">
        <f t="shared" si="2"/>
        <v>prog_char string_46[] PROGMEM = "ask";</v>
      </c>
      <c r="D46" t="str">
        <f t="shared" si="3"/>
        <v>string_46,</v>
      </c>
      <c r="E46">
        <f t="shared" si="0"/>
        <v>3</v>
      </c>
      <c r="H46" t="s">
        <v>45</v>
      </c>
      <c r="I46">
        <f t="shared" si="1"/>
        <v>1</v>
      </c>
      <c r="K46" t="s">
        <v>45</v>
      </c>
    </row>
    <row r="47" spans="1:11">
      <c r="A47">
        <v>47</v>
      </c>
      <c r="B47" t="s">
        <v>1955</v>
      </c>
      <c r="C47" t="str">
        <f t="shared" si="2"/>
        <v>prog_char string_47[] PROGMEM = "ass";</v>
      </c>
      <c r="D47" t="str">
        <f t="shared" si="3"/>
        <v>string_47,</v>
      </c>
      <c r="E47">
        <f t="shared" si="0"/>
        <v>3</v>
      </c>
      <c r="H47" t="s">
        <v>46</v>
      </c>
      <c r="I47">
        <f t="shared" si="1"/>
        <v>2</v>
      </c>
      <c r="K47" t="s">
        <v>46</v>
      </c>
    </row>
    <row r="48" spans="1:11">
      <c r="A48">
        <v>48</v>
      </c>
      <c r="B48" t="s">
        <v>1895</v>
      </c>
      <c r="C48" t="str">
        <f t="shared" si="2"/>
        <v>prog_char string_48[] PROGMEM = "ast";</v>
      </c>
      <c r="D48" t="str">
        <f t="shared" si="3"/>
        <v>string_48,</v>
      </c>
      <c r="E48">
        <f t="shared" si="0"/>
        <v>3</v>
      </c>
      <c r="H48" t="s">
        <v>47</v>
      </c>
      <c r="I48">
        <f t="shared" si="1"/>
        <v>0</v>
      </c>
      <c r="K48" t="s">
        <v>47</v>
      </c>
    </row>
    <row r="49" spans="1:11">
      <c r="A49">
        <v>49</v>
      </c>
      <c r="B49" t="s">
        <v>28</v>
      </c>
      <c r="C49" t="str">
        <f t="shared" si="2"/>
        <v>prog_char string_49[] PROGMEM = "at";</v>
      </c>
      <c r="D49" t="str">
        <f t="shared" si="3"/>
        <v>string_49,</v>
      </c>
      <c r="E49">
        <f t="shared" si="0"/>
        <v>2</v>
      </c>
      <c r="H49" t="s">
        <v>48</v>
      </c>
      <c r="I49">
        <f t="shared" si="1"/>
        <v>0</v>
      </c>
      <c r="K49" t="s">
        <v>48</v>
      </c>
    </row>
    <row r="50" spans="1:11">
      <c r="A50">
        <v>50</v>
      </c>
      <c r="B50" t="s">
        <v>29</v>
      </c>
      <c r="C50" t="str">
        <f t="shared" si="2"/>
        <v>prog_char string_50[] PROGMEM = "ate";</v>
      </c>
      <c r="D50" t="str">
        <f t="shared" si="3"/>
        <v>string_50,</v>
      </c>
      <c r="E50">
        <f t="shared" si="0"/>
        <v>3</v>
      </c>
      <c r="H50" t="s">
        <v>49</v>
      </c>
      <c r="I50">
        <f t="shared" si="1"/>
        <v>0</v>
      </c>
      <c r="K50" t="s">
        <v>49</v>
      </c>
    </row>
    <row r="51" spans="1:11">
      <c r="A51">
        <v>51</v>
      </c>
      <c r="B51" t="s">
        <v>30</v>
      </c>
      <c r="C51" t="str">
        <f t="shared" si="2"/>
        <v>prog_char string_51[] PROGMEM = "ati";</v>
      </c>
      <c r="D51" t="str">
        <f t="shared" si="3"/>
        <v>string_51,</v>
      </c>
      <c r="E51">
        <f t="shared" si="0"/>
        <v>3</v>
      </c>
      <c r="H51" t="s">
        <v>50</v>
      </c>
      <c r="I51">
        <f t="shared" si="1"/>
        <v>0</v>
      </c>
      <c r="K51" t="s">
        <v>50</v>
      </c>
    </row>
    <row r="52" spans="1:11">
      <c r="A52">
        <v>52</v>
      </c>
      <c r="B52" t="s">
        <v>1991</v>
      </c>
      <c r="C52" t="str">
        <f t="shared" si="2"/>
        <v>prog_char string_52[] PROGMEM = "att";</v>
      </c>
      <c r="D52" t="str">
        <f t="shared" si="3"/>
        <v>string_52,</v>
      </c>
      <c r="E52">
        <f t="shared" si="0"/>
        <v>3</v>
      </c>
      <c r="H52" t="s">
        <v>51</v>
      </c>
      <c r="I52">
        <f t="shared" si="1"/>
        <v>0</v>
      </c>
      <c r="K52" t="s">
        <v>51</v>
      </c>
    </row>
    <row r="53" spans="1:11">
      <c r="A53">
        <v>53</v>
      </c>
      <c r="B53" t="s">
        <v>35</v>
      </c>
      <c r="C53" t="str">
        <f t="shared" si="2"/>
        <v>prog_char string_53[] PROGMEM = "ave";</v>
      </c>
      <c r="D53" t="str">
        <f t="shared" si="3"/>
        <v>string_53,</v>
      </c>
      <c r="E53">
        <f t="shared" si="0"/>
        <v>3</v>
      </c>
      <c r="H53" t="s">
        <v>52</v>
      </c>
      <c r="I53">
        <f t="shared" si="1"/>
        <v>0</v>
      </c>
      <c r="K53" t="s">
        <v>52</v>
      </c>
    </row>
    <row r="54" spans="1:11">
      <c r="A54">
        <v>54</v>
      </c>
      <c r="B54" t="s">
        <v>38</v>
      </c>
      <c r="C54" t="str">
        <f t="shared" si="2"/>
        <v>prog_char string_54[] PROGMEM = "back";</v>
      </c>
      <c r="D54" t="str">
        <f t="shared" si="3"/>
        <v>string_54,</v>
      </c>
      <c r="E54">
        <f t="shared" si="0"/>
        <v>4</v>
      </c>
      <c r="H54" t="s">
        <v>53</v>
      </c>
      <c r="I54">
        <f t="shared" si="1"/>
        <v>0</v>
      </c>
      <c r="K54" t="s">
        <v>53</v>
      </c>
    </row>
    <row r="55" spans="1:11">
      <c r="A55">
        <v>55</v>
      </c>
      <c r="B55" t="s">
        <v>40</v>
      </c>
      <c r="C55" t="str">
        <f t="shared" si="2"/>
        <v>prog_char string_55[] PROGMEM = "be";</v>
      </c>
      <c r="D55" t="str">
        <f t="shared" si="3"/>
        <v>string_55,</v>
      </c>
      <c r="E55">
        <f t="shared" si="0"/>
        <v>2</v>
      </c>
      <c r="H55" t="s">
        <v>54</v>
      </c>
      <c r="I55">
        <f t="shared" si="1"/>
        <v>0</v>
      </c>
      <c r="K55" t="s">
        <v>54</v>
      </c>
    </row>
    <row r="56" spans="1:11">
      <c r="A56">
        <v>56</v>
      </c>
      <c r="B56" t="s">
        <v>954</v>
      </c>
      <c r="C56" t="str">
        <f t="shared" si="2"/>
        <v>prog_char string_56[] PROGMEM = "bed";</v>
      </c>
      <c r="D56" t="str">
        <f t="shared" si="3"/>
        <v>string_56,</v>
      </c>
      <c r="E56">
        <f t="shared" si="0"/>
        <v>3</v>
      </c>
      <c r="H56" t="s">
        <v>55</v>
      </c>
      <c r="I56">
        <f t="shared" si="1"/>
        <v>0</v>
      </c>
      <c r="K56" t="s">
        <v>55</v>
      </c>
    </row>
    <row r="57" spans="1:11">
      <c r="A57">
        <v>57</v>
      </c>
      <c r="B57" t="s">
        <v>43</v>
      </c>
      <c r="C57" t="str">
        <f t="shared" si="2"/>
        <v>prog_char string_57[] PROGMEM = "before";</v>
      </c>
      <c r="D57" t="str">
        <f t="shared" si="3"/>
        <v>string_57,</v>
      </c>
      <c r="E57">
        <f t="shared" si="0"/>
        <v>6</v>
      </c>
      <c r="H57" t="s">
        <v>56</v>
      </c>
      <c r="I57">
        <f t="shared" si="1"/>
        <v>0</v>
      </c>
      <c r="K57" t="s">
        <v>56</v>
      </c>
    </row>
    <row r="58" spans="1:11">
      <c r="A58">
        <v>58</v>
      </c>
      <c r="B58" t="s">
        <v>707</v>
      </c>
      <c r="C58" t="str">
        <f t="shared" si="2"/>
        <v>prog_char string_58[] PROGMEM = "begin";</v>
      </c>
      <c r="D58" t="str">
        <f t="shared" si="3"/>
        <v>string_58,</v>
      </c>
      <c r="E58">
        <f t="shared" si="0"/>
        <v>5</v>
      </c>
      <c r="H58" t="s">
        <v>57</v>
      </c>
      <c r="I58">
        <f t="shared" si="1"/>
        <v>0</v>
      </c>
      <c r="K58" t="s">
        <v>57</v>
      </c>
    </row>
    <row r="59" spans="1:11">
      <c r="A59">
        <v>59</v>
      </c>
      <c r="B59" t="s">
        <v>1920</v>
      </c>
      <c r="C59" t="str">
        <f t="shared" si="2"/>
        <v>prog_char string_59[] PROGMEM = "ber";</v>
      </c>
      <c r="D59" t="str">
        <f t="shared" si="3"/>
        <v>string_59,</v>
      </c>
      <c r="E59">
        <f t="shared" si="0"/>
        <v>3</v>
      </c>
      <c r="H59" t="s">
        <v>58</v>
      </c>
      <c r="I59">
        <f t="shared" si="1"/>
        <v>0</v>
      </c>
      <c r="K59" t="s">
        <v>58</v>
      </c>
    </row>
    <row r="60" spans="1:11">
      <c r="A60">
        <v>60</v>
      </c>
      <c r="B60" t="s">
        <v>45</v>
      </c>
      <c r="C60" t="str">
        <f t="shared" si="2"/>
        <v>prog_char string_60[] PROGMEM = "best";</v>
      </c>
      <c r="D60" t="str">
        <f t="shared" si="3"/>
        <v>string_60,</v>
      </c>
      <c r="E60">
        <f t="shared" si="0"/>
        <v>4</v>
      </c>
      <c r="H60" t="s">
        <v>59</v>
      </c>
      <c r="I60">
        <f t="shared" si="1"/>
        <v>0</v>
      </c>
      <c r="K60" t="s">
        <v>59</v>
      </c>
    </row>
    <row r="61" spans="1:11">
      <c r="A61">
        <v>61</v>
      </c>
      <c r="B61" t="s">
        <v>785</v>
      </c>
      <c r="C61" t="str">
        <f t="shared" si="2"/>
        <v>prog_char string_61[] PROGMEM = "better";</v>
      </c>
      <c r="D61" t="str">
        <f t="shared" si="3"/>
        <v>string_61,</v>
      </c>
      <c r="E61">
        <f t="shared" si="0"/>
        <v>6</v>
      </c>
      <c r="H61" t="s">
        <v>60</v>
      </c>
      <c r="I61">
        <f t="shared" si="1"/>
        <v>0</v>
      </c>
      <c r="K61" t="s">
        <v>60</v>
      </c>
    </row>
    <row r="62" spans="1:11">
      <c r="A62">
        <v>62</v>
      </c>
      <c r="B62" t="s">
        <v>46</v>
      </c>
      <c r="C62" t="str">
        <f t="shared" si="2"/>
        <v>prog_char string_62[] PROGMEM = "between";</v>
      </c>
      <c r="D62" t="str">
        <f t="shared" si="3"/>
        <v>string_62,</v>
      </c>
      <c r="E62">
        <f t="shared" si="0"/>
        <v>7</v>
      </c>
      <c r="H62" t="s">
        <v>61</v>
      </c>
      <c r="I62">
        <f t="shared" si="1"/>
        <v>0</v>
      </c>
      <c r="K62" t="s">
        <v>61</v>
      </c>
    </row>
    <row r="63" spans="1:11">
      <c r="A63">
        <v>63</v>
      </c>
      <c r="B63" t="s">
        <v>48</v>
      </c>
      <c r="C63" t="str">
        <f t="shared" si="2"/>
        <v>prog_char string_63[] PROGMEM = "big";</v>
      </c>
      <c r="D63" t="str">
        <f t="shared" si="3"/>
        <v>string_63,</v>
      </c>
      <c r="E63">
        <f t="shared" si="0"/>
        <v>3</v>
      </c>
      <c r="H63" t="s">
        <v>62</v>
      </c>
      <c r="I63">
        <f t="shared" si="1"/>
        <v>1</v>
      </c>
      <c r="K63" t="s">
        <v>62</v>
      </c>
    </row>
    <row r="64" spans="1:11">
      <c r="A64">
        <v>64</v>
      </c>
      <c r="B64" t="s">
        <v>49</v>
      </c>
      <c r="C64" t="str">
        <f t="shared" si="2"/>
        <v>prog_char string_64[] PROGMEM = "bl";</v>
      </c>
      <c r="D64" t="str">
        <f t="shared" si="3"/>
        <v>string_64,</v>
      </c>
      <c r="E64">
        <f t="shared" si="0"/>
        <v>2</v>
      </c>
      <c r="H64" t="s">
        <v>63</v>
      </c>
      <c r="I64">
        <f t="shared" si="1"/>
        <v>0</v>
      </c>
      <c r="K64" t="s">
        <v>63</v>
      </c>
    </row>
    <row r="65" spans="1:11">
      <c r="A65">
        <v>65</v>
      </c>
      <c r="B65" t="s">
        <v>50</v>
      </c>
      <c r="C65" t="str">
        <f t="shared" si="2"/>
        <v>prog_char string_65[] PROGMEM = "black";</v>
      </c>
      <c r="D65" t="str">
        <f t="shared" si="3"/>
        <v>string_65,</v>
      </c>
      <c r="E65">
        <f t="shared" ref="E65:E128" si="4">LEN(B65)</f>
        <v>5</v>
      </c>
      <c r="H65" t="s">
        <v>64</v>
      </c>
      <c r="I65">
        <f t="shared" ref="I65:I128" si="5">IF(ISNUMBER(FIND("e",H65)),1,0)+IF(ISNUMBER(FIND("n",H65)),1,0)</f>
        <v>1</v>
      </c>
      <c r="K65" t="s">
        <v>64</v>
      </c>
    </row>
    <row r="66" spans="1:11">
      <c r="A66">
        <v>66</v>
      </c>
      <c r="B66" t="s">
        <v>1894</v>
      </c>
      <c r="C66" t="str">
        <f t="shared" ref="C66:C129" si="6">"prog_char string_"&amp;A66&amp;"[] PROGMEM = """&amp;B66&amp;""";"</f>
        <v>prog_char string_66[] PROGMEM = "ble";</v>
      </c>
      <c r="D66" t="str">
        <f t="shared" ref="D66:D129" si="7">"string_" &amp; A66 &amp; ","</f>
        <v>string_66,</v>
      </c>
      <c r="E66">
        <f t="shared" si="4"/>
        <v>3</v>
      </c>
      <c r="H66" t="s">
        <v>65</v>
      </c>
      <c r="I66">
        <f t="shared" si="5"/>
        <v>1</v>
      </c>
      <c r="K66" t="s">
        <v>65</v>
      </c>
    </row>
    <row r="67" spans="1:11">
      <c r="A67">
        <v>67</v>
      </c>
      <c r="B67" t="s">
        <v>880</v>
      </c>
      <c r="C67" t="str">
        <f t="shared" si="6"/>
        <v>prog_char string_67[] PROGMEM = "blue";</v>
      </c>
      <c r="D67" t="str">
        <f t="shared" si="7"/>
        <v>string_67,</v>
      </c>
      <c r="E67">
        <f t="shared" si="4"/>
        <v>4</v>
      </c>
      <c r="H67" t="s">
        <v>66</v>
      </c>
      <c r="I67">
        <f t="shared" si="5"/>
        <v>1</v>
      </c>
      <c r="K67" t="s">
        <v>66</v>
      </c>
    </row>
    <row r="68" spans="1:11">
      <c r="A68">
        <v>68</v>
      </c>
      <c r="B68" t="s">
        <v>51</v>
      </c>
      <c r="C68" t="str">
        <f t="shared" si="6"/>
        <v>prog_char string_68[] PROGMEM = "bo";</v>
      </c>
      <c r="D68" t="str">
        <f t="shared" si="7"/>
        <v>string_68,</v>
      </c>
      <c r="E68">
        <f t="shared" si="4"/>
        <v>2</v>
      </c>
      <c r="H68" t="s">
        <v>67</v>
      </c>
      <c r="I68">
        <f t="shared" si="5"/>
        <v>2</v>
      </c>
      <c r="K68" t="s">
        <v>67</v>
      </c>
    </row>
    <row r="69" spans="1:11">
      <c r="A69">
        <v>69</v>
      </c>
      <c r="B69" t="s">
        <v>757</v>
      </c>
      <c r="C69" t="str">
        <f t="shared" si="6"/>
        <v>prog_char string_69[] PROGMEM = "body";</v>
      </c>
      <c r="D69" t="str">
        <f t="shared" si="7"/>
        <v>string_69,</v>
      </c>
      <c r="E69">
        <f t="shared" si="4"/>
        <v>4</v>
      </c>
      <c r="H69" t="s">
        <v>68</v>
      </c>
      <c r="I69">
        <f t="shared" si="5"/>
        <v>1</v>
      </c>
      <c r="K69" t="s">
        <v>68</v>
      </c>
    </row>
    <row r="70" spans="1:11">
      <c r="A70">
        <v>70</v>
      </c>
      <c r="B70" t="s">
        <v>53</v>
      </c>
      <c r="C70" t="str">
        <f t="shared" si="6"/>
        <v>prog_char string_70[] PROGMEM = "book";</v>
      </c>
      <c r="D70" t="str">
        <f t="shared" si="7"/>
        <v>string_70,</v>
      </c>
      <c r="E70">
        <f t="shared" si="4"/>
        <v>4</v>
      </c>
      <c r="H70" t="s">
        <v>69</v>
      </c>
      <c r="I70">
        <f t="shared" si="5"/>
        <v>0</v>
      </c>
      <c r="K70" t="s">
        <v>69</v>
      </c>
    </row>
    <row r="71" spans="1:11">
      <c r="A71">
        <v>71</v>
      </c>
      <c r="B71" t="s">
        <v>55</v>
      </c>
      <c r="C71" t="str">
        <f t="shared" si="6"/>
        <v>prog_char string_71[] PROGMEM = "both";</v>
      </c>
      <c r="D71" t="str">
        <f t="shared" si="7"/>
        <v>string_71,</v>
      </c>
      <c r="E71">
        <f t="shared" si="4"/>
        <v>4</v>
      </c>
      <c r="H71" t="s">
        <v>70</v>
      </c>
      <c r="I71">
        <f t="shared" si="5"/>
        <v>2</v>
      </c>
      <c r="K71" t="s">
        <v>70</v>
      </c>
    </row>
    <row r="72" spans="1:11">
      <c r="A72">
        <v>72</v>
      </c>
      <c r="B72" t="s">
        <v>640</v>
      </c>
      <c r="C72" t="str">
        <f t="shared" si="6"/>
        <v>prog_char string_72[] PROGMEM = "boy";</v>
      </c>
      <c r="D72" t="str">
        <f t="shared" si="7"/>
        <v>string_72,</v>
      </c>
      <c r="E72">
        <f t="shared" si="4"/>
        <v>3</v>
      </c>
      <c r="H72" t="s">
        <v>71</v>
      </c>
      <c r="I72">
        <f t="shared" si="5"/>
        <v>1</v>
      </c>
      <c r="K72" t="s">
        <v>71</v>
      </c>
    </row>
    <row r="73" spans="1:11">
      <c r="A73">
        <v>73</v>
      </c>
      <c r="B73" t="s">
        <v>909</v>
      </c>
      <c r="C73" t="str">
        <f t="shared" si="6"/>
        <v>prog_char string_73[] PROGMEM = "bring";</v>
      </c>
      <c r="D73" t="str">
        <f t="shared" si="7"/>
        <v>string_73,</v>
      </c>
      <c r="E73">
        <f t="shared" si="4"/>
        <v>5</v>
      </c>
      <c r="H73" t="s">
        <v>72</v>
      </c>
      <c r="I73">
        <f t="shared" si="5"/>
        <v>0</v>
      </c>
      <c r="K73" t="s">
        <v>72</v>
      </c>
    </row>
    <row r="74" spans="1:11">
      <c r="A74">
        <v>74</v>
      </c>
      <c r="B74" t="s">
        <v>56</v>
      </c>
      <c r="C74" t="str">
        <f t="shared" si="6"/>
        <v>prog_char string_74[] PROGMEM = "bu";</v>
      </c>
      <c r="D74" t="str">
        <f t="shared" si="7"/>
        <v>string_74,</v>
      </c>
      <c r="E74">
        <f t="shared" si="4"/>
        <v>2</v>
      </c>
      <c r="H74" t="s">
        <v>73</v>
      </c>
      <c r="I74">
        <f t="shared" si="5"/>
        <v>0</v>
      </c>
      <c r="K74" t="s">
        <v>73</v>
      </c>
    </row>
    <row r="75" spans="1:11">
      <c r="A75">
        <v>75</v>
      </c>
      <c r="B75" t="s">
        <v>663</v>
      </c>
      <c r="C75" t="str">
        <f t="shared" si="6"/>
        <v>prog_char string_75[] PROGMEM = "build";</v>
      </c>
      <c r="D75" t="str">
        <f t="shared" si="7"/>
        <v>string_75,</v>
      </c>
      <c r="E75">
        <f t="shared" si="4"/>
        <v>5</v>
      </c>
      <c r="H75" t="s">
        <v>74</v>
      </c>
      <c r="I75">
        <f t="shared" si="5"/>
        <v>0</v>
      </c>
      <c r="K75" t="s">
        <v>74</v>
      </c>
    </row>
    <row r="76" spans="1:11">
      <c r="A76">
        <v>76</v>
      </c>
      <c r="B76" t="s">
        <v>57</v>
      </c>
      <c r="C76" t="str">
        <f t="shared" si="6"/>
        <v>prog_char string_76[] PROGMEM = "but";</v>
      </c>
      <c r="D76" t="str">
        <f t="shared" si="7"/>
        <v>string_76,</v>
      </c>
      <c r="E76">
        <f t="shared" si="4"/>
        <v>3</v>
      </c>
      <c r="H76" t="s">
        <v>75</v>
      </c>
      <c r="I76">
        <f t="shared" si="5"/>
        <v>0</v>
      </c>
      <c r="K76" t="s">
        <v>75</v>
      </c>
    </row>
    <row r="77" spans="1:11">
      <c r="A77">
        <v>77</v>
      </c>
      <c r="B77" t="s">
        <v>59</v>
      </c>
      <c r="C77" t="str">
        <f t="shared" si="6"/>
        <v>prog_char string_77[] PROGMEM = "by";</v>
      </c>
      <c r="D77" t="str">
        <f t="shared" si="7"/>
        <v>string_77,</v>
      </c>
      <c r="E77">
        <f t="shared" si="4"/>
        <v>2</v>
      </c>
      <c r="H77" t="s">
        <v>76</v>
      </c>
      <c r="I77">
        <f t="shared" si="5"/>
        <v>0</v>
      </c>
      <c r="K77" t="s">
        <v>76</v>
      </c>
    </row>
    <row r="78" spans="1:11">
      <c r="A78">
        <v>78</v>
      </c>
      <c r="B78" t="s">
        <v>1911</v>
      </c>
      <c r="C78" t="str">
        <f t="shared" si="6"/>
        <v>prog_char string_78[] PROGMEM = "cal";</v>
      </c>
      <c r="D78" t="str">
        <f t="shared" si="7"/>
        <v>string_78,</v>
      </c>
      <c r="E78">
        <f t="shared" si="4"/>
        <v>3</v>
      </c>
      <c r="H78" t="s">
        <v>77</v>
      </c>
      <c r="I78">
        <f t="shared" si="5"/>
        <v>0</v>
      </c>
      <c r="K78" t="s">
        <v>77</v>
      </c>
    </row>
    <row r="79" spans="1:11">
      <c r="A79">
        <v>79</v>
      </c>
      <c r="B79" t="s">
        <v>61</v>
      </c>
      <c r="C79" t="str">
        <f t="shared" si="6"/>
        <v>prog_char string_79[] PROGMEM = "call";</v>
      </c>
      <c r="D79" t="str">
        <f t="shared" si="7"/>
        <v>string_79,</v>
      </c>
      <c r="E79">
        <f t="shared" si="4"/>
        <v>4</v>
      </c>
      <c r="H79" t="s">
        <v>78</v>
      </c>
      <c r="I79">
        <f t="shared" si="5"/>
        <v>0</v>
      </c>
      <c r="K79" t="s">
        <v>78</v>
      </c>
    </row>
    <row r="80" spans="1:11">
      <c r="A80">
        <v>80</v>
      </c>
      <c r="B80" t="s">
        <v>62</v>
      </c>
      <c r="C80" t="str">
        <f t="shared" si="6"/>
        <v>prog_char string_80[] PROGMEM = "can";</v>
      </c>
      <c r="D80" t="str">
        <f t="shared" si="7"/>
        <v>string_80,</v>
      </c>
      <c r="E80">
        <f t="shared" si="4"/>
        <v>3</v>
      </c>
      <c r="H80" t="s">
        <v>79</v>
      </c>
      <c r="I80">
        <f t="shared" si="5"/>
        <v>1</v>
      </c>
      <c r="K80" t="s">
        <v>79</v>
      </c>
    </row>
    <row r="81" spans="1:11">
      <c r="A81">
        <v>81</v>
      </c>
      <c r="B81" t="s">
        <v>1425</v>
      </c>
      <c r="C81" t="str">
        <f t="shared" si="6"/>
        <v>prog_char string_81[] PROGMEM = "cannot";</v>
      </c>
      <c r="D81" t="str">
        <f t="shared" si="7"/>
        <v>string_81,</v>
      </c>
      <c r="E81">
        <f t="shared" si="4"/>
        <v>6</v>
      </c>
      <c r="H81" t="s">
        <v>80</v>
      </c>
      <c r="I81">
        <f t="shared" si="5"/>
        <v>1</v>
      </c>
      <c r="K81" t="s">
        <v>80</v>
      </c>
    </row>
    <row r="82" spans="1:11">
      <c r="A82">
        <v>82</v>
      </c>
      <c r="B82" t="s">
        <v>63</v>
      </c>
      <c r="C82" t="str">
        <f t="shared" si="6"/>
        <v>prog_char string_82[] PROGMEM = "car";</v>
      </c>
      <c r="D82" t="str">
        <f t="shared" si="7"/>
        <v>string_82,</v>
      </c>
      <c r="E82">
        <f t="shared" si="4"/>
        <v>3</v>
      </c>
      <c r="H82" t="s">
        <v>81</v>
      </c>
      <c r="I82">
        <f t="shared" si="5"/>
        <v>0</v>
      </c>
      <c r="K82" t="s">
        <v>81</v>
      </c>
    </row>
    <row r="83" spans="1:11">
      <c r="A83">
        <v>83</v>
      </c>
      <c r="B83" t="s">
        <v>64</v>
      </c>
      <c r="C83" t="str">
        <f t="shared" si="6"/>
        <v>prog_char string_83[] PROGMEM = "care";</v>
      </c>
      <c r="D83" t="str">
        <f t="shared" si="7"/>
        <v>string_83,</v>
      </c>
      <c r="E83">
        <f t="shared" si="4"/>
        <v>4</v>
      </c>
      <c r="H83" t="s">
        <v>82</v>
      </c>
      <c r="I83">
        <f t="shared" si="5"/>
        <v>2</v>
      </c>
      <c r="K83" t="s">
        <v>82</v>
      </c>
    </row>
    <row r="84" spans="1:11">
      <c r="A84">
        <v>84</v>
      </c>
      <c r="B84" t="s">
        <v>723</v>
      </c>
      <c r="C84" t="str">
        <f t="shared" si="6"/>
        <v>prog_char string_84[] PROGMEM = "carry";</v>
      </c>
      <c r="D84" t="str">
        <f t="shared" si="7"/>
        <v>string_84,</v>
      </c>
      <c r="E84">
        <f t="shared" si="4"/>
        <v>5</v>
      </c>
      <c r="H84" t="s">
        <v>83</v>
      </c>
      <c r="I84">
        <f t="shared" si="5"/>
        <v>1</v>
      </c>
      <c r="K84" t="s">
        <v>83</v>
      </c>
    </row>
    <row r="85" spans="1:11">
      <c r="A85">
        <v>85</v>
      </c>
      <c r="B85" t="s">
        <v>1029</v>
      </c>
      <c r="C85" t="str">
        <f t="shared" si="6"/>
        <v>prog_char string_85[] PROGMEM = "cat";</v>
      </c>
      <c r="D85" t="str">
        <f t="shared" si="7"/>
        <v>string_85,</v>
      </c>
      <c r="E85">
        <f t="shared" si="4"/>
        <v>3</v>
      </c>
      <c r="H85" t="s">
        <v>84</v>
      </c>
      <c r="I85">
        <f t="shared" si="5"/>
        <v>1</v>
      </c>
      <c r="K85" t="s">
        <v>84</v>
      </c>
    </row>
    <row r="86" spans="1:11">
      <c r="A86">
        <v>86</v>
      </c>
      <c r="B86" t="s">
        <v>637</v>
      </c>
      <c r="C86" t="str">
        <f t="shared" si="6"/>
        <v>prog_char string_86[] PROGMEM = "cause";</v>
      </c>
      <c r="D86" t="str">
        <f t="shared" si="7"/>
        <v>string_86,</v>
      </c>
      <c r="E86">
        <f t="shared" si="4"/>
        <v>5</v>
      </c>
      <c r="H86" t="s">
        <v>85</v>
      </c>
      <c r="I86">
        <f t="shared" si="5"/>
        <v>1</v>
      </c>
      <c r="K86" t="s">
        <v>85</v>
      </c>
    </row>
    <row r="87" spans="1:11">
      <c r="A87">
        <v>87</v>
      </c>
      <c r="B87" t="s">
        <v>66</v>
      </c>
      <c r="C87" t="str">
        <f t="shared" si="6"/>
        <v>prog_char string_87[] PROGMEM = "ce";</v>
      </c>
      <c r="D87" t="str">
        <f t="shared" si="7"/>
        <v>string_87,</v>
      </c>
      <c r="E87">
        <f t="shared" si="4"/>
        <v>2</v>
      </c>
      <c r="H87" t="s">
        <v>86</v>
      </c>
      <c r="I87">
        <f t="shared" si="5"/>
        <v>1</v>
      </c>
      <c r="K87" t="s">
        <v>86</v>
      </c>
    </row>
    <row r="88" spans="1:11">
      <c r="A88">
        <v>88</v>
      </c>
      <c r="B88" t="s">
        <v>67</v>
      </c>
      <c r="C88" t="str">
        <f t="shared" si="6"/>
        <v>prog_char string_88[] PROGMEM = "center";</v>
      </c>
      <c r="D88" t="str">
        <f t="shared" si="7"/>
        <v>string_88,</v>
      </c>
      <c r="E88">
        <f t="shared" si="4"/>
        <v>6</v>
      </c>
      <c r="H88" t="s">
        <v>87</v>
      </c>
      <c r="I88">
        <f t="shared" si="5"/>
        <v>1</v>
      </c>
      <c r="K88" t="s">
        <v>87</v>
      </c>
    </row>
    <row r="89" spans="1:11">
      <c r="A89">
        <v>89</v>
      </c>
      <c r="B89" t="s">
        <v>829</v>
      </c>
      <c r="C89" t="str">
        <f t="shared" si="6"/>
        <v>prog_char string_89[] PROGMEM = "certain";</v>
      </c>
      <c r="D89" t="str">
        <f t="shared" si="7"/>
        <v>string_89,</v>
      </c>
      <c r="E89">
        <f t="shared" si="4"/>
        <v>7</v>
      </c>
      <c r="H89" t="s">
        <v>88</v>
      </c>
      <c r="I89">
        <f t="shared" si="5"/>
        <v>2</v>
      </c>
      <c r="K89" t="s">
        <v>88</v>
      </c>
    </row>
    <row r="90" spans="1:11">
      <c r="A90">
        <v>90</v>
      </c>
      <c r="B90" t="s">
        <v>68</v>
      </c>
      <c r="C90" t="str">
        <f t="shared" si="6"/>
        <v>prog_char string_90[] PROGMEM = "ces";</v>
      </c>
      <c r="D90" t="str">
        <f t="shared" si="7"/>
        <v>string_90,</v>
      </c>
      <c r="E90">
        <f t="shared" si="4"/>
        <v>3</v>
      </c>
      <c r="H90" t="s">
        <v>89</v>
      </c>
      <c r="I90">
        <f t="shared" si="5"/>
        <v>1</v>
      </c>
      <c r="K90" t="s">
        <v>89</v>
      </c>
    </row>
    <row r="91" spans="1:11">
      <c r="A91">
        <v>91</v>
      </c>
      <c r="B91" t="s">
        <v>70</v>
      </c>
      <c r="C91" t="str">
        <f t="shared" si="6"/>
        <v>prog_char string_91[] PROGMEM = "change";</v>
      </c>
      <c r="D91" t="str">
        <f t="shared" si="7"/>
        <v>string_91,</v>
      </c>
      <c r="E91">
        <f t="shared" si="4"/>
        <v>6</v>
      </c>
      <c r="H91" t="s">
        <v>90</v>
      </c>
      <c r="I91">
        <f t="shared" si="5"/>
        <v>0</v>
      </c>
      <c r="K91" t="s">
        <v>90</v>
      </c>
    </row>
    <row r="92" spans="1:11">
      <c r="A92">
        <v>92</v>
      </c>
      <c r="B92" t="s">
        <v>1980</v>
      </c>
      <c r="C92" t="str">
        <f t="shared" si="6"/>
        <v>prog_char string_92[] PROGMEM = "che";</v>
      </c>
      <c r="D92" t="str">
        <f t="shared" si="7"/>
        <v>string_92,</v>
      </c>
      <c r="E92">
        <f t="shared" si="4"/>
        <v>3</v>
      </c>
      <c r="H92" t="s">
        <v>91</v>
      </c>
      <c r="I92">
        <f t="shared" si="5"/>
        <v>1</v>
      </c>
      <c r="K92" t="s">
        <v>91</v>
      </c>
    </row>
    <row r="93" spans="1:11">
      <c r="A93">
        <v>93</v>
      </c>
      <c r="B93" t="s">
        <v>72</v>
      </c>
      <c r="C93" t="str">
        <f t="shared" si="6"/>
        <v>prog_char string_93[] PROGMEM = "ci";</v>
      </c>
      <c r="D93" t="str">
        <f t="shared" si="7"/>
        <v>string_93,</v>
      </c>
      <c r="E93">
        <f t="shared" si="4"/>
        <v>2</v>
      </c>
      <c r="H93" t="s">
        <v>92</v>
      </c>
      <c r="I93">
        <f t="shared" si="5"/>
        <v>0</v>
      </c>
      <c r="K93" t="s">
        <v>92</v>
      </c>
    </row>
    <row r="94" spans="1:11">
      <c r="A94">
        <v>94</v>
      </c>
      <c r="B94" t="s">
        <v>73</v>
      </c>
      <c r="C94" t="str">
        <f t="shared" si="6"/>
        <v>prog_char string_94[] PROGMEM = "city";</v>
      </c>
      <c r="D94" t="str">
        <f t="shared" si="7"/>
        <v>string_94,</v>
      </c>
      <c r="E94">
        <f t="shared" si="4"/>
        <v>4</v>
      </c>
      <c r="H94" t="s">
        <v>93</v>
      </c>
      <c r="I94">
        <f t="shared" si="5"/>
        <v>0</v>
      </c>
      <c r="K94" t="s">
        <v>93</v>
      </c>
    </row>
    <row r="95" spans="1:11">
      <c r="A95">
        <v>95</v>
      </c>
      <c r="B95" t="s">
        <v>74</v>
      </c>
      <c r="C95" t="str">
        <f t="shared" si="6"/>
        <v>prog_char string_95[] PROGMEM = "ck";</v>
      </c>
      <c r="D95" t="str">
        <f t="shared" si="7"/>
        <v>string_95,</v>
      </c>
      <c r="E95">
        <f t="shared" si="4"/>
        <v>2</v>
      </c>
      <c r="H95" t="s">
        <v>94</v>
      </c>
      <c r="I95">
        <f t="shared" si="5"/>
        <v>0</v>
      </c>
      <c r="K95" t="s">
        <v>94</v>
      </c>
    </row>
    <row r="96" spans="1:11">
      <c r="A96">
        <v>96</v>
      </c>
      <c r="B96" t="s">
        <v>75</v>
      </c>
      <c r="C96" t="str">
        <f t="shared" si="6"/>
        <v>prog_char string_96[] PROGMEM = "cl";</v>
      </c>
      <c r="D96" t="str">
        <f t="shared" si="7"/>
        <v>string_96,</v>
      </c>
      <c r="E96">
        <f t="shared" si="4"/>
        <v>2</v>
      </c>
      <c r="H96" t="s">
        <v>95</v>
      </c>
      <c r="I96">
        <f t="shared" si="5"/>
        <v>0</v>
      </c>
      <c r="K96" t="s">
        <v>95</v>
      </c>
    </row>
    <row r="97" spans="1:11">
      <c r="A97">
        <v>97</v>
      </c>
      <c r="B97" t="s">
        <v>76</v>
      </c>
      <c r="C97" t="str">
        <f t="shared" si="6"/>
        <v>prog_char string_97[] PROGMEM = "class";</v>
      </c>
      <c r="D97" t="str">
        <f t="shared" si="7"/>
        <v>string_97,</v>
      </c>
      <c r="E97">
        <f t="shared" si="4"/>
        <v>5</v>
      </c>
      <c r="H97" t="s">
        <v>96</v>
      </c>
      <c r="I97">
        <f t="shared" si="5"/>
        <v>2</v>
      </c>
      <c r="K97" t="s">
        <v>96</v>
      </c>
    </row>
    <row r="98" spans="1:11">
      <c r="A98">
        <v>98</v>
      </c>
      <c r="B98" t="s">
        <v>868</v>
      </c>
      <c r="C98" t="str">
        <f t="shared" si="6"/>
        <v>prog_char string_98[] PROGMEM = "clear";</v>
      </c>
      <c r="D98" t="str">
        <f t="shared" si="7"/>
        <v>string_98,</v>
      </c>
      <c r="E98">
        <f t="shared" si="4"/>
        <v>5</v>
      </c>
      <c r="H98" t="s">
        <v>97</v>
      </c>
      <c r="I98">
        <f t="shared" si="5"/>
        <v>0</v>
      </c>
      <c r="K98" t="s">
        <v>97</v>
      </c>
    </row>
    <row r="99" spans="1:11">
      <c r="A99">
        <v>99</v>
      </c>
      <c r="B99" t="s">
        <v>700</v>
      </c>
      <c r="C99" t="str">
        <f t="shared" si="6"/>
        <v>prog_char string_99[] PROGMEM = "close";</v>
      </c>
      <c r="D99" t="str">
        <f t="shared" si="7"/>
        <v>string_99,</v>
      </c>
      <c r="E99">
        <f t="shared" si="4"/>
        <v>5</v>
      </c>
      <c r="H99" t="s">
        <v>98</v>
      </c>
      <c r="I99">
        <f t="shared" si="5"/>
        <v>0</v>
      </c>
      <c r="K99" t="s">
        <v>98</v>
      </c>
    </row>
    <row r="100" spans="1:11">
      <c r="A100">
        <v>100</v>
      </c>
      <c r="B100" t="s">
        <v>78</v>
      </c>
      <c r="C100" t="str">
        <f t="shared" si="6"/>
        <v>prog_char string_100[] PROGMEM = "co";</v>
      </c>
      <c r="D100" t="str">
        <f t="shared" si="7"/>
        <v>string_100,</v>
      </c>
      <c r="E100">
        <f t="shared" si="4"/>
        <v>2</v>
      </c>
      <c r="H100" t="s">
        <v>99</v>
      </c>
      <c r="I100">
        <f t="shared" si="5"/>
        <v>1</v>
      </c>
      <c r="K100" t="s">
        <v>99</v>
      </c>
    </row>
    <row r="101" spans="1:11">
      <c r="A101">
        <v>101</v>
      </c>
      <c r="B101" t="s">
        <v>823</v>
      </c>
      <c r="C101" t="str">
        <f t="shared" si="6"/>
        <v>prog_char string_101[] PROGMEM = "cold";</v>
      </c>
      <c r="D101" t="str">
        <f t="shared" si="7"/>
        <v>string_101,</v>
      </c>
      <c r="E101">
        <f t="shared" si="4"/>
        <v>4</v>
      </c>
      <c r="H101" t="s">
        <v>100</v>
      </c>
      <c r="I101">
        <f t="shared" si="5"/>
        <v>0</v>
      </c>
      <c r="K101" t="s">
        <v>100</v>
      </c>
    </row>
    <row r="102" spans="1:11">
      <c r="A102">
        <v>102</v>
      </c>
      <c r="B102" t="s">
        <v>741</v>
      </c>
      <c r="C102" t="str">
        <f t="shared" si="6"/>
        <v>prog_char string_102[] PROGMEM = "color";</v>
      </c>
      <c r="D102" t="str">
        <f t="shared" si="7"/>
        <v>string_102,</v>
      </c>
      <c r="E102">
        <f t="shared" si="4"/>
        <v>5</v>
      </c>
      <c r="H102" t="s">
        <v>101</v>
      </c>
      <c r="I102">
        <f t="shared" si="5"/>
        <v>0</v>
      </c>
      <c r="K102" t="s">
        <v>101</v>
      </c>
    </row>
    <row r="103" spans="1:11">
      <c r="A103">
        <v>103</v>
      </c>
      <c r="B103" t="s">
        <v>81</v>
      </c>
      <c r="C103" t="str">
        <f t="shared" si="6"/>
        <v>prog_char string_103[] PROGMEM = "com";</v>
      </c>
      <c r="D103" t="str">
        <f t="shared" si="7"/>
        <v>string_103,</v>
      </c>
      <c r="E103">
        <f t="shared" si="4"/>
        <v>3</v>
      </c>
      <c r="H103" t="s">
        <v>102</v>
      </c>
      <c r="I103">
        <f t="shared" si="5"/>
        <v>1</v>
      </c>
      <c r="K103" t="s">
        <v>102</v>
      </c>
    </row>
    <row r="104" spans="1:11">
      <c r="A104">
        <v>104</v>
      </c>
      <c r="B104" t="s">
        <v>625</v>
      </c>
      <c r="C104" t="str">
        <f t="shared" si="6"/>
        <v>prog_char string_104[] PROGMEM = "come";</v>
      </c>
      <c r="D104" t="str">
        <f t="shared" si="7"/>
        <v>string_104,</v>
      </c>
      <c r="E104">
        <f t="shared" si="4"/>
        <v>4</v>
      </c>
      <c r="H104" t="s">
        <v>103</v>
      </c>
      <c r="I104">
        <f t="shared" si="5"/>
        <v>2</v>
      </c>
      <c r="K104" t="s">
        <v>103</v>
      </c>
    </row>
    <row r="105" spans="1:11">
      <c r="A105">
        <v>105</v>
      </c>
      <c r="B105" t="s">
        <v>892</v>
      </c>
      <c r="C105" t="str">
        <f t="shared" si="6"/>
        <v>prog_char string_105[] PROGMEM = "common";</v>
      </c>
      <c r="D105" t="str">
        <f t="shared" si="7"/>
        <v>string_105,</v>
      </c>
      <c r="E105">
        <f t="shared" si="4"/>
        <v>6</v>
      </c>
      <c r="H105" t="s">
        <v>104</v>
      </c>
      <c r="I105">
        <f t="shared" si="5"/>
        <v>2</v>
      </c>
      <c r="K105" t="s">
        <v>104</v>
      </c>
    </row>
    <row r="106" spans="1:11">
      <c r="A106">
        <v>106</v>
      </c>
      <c r="B106" t="s">
        <v>86</v>
      </c>
      <c r="C106" t="str">
        <f t="shared" si="6"/>
        <v>prog_char string_106[] PROGMEM = "con";</v>
      </c>
      <c r="D106" t="str">
        <f t="shared" si="7"/>
        <v>string_106,</v>
      </c>
      <c r="E106">
        <f t="shared" si="4"/>
        <v>3</v>
      </c>
      <c r="H106" t="s">
        <v>105</v>
      </c>
      <c r="I106">
        <f t="shared" si="5"/>
        <v>1</v>
      </c>
      <c r="K106" t="s">
        <v>105</v>
      </c>
    </row>
    <row r="107" spans="1:11">
      <c r="A107">
        <v>107</v>
      </c>
      <c r="B107" t="s">
        <v>1950</v>
      </c>
      <c r="C107" t="str">
        <f t="shared" si="6"/>
        <v>prog_char string_107[] PROGMEM = "cou";</v>
      </c>
      <c r="D107" t="str">
        <f t="shared" si="7"/>
        <v>string_107,</v>
      </c>
      <c r="E107">
        <f t="shared" si="4"/>
        <v>3</v>
      </c>
      <c r="H107" t="s">
        <v>106</v>
      </c>
      <c r="I107">
        <f t="shared" si="5"/>
        <v>0</v>
      </c>
      <c r="K107" t="s">
        <v>106</v>
      </c>
    </row>
    <row r="108" spans="1:11">
      <c r="A108">
        <v>108</v>
      </c>
      <c r="B108" t="s">
        <v>90</v>
      </c>
      <c r="C108" t="str">
        <f t="shared" si="6"/>
        <v>prog_char string_108[] PROGMEM = "could";</v>
      </c>
      <c r="D108" t="str">
        <f t="shared" si="7"/>
        <v>string_108,</v>
      </c>
      <c r="E108">
        <f t="shared" si="4"/>
        <v>5</v>
      </c>
      <c r="H108" t="s">
        <v>107</v>
      </c>
      <c r="I108">
        <f t="shared" si="5"/>
        <v>0</v>
      </c>
      <c r="K108" t="s">
        <v>107</v>
      </c>
    </row>
    <row r="109" spans="1:11">
      <c r="A109">
        <v>109</v>
      </c>
      <c r="B109" t="s">
        <v>876</v>
      </c>
      <c r="C109" t="str">
        <f t="shared" si="6"/>
        <v>prog_char string_109[] PROGMEM = "course";</v>
      </c>
      <c r="D109" t="str">
        <f t="shared" si="7"/>
        <v>string_109,</v>
      </c>
      <c r="E109">
        <f t="shared" si="4"/>
        <v>6</v>
      </c>
      <c r="H109" t="s">
        <v>108</v>
      </c>
      <c r="I109">
        <f t="shared" si="5"/>
        <v>0</v>
      </c>
      <c r="K109" t="s">
        <v>108</v>
      </c>
    </row>
    <row r="110" spans="1:11">
      <c r="A110">
        <v>110</v>
      </c>
      <c r="B110" t="s">
        <v>675</v>
      </c>
      <c r="C110" t="str">
        <f t="shared" si="6"/>
        <v>prog_char string_110[] PROGMEM = "cover";</v>
      </c>
      <c r="D110" t="str">
        <f t="shared" si="7"/>
        <v>string_110,</v>
      </c>
      <c r="E110">
        <f t="shared" si="4"/>
        <v>5</v>
      </c>
      <c r="H110" t="s">
        <v>109</v>
      </c>
      <c r="I110">
        <f t="shared" si="5"/>
        <v>1</v>
      </c>
      <c r="K110" t="s">
        <v>109</v>
      </c>
    </row>
    <row r="111" spans="1:11">
      <c r="A111">
        <v>111</v>
      </c>
      <c r="B111" t="s">
        <v>93</v>
      </c>
      <c r="C111" t="str">
        <f t="shared" si="6"/>
        <v>prog_char string_111[] PROGMEM = "ct";</v>
      </c>
      <c r="D111" t="str">
        <f t="shared" si="7"/>
        <v>string_111,</v>
      </c>
      <c r="E111">
        <f t="shared" si="4"/>
        <v>2</v>
      </c>
      <c r="H111" t="s">
        <v>110</v>
      </c>
      <c r="I111">
        <f t="shared" si="5"/>
        <v>0</v>
      </c>
      <c r="K111" t="s">
        <v>110</v>
      </c>
    </row>
    <row r="112" spans="1:11">
      <c r="A112">
        <v>112</v>
      </c>
      <c r="B112" t="s">
        <v>94</v>
      </c>
      <c r="C112" t="str">
        <f t="shared" si="6"/>
        <v>prog_char string_112[] PROGMEM = "cti";</v>
      </c>
      <c r="D112" t="str">
        <f t="shared" si="7"/>
        <v>string_112,</v>
      </c>
      <c r="E112">
        <f t="shared" si="4"/>
        <v>3</v>
      </c>
      <c r="H112" t="s">
        <v>111</v>
      </c>
      <c r="I112">
        <f t="shared" si="5"/>
        <v>1</v>
      </c>
      <c r="K112" t="s">
        <v>111</v>
      </c>
    </row>
    <row r="113" spans="1:11">
      <c r="A113">
        <v>113</v>
      </c>
      <c r="B113" t="s">
        <v>738</v>
      </c>
      <c r="C113" t="str">
        <f t="shared" si="6"/>
        <v>prog_char string_113[] PROGMEM = "cut";</v>
      </c>
      <c r="D113" t="str">
        <f t="shared" si="7"/>
        <v>string_113,</v>
      </c>
      <c r="E113">
        <f t="shared" si="4"/>
        <v>3</v>
      </c>
      <c r="H113" t="s">
        <v>112</v>
      </c>
      <c r="I113">
        <f t="shared" si="5"/>
        <v>1</v>
      </c>
      <c r="K113" t="s">
        <v>112</v>
      </c>
    </row>
    <row r="114" spans="1:11">
      <c r="A114">
        <v>114</v>
      </c>
      <c r="B114" t="s">
        <v>97</v>
      </c>
      <c r="C114" t="str">
        <f t="shared" si="6"/>
        <v>prog_char string_114[] PROGMEM = "da";</v>
      </c>
      <c r="D114" t="str">
        <f t="shared" si="7"/>
        <v>string_114,</v>
      </c>
      <c r="E114">
        <f t="shared" si="4"/>
        <v>2</v>
      </c>
      <c r="H114" t="s">
        <v>113</v>
      </c>
      <c r="I114">
        <f t="shared" si="5"/>
        <v>1</v>
      </c>
      <c r="K114" t="s">
        <v>113</v>
      </c>
    </row>
    <row r="115" spans="1:11">
      <c r="A115">
        <v>115</v>
      </c>
      <c r="B115" t="s">
        <v>834</v>
      </c>
      <c r="C115" t="str">
        <f t="shared" si="6"/>
        <v>prog_char string_115[] PROGMEM = "dark";</v>
      </c>
      <c r="D115" t="str">
        <f t="shared" si="7"/>
        <v>string_115,</v>
      </c>
      <c r="E115">
        <f t="shared" si="4"/>
        <v>4</v>
      </c>
      <c r="H115" t="s">
        <v>114</v>
      </c>
      <c r="I115">
        <f t="shared" si="5"/>
        <v>0</v>
      </c>
      <c r="K115" t="s">
        <v>114</v>
      </c>
    </row>
    <row r="116" spans="1:11">
      <c r="A116">
        <v>116</v>
      </c>
      <c r="B116" t="s">
        <v>1998</v>
      </c>
      <c r="C116" t="str">
        <f t="shared" si="6"/>
        <v>prog_char string_116[] PROGMEM = "dat";</v>
      </c>
      <c r="D116" t="str">
        <f t="shared" si="7"/>
        <v>string_116,</v>
      </c>
      <c r="E116">
        <f t="shared" si="4"/>
        <v>3</v>
      </c>
      <c r="H116" t="s">
        <v>115</v>
      </c>
      <c r="I116">
        <f t="shared" si="5"/>
        <v>0</v>
      </c>
      <c r="K116" t="s">
        <v>115</v>
      </c>
    </row>
    <row r="117" spans="1:11">
      <c r="A117">
        <v>117</v>
      </c>
      <c r="B117" t="s">
        <v>100</v>
      </c>
      <c r="C117" t="str">
        <f t="shared" si="6"/>
        <v>prog_char string_117[] PROGMEM = "day";</v>
      </c>
      <c r="D117" t="str">
        <f t="shared" si="7"/>
        <v>string_117,</v>
      </c>
      <c r="E117">
        <f t="shared" si="4"/>
        <v>3</v>
      </c>
      <c r="H117" t="s">
        <v>116</v>
      </c>
      <c r="I117">
        <f t="shared" si="5"/>
        <v>0</v>
      </c>
      <c r="K117" t="s">
        <v>116</v>
      </c>
    </row>
    <row r="118" spans="1:11">
      <c r="A118">
        <v>118</v>
      </c>
      <c r="B118" t="s">
        <v>102</v>
      </c>
      <c r="C118" t="str">
        <f t="shared" si="6"/>
        <v>prog_char string_118[] PROGMEM = "de";</v>
      </c>
      <c r="D118" t="str">
        <f t="shared" si="7"/>
        <v>string_118,</v>
      </c>
      <c r="E118">
        <f t="shared" si="4"/>
        <v>2</v>
      </c>
      <c r="H118" t="s">
        <v>117</v>
      </c>
      <c r="I118">
        <f t="shared" si="5"/>
        <v>0</v>
      </c>
      <c r="K118" t="s">
        <v>117</v>
      </c>
    </row>
    <row r="119" spans="1:11">
      <c r="A119">
        <v>119</v>
      </c>
      <c r="B119" t="s">
        <v>882</v>
      </c>
      <c r="C119" t="str">
        <f t="shared" si="6"/>
        <v>prog_char string_119[] PROGMEM = "decide";</v>
      </c>
      <c r="D119" t="str">
        <f t="shared" si="7"/>
        <v>string_119,</v>
      </c>
      <c r="E119">
        <f t="shared" si="4"/>
        <v>6</v>
      </c>
      <c r="H119" t="s">
        <v>118</v>
      </c>
      <c r="I119">
        <f t="shared" si="5"/>
        <v>1</v>
      </c>
      <c r="K119" t="s">
        <v>118</v>
      </c>
    </row>
    <row r="120" spans="1:11">
      <c r="A120">
        <v>120</v>
      </c>
      <c r="B120" t="s">
        <v>884</v>
      </c>
      <c r="C120" t="str">
        <f t="shared" si="6"/>
        <v>prog_char string_120[] PROGMEM = "deep";</v>
      </c>
      <c r="D120" t="str">
        <f t="shared" si="7"/>
        <v>string_120,</v>
      </c>
      <c r="E120">
        <f t="shared" si="4"/>
        <v>4</v>
      </c>
      <c r="H120" t="s">
        <v>119</v>
      </c>
      <c r="I120">
        <f t="shared" si="5"/>
        <v>0</v>
      </c>
      <c r="K120" t="s">
        <v>119</v>
      </c>
    </row>
    <row r="121" spans="1:11">
      <c r="A121">
        <v>121</v>
      </c>
      <c r="B121" t="s">
        <v>1887</v>
      </c>
      <c r="C121" t="str">
        <f t="shared" si="6"/>
        <v>prog_char string_121[] PROGMEM = "der";</v>
      </c>
      <c r="D121" t="str">
        <f t="shared" si="7"/>
        <v>string_121,</v>
      </c>
      <c r="E121">
        <f t="shared" si="4"/>
        <v>3</v>
      </c>
      <c r="H121" t="s">
        <v>120</v>
      </c>
      <c r="I121">
        <f t="shared" si="5"/>
        <v>1</v>
      </c>
      <c r="K121" t="s">
        <v>120</v>
      </c>
    </row>
    <row r="122" spans="1:11">
      <c r="A122">
        <v>122</v>
      </c>
      <c r="B122" t="s">
        <v>861</v>
      </c>
      <c r="C122" t="str">
        <f t="shared" si="6"/>
        <v>prog_char string_122[] PROGMEM = "develop";</v>
      </c>
      <c r="D122" t="str">
        <f t="shared" si="7"/>
        <v>string_122,</v>
      </c>
      <c r="E122">
        <f t="shared" si="4"/>
        <v>7</v>
      </c>
      <c r="H122" t="s">
        <v>121</v>
      </c>
      <c r="I122">
        <f t="shared" si="5"/>
        <v>1</v>
      </c>
      <c r="K122" t="s">
        <v>121</v>
      </c>
    </row>
    <row r="123" spans="1:11">
      <c r="A123">
        <v>123</v>
      </c>
      <c r="B123" t="s">
        <v>106</v>
      </c>
      <c r="C123" t="str">
        <f t="shared" si="6"/>
        <v>prog_char string_123[] PROGMEM = "di";</v>
      </c>
      <c r="D123" t="str">
        <f t="shared" si="7"/>
        <v>string_123,</v>
      </c>
      <c r="E123">
        <f t="shared" si="4"/>
        <v>2</v>
      </c>
      <c r="H123" t="s">
        <v>122</v>
      </c>
      <c r="I123">
        <f t="shared" si="5"/>
        <v>1</v>
      </c>
      <c r="K123" t="s">
        <v>122</v>
      </c>
    </row>
    <row r="124" spans="1:11">
      <c r="A124">
        <v>124</v>
      </c>
      <c r="B124" t="s">
        <v>109</v>
      </c>
      <c r="C124" t="str">
        <f t="shared" si="6"/>
        <v>prog_char string_124[] PROGMEM = "din";</v>
      </c>
      <c r="D124" t="str">
        <f t="shared" si="7"/>
        <v>string_124,</v>
      </c>
      <c r="E124">
        <f t="shared" si="4"/>
        <v>3</v>
      </c>
      <c r="H124" t="s">
        <v>123</v>
      </c>
      <c r="I124">
        <f t="shared" si="5"/>
        <v>1</v>
      </c>
      <c r="K124" t="s">
        <v>123</v>
      </c>
    </row>
    <row r="125" spans="1:11">
      <c r="A125">
        <v>125</v>
      </c>
      <c r="B125" t="s">
        <v>1984</v>
      </c>
      <c r="C125" t="str">
        <f t="shared" si="6"/>
        <v>prog_char string_125[] PROGMEM = "dis";</v>
      </c>
      <c r="D125" t="str">
        <f t="shared" si="7"/>
        <v>string_125,</v>
      </c>
      <c r="E125">
        <f t="shared" si="4"/>
        <v>3</v>
      </c>
      <c r="H125" t="s">
        <v>124</v>
      </c>
      <c r="I125">
        <f t="shared" si="5"/>
        <v>1</v>
      </c>
      <c r="K125" t="s">
        <v>124</v>
      </c>
    </row>
    <row r="126" spans="1:11">
      <c r="A126">
        <v>126</v>
      </c>
      <c r="B126" t="s">
        <v>110</v>
      </c>
      <c r="C126" t="str">
        <f t="shared" si="6"/>
        <v>prog_char string_126[] PROGMEM = "do";</v>
      </c>
      <c r="D126" t="str">
        <f t="shared" si="7"/>
        <v>string_126,</v>
      </c>
      <c r="E126">
        <f t="shared" si="4"/>
        <v>2</v>
      </c>
      <c r="H126" t="s">
        <v>125</v>
      </c>
      <c r="I126">
        <f t="shared" si="5"/>
        <v>1</v>
      </c>
      <c r="K126" t="s">
        <v>125</v>
      </c>
    </row>
    <row r="127" spans="1:11">
      <c r="A127">
        <v>127</v>
      </c>
      <c r="B127" t="s">
        <v>111</v>
      </c>
      <c r="C127" t="str">
        <f t="shared" si="6"/>
        <v>prog_char string_127[] PROGMEM = "does";</v>
      </c>
      <c r="D127" t="str">
        <f t="shared" si="7"/>
        <v>string_127,</v>
      </c>
      <c r="E127">
        <f t="shared" si="4"/>
        <v>4</v>
      </c>
      <c r="H127" t="s">
        <v>126</v>
      </c>
      <c r="I127">
        <f t="shared" si="5"/>
        <v>1</v>
      </c>
      <c r="K127" t="s">
        <v>126</v>
      </c>
    </row>
    <row r="128" spans="1:11">
      <c r="A128">
        <v>128</v>
      </c>
      <c r="B128" t="s">
        <v>848</v>
      </c>
      <c r="C128" t="str">
        <f t="shared" si="6"/>
        <v>prog_char string_128[] PROGMEM = "done";</v>
      </c>
      <c r="D128" t="str">
        <f t="shared" si="7"/>
        <v>string_128,</v>
      </c>
      <c r="E128">
        <f t="shared" si="4"/>
        <v>4</v>
      </c>
      <c r="H128" t="s">
        <v>127</v>
      </c>
      <c r="I128">
        <f t="shared" si="5"/>
        <v>1</v>
      </c>
      <c r="K128" t="s">
        <v>127</v>
      </c>
    </row>
    <row r="129" spans="1:11">
      <c r="A129">
        <v>129</v>
      </c>
      <c r="B129" t="s">
        <v>764</v>
      </c>
      <c r="C129" t="str">
        <f t="shared" si="6"/>
        <v>prog_char string_129[] PROGMEM = "door";</v>
      </c>
      <c r="D129" t="str">
        <f t="shared" si="7"/>
        <v>string_129,</v>
      </c>
      <c r="E129">
        <f t="shared" ref="E129:E192" si="8">LEN(B129)</f>
        <v>4</v>
      </c>
      <c r="H129" t="s">
        <v>128</v>
      </c>
      <c r="I129">
        <f t="shared" ref="I129:I192" si="9">IF(ISNUMBER(FIND("e",H129)),1,0)+IF(ISNUMBER(FIND("n",H129)),1,0)</f>
        <v>1</v>
      </c>
      <c r="K129" t="s">
        <v>128</v>
      </c>
    </row>
    <row r="130" spans="1:11">
      <c r="A130">
        <v>130</v>
      </c>
      <c r="B130" t="s">
        <v>112</v>
      </c>
      <c r="C130" t="str">
        <f t="shared" ref="C130:C193" si="10">"prog_char string_"&amp;A130&amp;"[] PROGMEM = """&amp;B130&amp;""";"</f>
        <v>prog_char string_130[] PROGMEM = "down";</v>
      </c>
      <c r="D130" t="str">
        <f t="shared" ref="D130:D193" si="11">"string_" &amp; A130 &amp; ","</f>
        <v>string_130,</v>
      </c>
      <c r="E130">
        <f t="shared" si="8"/>
        <v>4</v>
      </c>
      <c r="H130" t="s">
        <v>129</v>
      </c>
      <c r="I130">
        <f t="shared" si="9"/>
        <v>1</v>
      </c>
      <c r="K130" t="s">
        <v>129</v>
      </c>
    </row>
    <row r="131" spans="1:11">
      <c r="A131">
        <v>131</v>
      </c>
      <c r="B131" t="s">
        <v>850</v>
      </c>
      <c r="C131" t="str">
        <f t="shared" si="10"/>
        <v>prog_char string_131[] PROGMEM = "drive";</v>
      </c>
      <c r="D131" t="str">
        <f t="shared" si="11"/>
        <v>string_131,</v>
      </c>
      <c r="E131">
        <f t="shared" si="8"/>
        <v>5</v>
      </c>
      <c r="H131" t="s">
        <v>130</v>
      </c>
      <c r="I131">
        <f t="shared" si="9"/>
        <v>1</v>
      </c>
      <c r="K131" t="s">
        <v>130</v>
      </c>
    </row>
    <row r="132" spans="1:11">
      <c r="A132">
        <v>132</v>
      </c>
      <c r="B132" t="s">
        <v>115</v>
      </c>
      <c r="C132" t="str">
        <f t="shared" si="10"/>
        <v>prog_char string_132[] PROGMEM = "ds";</v>
      </c>
      <c r="D132" t="str">
        <f t="shared" si="11"/>
        <v>string_132,</v>
      </c>
      <c r="E132">
        <f t="shared" si="8"/>
        <v>2</v>
      </c>
      <c r="H132" t="s">
        <v>131</v>
      </c>
      <c r="I132">
        <f t="shared" si="9"/>
        <v>1</v>
      </c>
      <c r="K132" t="s">
        <v>131</v>
      </c>
    </row>
    <row r="133" spans="1:11">
      <c r="A133">
        <v>133</v>
      </c>
      <c r="B133" t="s">
        <v>116</v>
      </c>
      <c r="C133" t="str">
        <f t="shared" si="10"/>
        <v>prog_char string_133[] PROGMEM = "dt";</v>
      </c>
      <c r="D133" t="str">
        <f t="shared" si="11"/>
        <v>string_133,</v>
      </c>
      <c r="E133">
        <f t="shared" si="8"/>
        <v>2</v>
      </c>
      <c r="H133" t="s">
        <v>132</v>
      </c>
      <c r="I133">
        <f t="shared" si="9"/>
        <v>1</v>
      </c>
      <c r="K133" t="s">
        <v>132</v>
      </c>
    </row>
    <row r="134" spans="1:11">
      <c r="A134">
        <v>134</v>
      </c>
      <c r="B134" t="s">
        <v>117</v>
      </c>
      <c r="C134" t="str">
        <f t="shared" si="10"/>
        <v>prog_char string_134[] PROGMEM = "du";</v>
      </c>
      <c r="D134" t="str">
        <f t="shared" si="11"/>
        <v>string_134,</v>
      </c>
      <c r="E134">
        <f t="shared" si="8"/>
        <v>2</v>
      </c>
      <c r="H134" t="s">
        <v>133</v>
      </c>
      <c r="I134">
        <f t="shared" si="9"/>
        <v>1</v>
      </c>
      <c r="K134" t="s">
        <v>133</v>
      </c>
    </row>
    <row r="135" spans="1:11">
      <c r="A135">
        <v>135</v>
      </c>
      <c r="B135" t="s">
        <v>118</v>
      </c>
      <c r="C135" t="str">
        <f t="shared" si="10"/>
        <v>prog_char string_135[] PROGMEM = "during";</v>
      </c>
      <c r="D135" t="str">
        <f t="shared" si="11"/>
        <v>string_135,</v>
      </c>
      <c r="E135">
        <f t="shared" si="8"/>
        <v>6</v>
      </c>
      <c r="H135" t="s">
        <v>134</v>
      </c>
      <c r="I135">
        <f t="shared" si="9"/>
        <v>1</v>
      </c>
      <c r="K135" t="s">
        <v>134</v>
      </c>
    </row>
    <row r="136" spans="1:11">
      <c r="A136">
        <v>136</v>
      </c>
      <c r="B136" t="s">
        <v>120</v>
      </c>
      <c r="C136" t="str">
        <f t="shared" si="10"/>
        <v>prog_char string_136[] PROGMEM = "ea";</v>
      </c>
      <c r="D136" t="str">
        <f t="shared" si="11"/>
        <v>string_136,</v>
      </c>
      <c r="E136">
        <f t="shared" si="8"/>
        <v>2</v>
      </c>
      <c r="H136" t="s">
        <v>135</v>
      </c>
      <c r="I136">
        <f t="shared" si="9"/>
        <v>1</v>
      </c>
      <c r="K136" t="s">
        <v>135</v>
      </c>
    </row>
    <row r="137" spans="1:11">
      <c r="A137">
        <v>137</v>
      </c>
      <c r="B137" t="s">
        <v>121</v>
      </c>
      <c r="C137" t="str">
        <f t="shared" si="10"/>
        <v>prog_char string_137[] PROGMEM = "each";</v>
      </c>
      <c r="D137" t="str">
        <f t="shared" si="11"/>
        <v>string_137,</v>
      </c>
      <c r="E137">
        <f t="shared" si="8"/>
        <v>4</v>
      </c>
      <c r="H137" t="s">
        <v>136</v>
      </c>
      <c r="I137">
        <f t="shared" si="9"/>
        <v>1</v>
      </c>
      <c r="K137" t="s">
        <v>136</v>
      </c>
    </row>
    <row r="138" spans="1:11">
      <c r="A138">
        <v>138</v>
      </c>
      <c r="B138" t="s">
        <v>1988</v>
      </c>
      <c r="C138" t="str">
        <f t="shared" si="10"/>
        <v>prog_char string_138[] PROGMEM = "ead";</v>
      </c>
      <c r="D138" t="str">
        <f t="shared" si="11"/>
        <v>string_138,</v>
      </c>
      <c r="E138">
        <f t="shared" si="8"/>
        <v>3</v>
      </c>
      <c r="H138" t="s">
        <v>137</v>
      </c>
      <c r="I138">
        <f t="shared" si="9"/>
        <v>2</v>
      </c>
      <c r="K138" t="s">
        <v>137</v>
      </c>
    </row>
    <row r="139" spans="1:11">
      <c r="A139">
        <v>139</v>
      </c>
      <c r="B139" t="s">
        <v>1968</v>
      </c>
      <c r="C139" t="str">
        <f t="shared" si="10"/>
        <v>prog_char string_139[] PROGMEM = "eal";</v>
      </c>
      <c r="D139" t="str">
        <f t="shared" si="11"/>
        <v>string_139,</v>
      </c>
      <c r="E139">
        <f t="shared" si="8"/>
        <v>3</v>
      </c>
      <c r="H139" t="s">
        <v>138</v>
      </c>
      <c r="I139">
        <f t="shared" si="9"/>
        <v>2</v>
      </c>
      <c r="K139" t="s">
        <v>138</v>
      </c>
    </row>
    <row r="140" spans="1:11">
      <c r="A140">
        <v>140</v>
      </c>
      <c r="B140" t="s">
        <v>1960</v>
      </c>
      <c r="C140" t="str">
        <f t="shared" si="10"/>
        <v>prog_char string_140[] PROGMEM = "ean";</v>
      </c>
      <c r="D140" t="str">
        <f t="shared" si="11"/>
        <v>string_140,</v>
      </c>
      <c r="E140">
        <f t="shared" si="8"/>
        <v>3</v>
      </c>
      <c r="H140" t="s">
        <v>139</v>
      </c>
      <c r="I140">
        <f t="shared" si="9"/>
        <v>2</v>
      </c>
      <c r="K140" t="s">
        <v>139</v>
      </c>
    </row>
    <row r="141" spans="1:11">
      <c r="A141">
        <v>141</v>
      </c>
      <c r="B141" t="s">
        <v>122</v>
      </c>
      <c r="C141" t="str">
        <f t="shared" si="10"/>
        <v>prog_char string_141[] PROGMEM = "ear";</v>
      </c>
      <c r="D141" t="str">
        <f t="shared" si="11"/>
        <v>string_141,</v>
      </c>
      <c r="E141">
        <f t="shared" si="8"/>
        <v>3</v>
      </c>
      <c r="H141" t="s">
        <v>140</v>
      </c>
      <c r="I141">
        <f t="shared" si="9"/>
        <v>1</v>
      </c>
      <c r="K141" t="s">
        <v>140</v>
      </c>
    </row>
    <row r="142" spans="1:11">
      <c r="A142">
        <v>142</v>
      </c>
      <c r="B142" t="s">
        <v>790</v>
      </c>
      <c r="C142" t="str">
        <f t="shared" si="10"/>
        <v>prog_char string_142[] PROGMEM = "early";</v>
      </c>
      <c r="D142" t="str">
        <f t="shared" si="11"/>
        <v>string_142,</v>
      </c>
      <c r="E142">
        <f t="shared" si="8"/>
        <v>5</v>
      </c>
      <c r="H142" t="s">
        <v>141</v>
      </c>
      <c r="I142">
        <f t="shared" si="9"/>
        <v>1</v>
      </c>
      <c r="K142" t="s">
        <v>141</v>
      </c>
    </row>
    <row r="143" spans="1:11">
      <c r="A143">
        <v>143</v>
      </c>
      <c r="B143" t="s">
        <v>1903</v>
      </c>
      <c r="C143" t="str">
        <f t="shared" si="10"/>
        <v>prog_char string_143[] PROGMEM = "eas";</v>
      </c>
      <c r="D143" t="str">
        <f t="shared" si="11"/>
        <v>string_143,</v>
      </c>
      <c r="E143">
        <f t="shared" si="8"/>
        <v>3</v>
      </c>
      <c r="H143" t="s">
        <v>142</v>
      </c>
      <c r="I143">
        <f t="shared" si="9"/>
        <v>1</v>
      </c>
      <c r="K143" t="s">
        <v>142</v>
      </c>
    </row>
    <row r="144" spans="1:11">
      <c r="A144">
        <v>144</v>
      </c>
      <c r="B144" t="s">
        <v>913</v>
      </c>
      <c r="C144" t="str">
        <f t="shared" si="10"/>
        <v>prog_char string_144[] PROGMEM = "east";</v>
      </c>
      <c r="D144" t="str">
        <f t="shared" si="11"/>
        <v>string_144,</v>
      </c>
      <c r="E144">
        <f t="shared" si="8"/>
        <v>4</v>
      </c>
      <c r="H144" t="s">
        <v>143</v>
      </c>
      <c r="I144">
        <f t="shared" si="9"/>
        <v>1</v>
      </c>
      <c r="K144" t="s">
        <v>143</v>
      </c>
    </row>
    <row r="145" spans="1:11">
      <c r="A145">
        <v>145</v>
      </c>
      <c r="B145" t="s">
        <v>726</v>
      </c>
      <c r="C145" t="str">
        <f t="shared" si="10"/>
        <v>prog_char string_145[] PROGMEM = "eat";</v>
      </c>
      <c r="D145" t="str">
        <f t="shared" si="11"/>
        <v>string_145,</v>
      </c>
      <c r="E145">
        <f t="shared" si="8"/>
        <v>3</v>
      </c>
      <c r="H145" t="s">
        <v>144</v>
      </c>
      <c r="I145">
        <f t="shared" si="9"/>
        <v>1</v>
      </c>
      <c r="K145" t="s">
        <v>144</v>
      </c>
    </row>
    <row r="146" spans="1:11">
      <c r="A146">
        <v>146</v>
      </c>
      <c r="B146" t="s">
        <v>123</v>
      </c>
      <c r="C146" t="str">
        <f t="shared" si="10"/>
        <v>prog_char string_146[] PROGMEM = "eb";</v>
      </c>
      <c r="D146" t="str">
        <f t="shared" si="11"/>
        <v>string_146,</v>
      </c>
      <c r="E146">
        <f t="shared" si="8"/>
        <v>2</v>
      </c>
      <c r="H146" t="s">
        <v>145</v>
      </c>
      <c r="I146">
        <f t="shared" si="9"/>
        <v>1</v>
      </c>
      <c r="K146" t="s">
        <v>145</v>
      </c>
    </row>
    <row r="147" spans="1:11">
      <c r="A147">
        <v>147</v>
      </c>
      <c r="B147" t="s">
        <v>125</v>
      </c>
      <c r="C147" t="str">
        <f t="shared" si="10"/>
        <v>prog_char string_147[] PROGMEM = "ec";</v>
      </c>
      <c r="D147" t="str">
        <f t="shared" si="11"/>
        <v>string_147,</v>
      </c>
      <c r="E147">
        <f t="shared" si="8"/>
        <v>2</v>
      </c>
      <c r="H147" t="s">
        <v>146</v>
      </c>
      <c r="I147">
        <f t="shared" si="9"/>
        <v>1</v>
      </c>
      <c r="K147" t="s">
        <v>146</v>
      </c>
    </row>
    <row r="148" spans="1:11">
      <c r="A148">
        <v>148</v>
      </c>
      <c r="B148" t="s">
        <v>126</v>
      </c>
      <c r="C148" t="str">
        <f t="shared" si="10"/>
        <v>prog_char string_148[] PROGMEM = "eco";</v>
      </c>
      <c r="D148" t="str">
        <f t="shared" si="11"/>
        <v>string_148,</v>
      </c>
      <c r="E148">
        <f t="shared" si="8"/>
        <v>3</v>
      </c>
      <c r="H148" t="s">
        <v>147</v>
      </c>
      <c r="I148">
        <f t="shared" si="9"/>
        <v>1</v>
      </c>
      <c r="K148" t="s">
        <v>147</v>
      </c>
    </row>
    <row r="149" spans="1:11">
      <c r="A149">
        <v>149</v>
      </c>
      <c r="B149" t="s">
        <v>127</v>
      </c>
      <c r="C149" t="str">
        <f t="shared" si="10"/>
        <v>prog_char string_149[] PROGMEM = "ect";</v>
      </c>
      <c r="D149" t="str">
        <f t="shared" si="11"/>
        <v>string_149,</v>
      </c>
      <c r="E149">
        <f t="shared" si="8"/>
        <v>3</v>
      </c>
      <c r="H149" t="s">
        <v>148</v>
      </c>
      <c r="I149">
        <f t="shared" si="9"/>
        <v>1</v>
      </c>
      <c r="K149" t="s">
        <v>148</v>
      </c>
    </row>
    <row r="150" spans="1:11">
      <c r="A150">
        <v>150</v>
      </c>
      <c r="B150" t="s">
        <v>128</v>
      </c>
      <c r="C150" t="str">
        <f t="shared" si="10"/>
        <v>prog_char string_150[] PROGMEM = "ed";</v>
      </c>
      <c r="D150" t="str">
        <f t="shared" si="11"/>
        <v>string_150,</v>
      </c>
      <c r="E150">
        <f t="shared" si="8"/>
        <v>2</v>
      </c>
      <c r="H150" t="s">
        <v>149</v>
      </c>
      <c r="I150">
        <f t="shared" si="9"/>
        <v>1</v>
      </c>
      <c r="K150" t="s">
        <v>149</v>
      </c>
    </row>
    <row r="151" spans="1:11">
      <c r="A151">
        <v>151</v>
      </c>
      <c r="B151" t="s">
        <v>129</v>
      </c>
      <c r="C151" t="str">
        <f t="shared" si="10"/>
        <v>prog_char string_151[] PROGMEM = "edi";</v>
      </c>
      <c r="D151" t="str">
        <f t="shared" si="11"/>
        <v>string_151,</v>
      </c>
      <c r="E151">
        <f t="shared" si="8"/>
        <v>3</v>
      </c>
      <c r="H151" t="s">
        <v>150</v>
      </c>
      <c r="I151">
        <f t="shared" si="9"/>
        <v>1</v>
      </c>
      <c r="K151" t="s">
        <v>150</v>
      </c>
    </row>
    <row r="152" spans="1:11">
      <c r="A152">
        <v>152</v>
      </c>
      <c r="B152" t="s">
        <v>130</v>
      </c>
      <c r="C152" t="str">
        <f t="shared" si="10"/>
        <v>prog_char string_152[] PROGMEM = "ee";</v>
      </c>
      <c r="D152" t="str">
        <f t="shared" si="11"/>
        <v>string_152,</v>
      </c>
      <c r="E152">
        <f t="shared" si="8"/>
        <v>2</v>
      </c>
      <c r="H152" t="s">
        <v>151</v>
      </c>
      <c r="I152">
        <f t="shared" si="9"/>
        <v>1</v>
      </c>
      <c r="K152" t="s">
        <v>151</v>
      </c>
    </row>
    <row r="153" spans="1:11">
      <c r="A153">
        <v>153</v>
      </c>
      <c r="B153" t="s">
        <v>1985</v>
      </c>
      <c r="C153" t="str">
        <f t="shared" si="10"/>
        <v>prog_char string_153[] PROGMEM = "een";</v>
      </c>
      <c r="D153" t="str">
        <f t="shared" si="11"/>
        <v>string_153,</v>
      </c>
      <c r="E153">
        <f t="shared" si="8"/>
        <v>3</v>
      </c>
      <c r="H153" t="s">
        <v>152</v>
      </c>
      <c r="I153">
        <f t="shared" si="9"/>
        <v>1</v>
      </c>
      <c r="K153" t="s">
        <v>152</v>
      </c>
    </row>
    <row r="154" spans="1:11">
      <c r="A154">
        <v>154</v>
      </c>
      <c r="B154" t="s">
        <v>131</v>
      </c>
      <c r="C154" t="str">
        <f t="shared" si="10"/>
        <v>prog_char string_154[] PROGMEM = "ef";</v>
      </c>
      <c r="D154" t="str">
        <f t="shared" si="11"/>
        <v>string_154,</v>
      </c>
      <c r="E154">
        <f t="shared" si="8"/>
        <v>2</v>
      </c>
      <c r="H154" t="s">
        <v>153</v>
      </c>
      <c r="I154">
        <f t="shared" si="9"/>
        <v>1</v>
      </c>
      <c r="K154" t="s">
        <v>153</v>
      </c>
    </row>
    <row r="155" spans="1:11">
      <c r="A155">
        <v>155</v>
      </c>
      <c r="B155" t="s">
        <v>132</v>
      </c>
      <c r="C155" t="str">
        <f t="shared" si="10"/>
        <v>prog_char string_155[] PROGMEM = "eg";</v>
      </c>
      <c r="D155" t="str">
        <f t="shared" si="11"/>
        <v>string_155,</v>
      </c>
      <c r="E155">
        <f t="shared" si="8"/>
        <v>2</v>
      </c>
      <c r="H155" t="s">
        <v>154</v>
      </c>
      <c r="I155">
        <f t="shared" si="9"/>
        <v>1</v>
      </c>
      <c r="K155" t="s">
        <v>154</v>
      </c>
    </row>
    <row r="156" spans="1:11">
      <c r="A156">
        <v>156</v>
      </c>
      <c r="B156" t="s">
        <v>133</v>
      </c>
      <c r="C156" t="str">
        <f t="shared" si="10"/>
        <v>prog_char string_156[] PROGMEM = "ei";</v>
      </c>
      <c r="D156" t="str">
        <f t="shared" si="11"/>
        <v>string_156,</v>
      </c>
      <c r="E156">
        <f t="shared" si="8"/>
        <v>2</v>
      </c>
      <c r="H156" t="s">
        <v>155</v>
      </c>
      <c r="I156">
        <f t="shared" si="9"/>
        <v>2</v>
      </c>
      <c r="K156" t="s">
        <v>155</v>
      </c>
    </row>
    <row r="157" spans="1:11">
      <c r="A157">
        <v>157</v>
      </c>
      <c r="B157" t="s">
        <v>1930</v>
      </c>
      <c r="C157" t="str">
        <f t="shared" si="10"/>
        <v>prog_char string_157[] PROGMEM = "ein";</v>
      </c>
      <c r="D157" t="str">
        <f t="shared" si="11"/>
        <v>string_157,</v>
      </c>
      <c r="E157">
        <f t="shared" si="8"/>
        <v>3</v>
      </c>
      <c r="H157" t="s">
        <v>156</v>
      </c>
      <c r="I157">
        <f t="shared" si="9"/>
        <v>2</v>
      </c>
      <c r="K157" t="s">
        <v>156</v>
      </c>
    </row>
    <row r="158" spans="1:11">
      <c r="A158">
        <v>158</v>
      </c>
      <c r="B158" t="s">
        <v>134</v>
      </c>
      <c r="C158" t="str">
        <f t="shared" si="10"/>
        <v>prog_char string_158[] PROGMEM = "el";</v>
      </c>
      <c r="D158" t="str">
        <f t="shared" si="11"/>
        <v>string_158,</v>
      </c>
      <c r="E158">
        <f t="shared" si="8"/>
        <v>2</v>
      </c>
      <c r="H158" t="s">
        <v>157</v>
      </c>
      <c r="I158">
        <f t="shared" si="9"/>
        <v>1</v>
      </c>
      <c r="K158" t="s">
        <v>157</v>
      </c>
    </row>
    <row r="159" spans="1:11">
      <c r="A159">
        <v>159</v>
      </c>
      <c r="B159" t="s">
        <v>1958</v>
      </c>
      <c r="C159" t="str">
        <f t="shared" si="10"/>
        <v>prog_char string_159[] PROGMEM = "ele";</v>
      </c>
      <c r="D159" t="str">
        <f t="shared" si="11"/>
        <v>string_159,</v>
      </c>
      <c r="E159">
        <f t="shared" si="8"/>
        <v>3</v>
      </c>
      <c r="H159" t="s">
        <v>158</v>
      </c>
      <c r="I159">
        <f t="shared" si="9"/>
        <v>1</v>
      </c>
      <c r="K159" t="s">
        <v>158</v>
      </c>
    </row>
    <row r="160" spans="1:11">
      <c r="A160">
        <v>160</v>
      </c>
      <c r="B160" t="s">
        <v>1951</v>
      </c>
      <c r="C160" t="str">
        <f t="shared" si="10"/>
        <v>prog_char string_160[] PROGMEM = "ell";</v>
      </c>
      <c r="D160" t="str">
        <f t="shared" si="11"/>
        <v>string_160,</v>
      </c>
      <c r="E160">
        <f t="shared" si="8"/>
        <v>3</v>
      </c>
      <c r="H160" t="s">
        <v>159</v>
      </c>
      <c r="I160">
        <f t="shared" si="9"/>
        <v>1</v>
      </c>
      <c r="K160" t="s">
        <v>159</v>
      </c>
    </row>
    <row r="161" spans="1:11">
      <c r="A161">
        <v>161</v>
      </c>
      <c r="B161" t="s">
        <v>135</v>
      </c>
      <c r="C161" t="str">
        <f t="shared" si="10"/>
        <v>prog_char string_161[] PROGMEM = "em";</v>
      </c>
      <c r="D161" t="str">
        <f t="shared" si="11"/>
        <v>string_161,</v>
      </c>
      <c r="E161">
        <f t="shared" si="8"/>
        <v>2</v>
      </c>
      <c r="H161" t="s">
        <v>160</v>
      </c>
      <c r="I161">
        <f t="shared" si="9"/>
        <v>1</v>
      </c>
      <c r="K161" t="s">
        <v>160</v>
      </c>
    </row>
    <row r="162" spans="1:11">
      <c r="A162">
        <v>162</v>
      </c>
      <c r="B162" t="s">
        <v>1970</v>
      </c>
      <c r="C162" t="str">
        <f t="shared" si="10"/>
        <v>prog_char string_162[] PROGMEM = "ema";</v>
      </c>
      <c r="D162" t="str">
        <f t="shared" si="11"/>
        <v>string_162,</v>
      </c>
      <c r="E162">
        <f t="shared" si="8"/>
        <v>3</v>
      </c>
      <c r="H162" t="s">
        <v>161</v>
      </c>
      <c r="I162">
        <f t="shared" si="9"/>
        <v>1</v>
      </c>
      <c r="K162" t="s">
        <v>161</v>
      </c>
    </row>
    <row r="163" spans="1:11">
      <c r="A163">
        <v>163</v>
      </c>
      <c r="B163" t="s">
        <v>1931</v>
      </c>
      <c r="C163" t="str">
        <f t="shared" si="10"/>
        <v>prog_char string_163[] PROGMEM = "eme";</v>
      </c>
      <c r="D163" t="str">
        <f t="shared" si="11"/>
        <v>string_163,</v>
      </c>
      <c r="E163">
        <f t="shared" si="8"/>
        <v>3</v>
      </c>
      <c r="H163" t="s">
        <v>162</v>
      </c>
      <c r="I163">
        <f t="shared" si="9"/>
        <v>0</v>
      </c>
      <c r="K163" t="s">
        <v>162</v>
      </c>
    </row>
    <row r="164" spans="1:11">
      <c r="A164">
        <v>164</v>
      </c>
      <c r="B164" t="s">
        <v>137</v>
      </c>
      <c r="C164" t="str">
        <f t="shared" si="10"/>
        <v>prog_char string_164[] PROGMEM = "en";</v>
      </c>
      <c r="D164" t="str">
        <f t="shared" si="11"/>
        <v>string_164,</v>
      </c>
      <c r="E164">
        <f t="shared" si="8"/>
        <v>2</v>
      </c>
      <c r="H164" t="s">
        <v>163</v>
      </c>
      <c r="I164">
        <f t="shared" si="9"/>
        <v>0</v>
      </c>
      <c r="K164" t="s">
        <v>163</v>
      </c>
    </row>
    <row r="165" spans="1:11">
      <c r="A165">
        <v>165</v>
      </c>
      <c r="B165" t="s">
        <v>1954</v>
      </c>
      <c r="C165" t="str">
        <f t="shared" si="10"/>
        <v>prog_char string_165[] PROGMEM = "enc";</v>
      </c>
      <c r="D165" t="str">
        <f t="shared" si="11"/>
        <v>string_165,</v>
      </c>
      <c r="E165">
        <f t="shared" si="8"/>
        <v>3</v>
      </c>
      <c r="H165" t="s">
        <v>164</v>
      </c>
      <c r="I165">
        <f t="shared" si="9"/>
        <v>1</v>
      </c>
      <c r="K165" t="s">
        <v>164</v>
      </c>
    </row>
    <row r="166" spans="1:11">
      <c r="A166">
        <v>166</v>
      </c>
      <c r="B166" t="s">
        <v>138</v>
      </c>
      <c r="C166" t="str">
        <f t="shared" si="10"/>
        <v>prog_char string_166[] PROGMEM = "end";</v>
      </c>
      <c r="D166" t="str">
        <f t="shared" si="11"/>
        <v>string_166,</v>
      </c>
      <c r="E166">
        <f t="shared" si="8"/>
        <v>3</v>
      </c>
      <c r="H166" t="s">
        <v>165</v>
      </c>
      <c r="I166">
        <f t="shared" si="9"/>
        <v>0</v>
      </c>
      <c r="K166" t="s">
        <v>165</v>
      </c>
    </row>
    <row r="167" spans="1:11">
      <c r="A167">
        <v>167</v>
      </c>
      <c r="B167" t="s">
        <v>1990</v>
      </c>
      <c r="C167" t="str">
        <f t="shared" si="10"/>
        <v>prog_char string_167[] PROGMEM = "ene";</v>
      </c>
      <c r="D167" t="str">
        <f t="shared" si="11"/>
        <v>string_167,</v>
      </c>
      <c r="E167">
        <f t="shared" si="8"/>
        <v>3</v>
      </c>
      <c r="H167" t="s">
        <v>166</v>
      </c>
      <c r="I167">
        <f t="shared" si="9"/>
        <v>0</v>
      </c>
      <c r="K167" t="s">
        <v>166</v>
      </c>
    </row>
    <row r="168" spans="1:11">
      <c r="A168">
        <v>168</v>
      </c>
      <c r="B168" t="s">
        <v>744</v>
      </c>
      <c r="C168" t="str">
        <f t="shared" si="10"/>
        <v>prog_char string_168[] PROGMEM = "enough";</v>
      </c>
      <c r="D168" t="str">
        <f t="shared" si="11"/>
        <v>string_168,</v>
      </c>
      <c r="E168">
        <f t="shared" si="8"/>
        <v>6</v>
      </c>
      <c r="H168" t="s">
        <v>167</v>
      </c>
      <c r="I168">
        <f t="shared" si="9"/>
        <v>1</v>
      </c>
      <c r="K168" t="s">
        <v>167</v>
      </c>
    </row>
    <row r="169" spans="1:11">
      <c r="A169">
        <v>169</v>
      </c>
      <c r="B169" t="s">
        <v>139</v>
      </c>
      <c r="C169" t="str">
        <f t="shared" si="10"/>
        <v>prog_char string_169[] PROGMEM = "ent";</v>
      </c>
      <c r="D169" t="str">
        <f t="shared" si="11"/>
        <v>string_169,</v>
      </c>
      <c r="E169">
        <f t="shared" si="8"/>
        <v>3</v>
      </c>
      <c r="H169" t="s">
        <v>168</v>
      </c>
      <c r="I169">
        <f t="shared" si="9"/>
        <v>1</v>
      </c>
      <c r="K169" t="s">
        <v>168</v>
      </c>
    </row>
    <row r="170" spans="1:11">
      <c r="A170">
        <v>170</v>
      </c>
      <c r="B170" t="s">
        <v>1493</v>
      </c>
      <c r="C170" t="str">
        <f t="shared" si="10"/>
        <v>prog_char string_170[] PROGMEM = "entire";</v>
      </c>
      <c r="D170" t="str">
        <f t="shared" si="11"/>
        <v>string_170,</v>
      </c>
      <c r="E170">
        <f t="shared" si="8"/>
        <v>6</v>
      </c>
      <c r="H170" t="s">
        <v>169</v>
      </c>
      <c r="I170">
        <f t="shared" si="9"/>
        <v>0</v>
      </c>
      <c r="K170" t="s">
        <v>169</v>
      </c>
    </row>
    <row r="171" spans="1:11">
      <c r="A171">
        <v>171</v>
      </c>
      <c r="B171" t="s">
        <v>140</v>
      </c>
      <c r="C171" t="str">
        <f t="shared" si="10"/>
        <v>prog_char string_171[] PROGMEM = "eo";</v>
      </c>
      <c r="D171" t="str">
        <f t="shared" si="11"/>
        <v>string_171,</v>
      </c>
      <c r="E171">
        <f t="shared" si="8"/>
        <v>2</v>
      </c>
      <c r="H171" t="s">
        <v>170</v>
      </c>
      <c r="I171">
        <f t="shared" si="9"/>
        <v>0</v>
      </c>
      <c r="K171" t="s">
        <v>170</v>
      </c>
    </row>
    <row r="172" spans="1:11">
      <c r="A172">
        <v>172</v>
      </c>
      <c r="B172" t="s">
        <v>1982</v>
      </c>
      <c r="C172" t="str">
        <f t="shared" si="10"/>
        <v>prog_char string_172[] PROGMEM = "eof";</v>
      </c>
      <c r="D172" t="str">
        <f t="shared" si="11"/>
        <v>string_172,</v>
      </c>
      <c r="E172">
        <f t="shared" si="8"/>
        <v>3</v>
      </c>
      <c r="H172" t="s">
        <v>171</v>
      </c>
      <c r="I172">
        <f t="shared" si="9"/>
        <v>1</v>
      </c>
      <c r="K172" t="s">
        <v>171</v>
      </c>
    </row>
    <row r="173" spans="1:11">
      <c r="A173">
        <v>173</v>
      </c>
      <c r="B173" t="s">
        <v>141</v>
      </c>
      <c r="C173" t="str">
        <f t="shared" si="10"/>
        <v>prog_char string_173[] PROGMEM = "ep";</v>
      </c>
      <c r="D173" t="str">
        <f t="shared" si="11"/>
        <v>string_173,</v>
      </c>
      <c r="E173">
        <f t="shared" si="8"/>
        <v>2</v>
      </c>
      <c r="H173" t="s">
        <v>172</v>
      </c>
      <c r="I173">
        <f t="shared" si="9"/>
        <v>0</v>
      </c>
      <c r="K173" t="s">
        <v>172</v>
      </c>
    </row>
    <row r="174" spans="1:11">
      <c r="A174">
        <v>174</v>
      </c>
      <c r="B174" t="s">
        <v>142</v>
      </c>
      <c r="C174" t="str">
        <f t="shared" si="10"/>
        <v>prog_char string_174[] PROGMEM = "er";</v>
      </c>
      <c r="D174" t="str">
        <f t="shared" si="11"/>
        <v>string_174,</v>
      </c>
      <c r="E174">
        <f t="shared" si="8"/>
        <v>2</v>
      </c>
      <c r="H174" t="s">
        <v>173</v>
      </c>
      <c r="I174">
        <f t="shared" si="9"/>
        <v>0</v>
      </c>
      <c r="K174" t="s">
        <v>173</v>
      </c>
    </row>
    <row r="175" spans="1:11">
      <c r="A175">
        <v>175</v>
      </c>
      <c r="B175" t="s">
        <v>143</v>
      </c>
      <c r="C175" t="str">
        <f t="shared" si="10"/>
        <v>prog_char string_175[] PROGMEM = "era";</v>
      </c>
      <c r="D175" t="str">
        <f t="shared" si="11"/>
        <v>string_175,</v>
      </c>
      <c r="E175">
        <f t="shared" si="8"/>
        <v>3</v>
      </c>
      <c r="H175" t="s">
        <v>174</v>
      </c>
      <c r="I175">
        <f t="shared" si="9"/>
        <v>0</v>
      </c>
      <c r="K175" t="s">
        <v>174</v>
      </c>
    </row>
    <row r="176" spans="1:11">
      <c r="A176">
        <v>176</v>
      </c>
      <c r="B176" t="s">
        <v>144</v>
      </c>
      <c r="C176" t="str">
        <f t="shared" si="10"/>
        <v>prog_char string_176[] PROGMEM = "ere";</v>
      </c>
      <c r="D176" t="str">
        <f t="shared" si="11"/>
        <v>string_176,</v>
      </c>
      <c r="E176">
        <f t="shared" si="8"/>
        <v>3</v>
      </c>
      <c r="H176" t="s">
        <v>175</v>
      </c>
      <c r="I176">
        <f t="shared" si="9"/>
        <v>1</v>
      </c>
      <c r="K176" t="s">
        <v>175</v>
      </c>
    </row>
    <row r="177" spans="1:11">
      <c r="A177">
        <v>177</v>
      </c>
      <c r="B177" t="s">
        <v>145</v>
      </c>
      <c r="C177" t="str">
        <f t="shared" si="10"/>
        <v>prog_char string_177[] PROGMEM = "eri";</v>
      </c>
      <c r="D177" t="str">
        <f t="shared" si="11"/>
        <v>string_177,</v>
      </c>
      <c r="E177">
        <f t="shared" si="8"/>
        <v>3</v>
      </c>
      <c r="H177" t="s">
        <v>176</v>
      </c>
      <c r="I177">
        <f t="shared" si="9"/>
        <v>0</v>
      </c>
      <c r="K177" t="s">
        <v>176</v>
      </c>
    </row>
    <row r="178" spans="1:11">
      <c r="A178">
        <v>178</v>
      </c>
      <c r="B178" t="s">
        <v>146</v>
      </c>
      <c r="C178" t="str">
        <f t="shared" si="10"/>
        <v>prog_char string_178[] PROGMEM = "ers";</v>
      </c>
      <c r="D178" t="str">
        <f t="shared" si="11"/>
        <v>string_178,</v>
      </c>
      <c r="E178">
        <f t="shared" si="8"/>
        <v>3</v>
      </c>
      <c r="H178" t="s">
        <v>177</v>
      </c>
      <c r="I178">
        <f t="shared" si="9"/>
        <v>1</v>
      </c>
      <c r="K178" t="s">
        <v>177</v>
      </c>
    </row>
    <row r="179" spans="1:11">
      <c r="A179">
        <v>179</v>
      </c>
      <c r="B179" t="s">
        <v>1909</v>
      </c>
      <c r="C179" t="str">
        <f t="shared" si="10"/>
        <v>prog_char string_179[] PROGMEM = "ert";</v>
      </c>
      <c r="D179" t="str">
        <f t="shared" si="11"/>
        <v>string_179,</v>
      </c>
      <c r="E179">
        <f t="shared" si="8"/>
        <v>3</v>
      </c>
      <c r="H179" t="s">
        <v>178</v>
      </c>
      <c r="I179">
        <f t="shared" si="9"/>
        <v>0</v>
      </c>
      <c r="K179" t="s">
        <v>178</v>
      </c>
    </row>
    <row r="180" spans="1:11">
      <c r="A180">
        <v>180</v>
      </c>
      <c r="B180" t="s">
        <v>1952</v>
      </c>
      <c r="C180" t="str">
        <f t="shared" si="10"/>
        <v>prog_char string_180[] PROGMEM = "erv";</v>
      </c>
      <c r="D180" t="str">
        <f t="shared" si="11"/>
        <v>string_180,</v>
      </c>
      <c r="E180">
        <f t="shared" si="8"/>
        <v>3</v>
      </c>
      <c r="H180" t="s">
        <v>179</v>
      </c>
      <c r="I180">
        <f t="shared" si="9"/>
        <v>0</v>
      </c>
      <c r="K180" t="s">
        <v>179</v>
      </c>
    </row>
    <row r="181" spans="1:11">
      <c r="A181">
        <v>181</v>
      </c>
      <c r="B181" t="s">
        <v>147</v>
      </c>
      <c r="C181" t="str">
        <f t="shared" si="10"/>
        <v>prog_char string_181[] PROGMEM = "es";</v>
      </c>
      <c r="D181" t="str">
        <f t="shared" si="11"/>
        <v>string_181,</v>
      </c>
      <c r="E181">
        <f t="shared" si="8"/>
        <v>2</v>
      </c>
      <c r="H181" t="s">
        <v>180</v>
      </c>
      <c r="I181">
        <f t="shared" si="9"/>
        <v>0</v>
      </c>
      <c r="K181" t="s">
        <v>180</v>
      </c>
    </row>
    <row r="182" spans="1:11">
      <c r="A182">
        <v>182</v>
      </c>
      <c r="B182" t="s">
        <v>148</v>
      </c>
      <c r="C182" t="str">
        <f t="shared" si="10"/>
        <v>prog_char string_182[] PROGMEM = "ese";</v>
      </c>
      <c r="D182" t="str">
        <f t="shared" si="11"/>
        <v>string_182,</v>
      </c>
      <c r="E182">
        <f t="shared" si="8"/>
        <v>3</v>
      </c>
      <c r="H182" t="s">
        <v>181</v>
      </c>
      <c r="I182">
        <f t="shared" si="9"/>
        <v>0</v>
      </c>
      <c r="K182" t="s">
        <v>181</v>
      </c>
    </row>
    <row r="183" spans="1:11">
      <c r="A183">
        <v>183</v>
      </c>
      <c r="B183" t="s">
        <v>149</v>
      </c>
      <c r="C183" t="str">
        <f t="shared" si="10"/>
        <v>prog_char string_183[] PROGMEM = "ess";</v>
      </c>
      <c r="D183" t="str">
        <f t="shared" si="11"/>
        <v>string_183,</v>
      </c>
      <c r="E183">
        <f t="shared" si="8"/>
        <v>3</v>
      </c>
      <c r="H183" t="s">
        <v>182</v>
      </c>
      <c r="I183">
        <f t="shared" si="9"/>
        <v>1</v>
      </c>
      <c r="K183" t="s">
        <v>182</v>
      </c>
    </row>
    <row r="184" spans="1:11">
      <c r="A184">
        <v>184</v>
      </c>
      <c r="B184" t="s">
        <v>150</v>
      </c>
      <c r="C184" t="str">
        <f t="shared" si="10"/>
        <v>prog_char string_184[] PROGMEM = "est";</v>
      </c>
      <c r="D184" t="str">
        <f t="shared" si="11"/>
        <v>string_184,</v>
      </c>
      <c r="E184">
        <f t="shared" si="8"/>
        <v>3</v>
      </c>
      <c r="H184" t="s">
        <v>183</v>
      </c>
      <c r="I184">
        <f t="shared" si="9"/>
        <v>1</v>
      </c>
      <c r="K184" t="s">
        <v>183</v>
      </c>
    </row>
    <row r="185" spans="1:11">
      <c r="A185">
        <v>185</v>
      </c>
      <c r="B185" t="s">
        <v>151</v>
      </c>
      <c r="C185" t="str">
        <f t="shared" si="10"/>
        <v>prog_char string_185[] PROGMEM = "et";</v>
      </c>
      <c r="D185" t="str">
        <f t="shared" si="11"/>
        <v>string_185,</v>
      </c>
      <c r="E185">
        <f t="shared" si="8"/>
        <v>2</v>
      </c>
      <c r="H185" t="s">
        <v>184</v>
      </c>
      <c r="I185">
        <f t="shared" si="9"/>
        <v>1</v>
      </c>
      <c r="K185" t="s">
        <v>184</v>
      </c>
    </row>
    <row r="186" spans="1:11">
      <c r="A186">
        <v>186</v>
      </c>
      <c r="B186" t="s">
        <v>152</v>
      </c>
      <c r="C186" t="str">
        <f t="shared" si="10"/>
        <v>prog_char string_186[] PROGMEM = "eth";</v>
      </c>
      <c r="D186" t="str">
        <f t="shared" si="11"/>
        <v>string_186,</v>
      </c>
      <c r="E186">
        <f t="shared" si="8"/>
        <v>3</v>
      </c>
      <c r="H186" t="s">
        <v>185</v>
      </c>
      <c r="I186">
        <f t="shared" si="9"/>
        <v>2</v>
      </c>
      <c r="K186" t="s">
        <v>185</v>
      </c>
    </row>
    <row r="187" spans="1:11">
      <c r="A187">
        <v>187</v>
      </c>
      <c r="B187" t="s">
        <v>1989</v>
      </c>
      <c r="C187" t="str">
        <f t="shared" si="10"/>
        <v>prog_char string_187[] PROGMEM = "eto";</v>
      </c>
      <c r="D187" t="str">
        <f t="shared" si="11"/>
        <v>string_187,</v>
      </c>
      <c r="E187">
        <f t="shared" si="8"/>
        <v>3</v>
      </c>
      <c r="H187" t="s">
        <v>186</v>
      </c>
      <c r="I187">
        <f t="shared" si="9"/>
        <v>1</v>
      </c>
      <c r="K187" t="s">
        <v>186</v>
      </c>
    </row>
    <row r="188" spans="1:11">
      <c r="A188">
        <v>188</v>
      </c>
      <c r="B188" t="s">
        <v>153</v>
      </c>
      <c r="C188" t="str">
        <f t="shared" si="10"/>
        <v>prog_char string_188[] PROGMEM = "ev";</v>
      </c>
      <c r="D188" t="str">
        <f t="shared" si="11"/>
        <v>string_188,</v>
      </c>
      <c r="E188">
        <f t="shared" si="8"/>
        <v>2</v>
      </c>
      <c r="H188" t="s">
        <v>187</v>
      </c>
      <c r="I188">
        <f t="shared" si="9"/>
        <v>0</v>
      </c>
      <c r="K188" t="s">
        <v>187</v>
      </c>
    </row>
    <row r="189" spans="1:11">
      <c r="A189">
        <v>189</v>
      </c>
      <c r="B189" t="s">
        <v>154</v>
      </c>
      <c r="C189" t="str">
        <f t="shared" si="10"/>
        <v>prog_char string_189[] PROGMEM = "eve";</v>
      </c>
      <c r="D189" t="str">
        <f t="shared" si="11"/>
        <v>string_189,</v>
      </c>
      <c r="E189">
        <f t="shared" si="8"/>
        <v>3</v>
      </c>
      <c r="H189" t="s">
        <v>188</v>
      </c>
      <c r="I189">
        <f t="shared" si="9"/>
        <v>0</v>
      </c>
      <c r="K189" t="s">
        <v>188</v>
      </c>
    </row>
    <row r="190" spans="1:11">
      <c r="A190">
        <v>190</v>
      </c>
      <c r="B190" t="s">
        <v>155</v>
      </c>
      <c r="C190" t="str">
        <f t="shared" si="10"/>
        <v>prog_char string_190[] PROGMEM = "even";</v>
      </c>
      <c r="D190" t="str">
        <f t="shared" si="11"/>
        <v>string_190,</v>
      </c>
      <c r="E190">
        <f t="shared" si="8"/>
        <v>4</v>
      </c>
      <c r="H190" t="s">
        <v>189</v>
      </c>
      <c r="I190">
        <f t="shared" si="9"/>
        <v>0</v>
      </c>
      <c r="K190" t="s">
        <v>189</v>
      </c>
    </row>
    <row r="191" spans="1:11">
      <c r="A191">
        <v>191</v>
      </c>
      <c r="B191" t="s">
        <v>157</v>
      </c>
      <c r="C191" t="str">
        <f t="shared" si="10"/>
        <v>prog_char string_191[] PROGMEM = "ever";</v>
      </c>
      <c r="D191" t="str">
        <f t="shared" si="11"/>
        <v>string_191,</v>
      </c>
      <c r="E191">
        <f t="shared" si="8"/>
        <v>4</v>
      </c>
      <c r="H191" t="s">
        <v>190</v>
      </c>
      <c r="I191">
        <f t="shared" si="9"/>
        <v>0</v>
      </c>
      <c r="K191" t="s">
        <v>190</v>
      </c>
    </row>
    <row r="192" spans="1:11">
      <c r="A192">
        <v>192</v>
      </c>
      <c r="B192" t="s">
        <v>158</v>
      </c>
      <c r="C192" t="str">
        <f t="shared" si="10"/>
        <v>prog_char string_192[] PROGMEM = "every";</v>
      </c>
      <c r="D192" t="str">
        <f t="shared" si="11"/>
        <v>string_192,</v>
      </c>
      <c r="E192">
        <f t="shared" si="8"/>
        <v>5</v>
      </c>
      <c r="H192" t="s">
        <v>191</v>
      </c>
      <c r="I192">
        <f t="shared" si="9"/>
        <v>0</v>
      </c>
      <c r="K192" t="s">
        <v>191</v>
      </c>
    </row>
    <row r="193" spans="1:11">
      <c r="A193">
        <v>193</v>
      </c>
      <c r="B193" t="s">
        <v>159</v>
      </c>
      <c r="C193" t="str">
        <f t="shared" si="10"/>
        <v>prog_char string_193[] PROGMEM = "ew";</v>
      </c>
      <c r="D193" t="str">
        <f t="shared" si="11"/>
        <v>string_193,</v>
      </c>
      <c r="E193">
        <f t="shared" ref="E193:E256" si="12">LEN(B193)</f>
        <v>2</v>
      </c>
      <c r="H193" t="s">
        <v>192</v>
      </c>
      <c r="I193">
        <f t="shared" ref="I193:I256" si="13">IF(ISNUMBER(FIND("e",H193)),1,0)+IF(ISNUMBER(FIND("n",H193)),1,0)</f>
        <v>1</v>
      </c>
      <c r="K193" t="s">
        <v>192</v>
      </c>
    </row>
    <row r="194" spans="1:11">
      <c r="A194">
        <v>194</v>
      </c>
      <c r="B194" t="s">
        <v>160</v>
      </c>
      <c r="C194" t="str">
        <f t="shared" ref="C194:C257" si="14">"prog_char string_"&amp;A194&amp;"[] PROGMEM = """&amp;B194&amp;""";"</f>
        <v>prog_char string_194[] PROGMEM = "ex";</v>
      </c>
      <c r="D194" t="str">
        <f t="shared" ref="D194:D257" si="15">"string_" &amp; A194 &amp; ","</f>
        <v>string_194,</v>
      </c>
      <c r="E194">
        <f t="shared" si="12"/>
        <v>2</v>
      </c>
      <c r="H194" t="s">
        <v>193</v>
      </c>
      <c r="I194">
        <f t="shared" si="13"/>
        <v>0</v>
      </c>
      <c r="K194" t="s">
        <v>193</v>
      </c>
    </row>
    <row r="195" spans="1:11">
      <c r="A195">
        <v>195</v>
      </c>
      <c r="B195" t="s">
        <v>680</v>
      </c>
      <c r="C195" t="str">
        <f t="shared" si="14"/>
        <v>prog_char string_195[] PROGMEM = "eye";</v>
      </c>
      <c r="D195" t="str">
        <f t="shared" si="15"/>
        <v>string_195,</v>
      </c>
      <c r="E195">
        <f t="shared" si="12"/>
        <v>3</v>
      </c>
      <c r="H195" t="s">
        <v>194</v>
      </c>
      <c r="I195">
        <f t="shared" si="13"/>
        <v>1</v>
      </c>
      <c r="K195" t="s">
        <v>194</v>
      </c>
    </row>
    <row r="196" spans="1:11">
      <c r="A196">
        <v>196</v>
      </c>
      <c r="B196" t="s">
        <v>162</v>
      </c>
      <c r="C196" t="str">
        <f t="shared" si="14"/>
        <v>prog_char string_196[] PROGMEM = "fa";</v>
      </c>
      <c r="D196" t="str">
        <f t="shared" si="15"/>
        <v>string_196,</v>
      </c>
      <c r="E196">
        <f t="shared" si="12"/>
        <v>2</v>
      </c>
      <c r="H196" t="s">
        <v>195</v>
      </c>
      <c r="I196">
        <f t="shared" si="13"/>
        <v>0</v>
      </c>
      <c r="K196" t="s">
        <v>195</v>
      </c>
    </row>
    <row r="197" spans="1:11">
      <c r="A197">
        <v>197</v>
      </c>
      <c r="B197" t="s">
        <v>742</v>
      </c>
      <c r="C197" t="str">
        <f t="shared" si="14"/>
        <v>prog_char string_197[] PROGMEM = "face";</v>
      </c>
      <c r="D197" t="str">
        <f t="shared" si="15"/>
        <v>string_197,</v>
      </c>
      <c r="E197">
        <f t="shared" si="12"/>
        <v>4</v>
      </c>
      <c r="H197" t="s">
        <v>196</v>
      </c>
      <c r="I197">
        <f t="shared" si="13"/>
        <v>0</v>
      </c>
      <c r="K197" t="s">
        <v>196</v>
      </c>
    </row>
    <row r="198" spans="1:11">
      <c r="A198">
        <v>198</v>
      </c>
      <c r="B198" t="s">
        <v>871</v>
      </c>
      <c r="C198" t="str">
        <f t="shared" si="14"/>
        <v>prog_char string_198[] PROGMEM = "fact";</v>
      </c>
      <c r="D198" t="str">
        <f t="shared" si="15"/>
        <v>string_198,</v>
      </c>
      <c r="E198">
        <f t="shared" si="12"/>
        <v>4</v>
      </c>
      <c r="H198" t="s">
        <v>197</v>
      </c>
      <c r="I198">
        <f t="shared" si="13"/>
        <v>0</v>
      </c>
      <c r="K198" t="s">
        <v>197</v>
      </c>
    </row>
    <row r="199" spans="1:11">
      <c r="A199">
        <v>199</v>
      </c>
      <c r="B199" t="s">
        <v>831</v>
      </c>
      <c r="C199" t="str">
        <f t="shared" si="14"/>
        <v>prog_char string_199[] PROGMEM = "fall";</v>
      </c>
      <c r="D199" t="str">
        <f t="shared" si="15"/>
        <v>string_199,</v>
      </c>
      <c r="E199">
        <f t="shared" si="12"/>
        <v>4</v>
      </c>
      <c r="H199" t="s">
        <v>198</v>
      </c>
      <c r="I199">
        <f t="shared" si="13"/>
        <v>0</v>
      </c>
      <c r="K199" t="s">
        <v>198</v>
      </c>
    </row>
    <row r="200" spans="1:11">
      <c r="A200">
        <v>200</v>
      </c>
      <c r="B200" t="s">
        <v>692</v>
      </c>
      <c r="C200" t="str">
        <f t="shared" si="14"/>
        <v>prog_char string_200[] PROGMEM = "far";</v>
      </c>
      <c r="D200" t="str">
        <f t="shared" si="15"/>
        <v>string_200,</v>
      </c>
      <c r="E200">
        <f t="shared" si="12"/>
        <v>3</v>
      </c>
      <c r="H200" t="s">
        <v>199</v>
      </c>
      <c r="I200">
        <f t="shared" si="13"/>
        <v>1</v>
      </c>
      <c r="K200" t="s">
        <v>199</v>
      </c>
    </row>
    <row r="201" spans="1:11">
      <c r="A201">
        <v>201</v>
      </c>
      <c r="B201" t="s">
        <v>164</v>
      </c>
      <c r="C201" t="str">
        <f t="shared" si="14"/>
        <v>prog_char string_201[] PROGMEM = "fe";</v>
      </c>
      <c r="D201" t="str">
        <f t="shared" si="15"/>
        <v>string_201,</v>
      </c>
      <c r="E201">
        <f t="shared" si="12"/>
        <v>2</v>
      </c>
      <c r="H201" t="s">
        <v>200</v>
      </c>
      <c r="I201">
        <f t="shared" si="13"/>
        <v>1</v>
      </c>
      <c r="K201" t="s">
        <v>200</v>
      </c>
    </row>
    <row r="202" spans="1:11">
      <c r="A202">
        <v>202</v>
      </c>
      <c r="B202" t="s">
        <v>753</v>
      </c>
      <c r="C202" t="str">
        <f t="shared" si="14"/>
        <v>prog_char string_202[] PROGMEM = "feel";</v>
      </c>
      <c r="D202" t="str">
        <f t="shared" si="15"/>
        <v>string_202,</v>
      </c>
      <c r="E202">
        <f t="shared" si="12"/>
        <v>4</v>
      </c>
      <c r="H202" t="s">
        <v>201</v>
      </c>
      <c r="I202">
        <f t="shared" si="13"/>
        <v>1</v>
      </c>
      <c r="K202" t="s">
        <v>201</v>
      </c>
    </row>
    <row r="203" spans="1:11">
      <c r="A203">
        <v>203</v>
      </c>
      <c r="B203" t="s">
        <v>702</v>
      </c>
      <c r="C203" t="str">
        <f t="shared" si="14"/>
        <v>prog_char string_203[] PROGMEM = "few";</v>
      </c>
      <c r="D203" t="str">
        <f t="shared" si="15"/>
        <v>string_203,</v>
      </c>
      <c r="E203">
        <f t="shared" si="12"/>
        <v>3</v>
      </c>
      <c r="H203" t="s">
        <v>202</v>
      </c>
      <c r="I203">
        <f t="shared" si="13"/>
        <v>1</v>
      </c>
      <c r="K203" t="s">
        <v>202</v>
      </c>
    </row>
    <row r="204" spans="1:11">
      <c r="A204">
        <v>204</v>
      </c>
      <c r="B204" t="s">
        <v>166</v>
      </c>
      <c r="C204" t="str">
        <f t="shared" si="14"/>
        <v>prog_char string_204[] PROGMEM = "fi";</v>
      </c>
      <c r="D204" t="str">
        <f t="shared" si="15"/>
        <v>string_204,</v>
      </c>
      <c r="E204">
        <f t="shared" si="12"/>
        <v>2</v>
      </c>
      <c r="H204" t="s">
        <v>203</v>
      </c>
      <c r="I204">
        <f t="shared" si="13"/>
        <v>1</v>
      </c>
      <c r="K204" t="s">
        <v>203</v>
      </c>
    </row>
    <row r="205" spans="1:11">
      <c r="A205">
        <v>205</v>
      </c>
      <c r="B205" t="s">
        <v>843</v>
      </c>
      <c r="C205" t="str">
        <f t="shared" si="14"/>
        <v>prog_char string_205[] PROGMEM = "field";</v>
      </c>
      <c r="D205" t="str">
        <f t="shared" si="15"/>
        <v>string_205,</v>
      </c>
      <c r="E205">
        <f t="shared" si="12"/>
        <v>5</v>
      </c>
      <c r="H205" t="s">
        <v>204</v>
      </c>
      <c r="I205">
        <f t="shared" si="13"/>
        <v>1</v>
      </c>
      <c r="K205" t="s">
        <v>204</v>
      </c>
    </row>
    <row r="206" spans="1:11">
      <c r="A206">
        <v>206</v>
      </c>
      <c r="B206" t="s">
        <v>839</v>
      </c>
      <c r="C206" t="str">
        <f t="shared" si="14"/>
        <v>prog_char string_206[] PROGMEM = "figure";</v>
      </c>
      <c r="D206" t="str">
        <f t="shared" si="15"/>
        <v>string_206,</v>
      </c>
      <c r="E206">
        <f t="shared" si="12"/>
        <v>6</v>
      </c>
      <c r="H206" t="s">
        <v>205</v>
      </c>
      <c r="I206">
        <f t="shared" si="13"/>
        <v>0</v>
      </c>
      <c r="K206" t="s">
        <v>205</v>
      </c>
    </row>
    <row r="207" spans="1:11">
      <c r="A207">
        <v>207</v>
      </c>
      <c r="B207" t="s">
        <v>168</v>
      </c>
      <c r="C207" t="str">
        <f t="shared" si="14"/>
        <v>prog_char string_207[] PROGMEM = "find";</v>
      </c>
      <c r="D207" t="str">
        <f t="shared" si="15"/>
        <v>string_207,</v>
      </c>
      <c r="E207">
        <f t="shared" si="12"/>
        <v>4</v>
      </c>
      <c r="H207" t="s">
        <v>206</v>
      </c>
      <c r="I207">
        <f t="shared" si="13"/>
        <v>0</v>
      </c>
      <c r="K207" t="s">
        <v>206</v>
      </c>
    </row>
    <row r="208" spans="1:11">
      <c r="A208">
        <v>208</v>
      </c>
      <c r="B208" t="s">
        <v>828</v>
      </c>
      <c r="C208" t="str">
        <f t="shared" si="14"/>
        <v>prog_char string_208[] PROGMEM = "fine";</v>
      </c>
      <c r="D208" t="str">
        <f t="shared" si="15"/>
        <v>string_208,</v>
      </c>
      <c r="E208">
        <f t="shared" si="12"/>
        <v>4</v>
      </c>
      <c r="H208" t="s">
        <v>207</v>
      </c>
      <c r="I208">
        <f t="shared" si="13"/>
        <v>0</v>
      </c>
      <c r="K208" t="s">
        <v>207</v>
      </c>
    </row>
    <row r="209" spans="1:11">
      <c r="A209">
        <v>209</v>
      </c>
      <c r="B209" t="s">
        <v>998</v>
      </c>
      <c r="C209" t="str">
        <f t="shared" si="14"/>
        <v>prog_char string_209[] PROGMEM = "finish";</v>
      </c>
      <c r="D209" t="str">
        <f t="shared" si="15"/>
        <v>string_209,</v>
      </c>
      <c r="E209">
        <f t="shared" si="12"/>
        <v>6</v>
      </c>
      <c r="H209" t="s">
        <v>208</v>
      </c>
      <c r="I209">
        <f t="shared" si="13"/>
        <v>0</v>
      </c>
      <c r="K209" t="s">
        <v>208</v>
      </c>
    </row>
    <row r="210" spans="1:11">
      <c r="A210">
        <v>210</v>
      </c>
      <c r="B210" t="s">
        <v>774</v>
      </c>
      <c r="C210" t="str">
        <f t="shared" si="14"/>
        <v>prog_char string_210[] PROGMEM = "fire";</v>
      </c>
      <c r="D210" t="str">
        <f t="shared" si="15"/>
        <v>string_210,</v>
      </c>
      <c r="E210">
        <f t="shared" si="12"/>
        <v>4</v>
      </c>
      <c r="H210" t="s">
        <v>209</v>
      </c>
      <c r="I210">
        <f t="shared" si="13"/>
        <v>1</v>
      </c>
      <c r="K210" t="s">
        <v>209</v>
      </c>
    </row>
    <row r="211" spans="1:11">
      <c r="A211">
        <v>211</v>
      </c>
      <c r="B211" t="s">
        <v>169</v>
      </c>
      <c r="C211" t="str">
        <f t="shared" si="14"/>
        <v>prog_char string_211[] PROGMEM = "first";</v>
      </c>
      <c r="D211" t="str">
        <f t="shared" si="15"/>
        <v>string_211,</v>
      </c>
      <c r="E211">
        <f t="shared" si="12"/>
        <v>5</v>
      </c>
      <c r="H211" t="s">
        <v>210</v>
      </c>
      <c r="I211">
        <f t="shared" si="13"/>
        <v>0</v>
      </c>
      <c r="K211" t="s">
        <v>210</v>
      </c>
    </row>
    <row r="212" spans="1:11">
      <c r="A212">
        <v>212</v>
      </c>
      <c r="B212" t="s">
        <v>787</v>
      </c>
      <c r="C212" t="str">
        <f t="shared" si="14"/>
        <v>prog_char string_212[] PROGMEM = "five";</v>
      </c>
      <c r="D212" t="str">
        <f t="shared" si="15"/>
        <v>string_212,</v>
      </c>
      <c r="E212">
        <f t="shared" si="12"/>
        <v>4</v>
      </c>
      <c r="H212" t="s">
        <v>211</v>
      </c>
      <c r="I212">
        <f t="shared" si="13"/>
        <v>0</v>
      </c>
      <c r="K212" t="s">
        <v>211</v>
      </c>
    </row>
    <row r="213" spans="1:11">
      <c r="A213">
        <v>213</v>
      </c>
      <c r="B213" t="s">
        <v>170</v>
      </c>
      <c r="C213" t="str">
        <f t="shared" si="14"/>
        <v>prog_char string_213[] PROGMEM = "fo";</v>
      </c>
      <c r="D213" t="str">
        <f t="shared" si="15"/>
        <v>string_213,</v>
      </c>
      <c r="E213">
        <f t="shared" si="12"/>
        <v>2</v>
      </c>
      <c r="H213" t="s">
        <v>212</v>
      </c>
      <c r="I213">
        <f t="shared" si="13"/>
        <v>0</v>
      </c>
      <c r="K213" t="s">
        <v>212</v>
      </c>
    </row>
    <row r="214" spans="1:11">
      <c r="A214">
        <v>214</v>
      </c>
      <c r="B214" t="s">
        <v>651</v>
      </c>
      <c r="C214" t="str">
        <f t="shared" si="14"/>
        <v>prog_char string_214[] PROGMEM = "follow";</v>
      </c>
      <c r="D214" t="str">
        <f t="shared" si="15"/>
        <v>string_214,</v>
      </c>
      <c r="E214">
        <f t="shared" si="12"/>
        <v>6</v>
      </c>
      <c r="H214" t="s">
        <v>213</v>
      </c>
      <c r="I214">
        <f t="shared" si="13"/>
        <v>1</v>
      </c>
      <c r="K214" t="s">
        <v>213</v>
      </c>
    </row>
    <row r="215" spans="1:11">
      <c r="A215">
        <v>215</v>
      </c>
      <c r="B215" t="s">
        <v>676</v>
      </c>
      <c r="C215" t="str">
        <f t="shared" si="14"/>
        <v>prog_char string_215[] PROGMEM = "food";</v>
      </c>
      <c r="D215" t="str">
        <f t="shared" si="15"/>
        <v>string_215,</v>
      </c>
      <c r="E215">
        <f t="shared" si="12"/>
        <v>4</v>
      </c>
      <c r="H215" t="s">
        <v>214</v>
      </c>
      <c r="I215">
        <f t="shared" si="13"/>
        <v>1</v>
      </c>
      <c r="K215" t="s">
        <v>214</v>
      </c>
    </row>
    <row r="216" spans="1:11">
      <c r="A216">
        <v>216</v>
      </c>
      <c r="B216" t="s">
        <v>887</v>
      </c>
      <c r="C216" t="str">
        <f t="shared" si="14"/>
        <v>prog_char string_216[] PROGMEM = "foot";</v>
      </c>
      <c r="D216" t="str">
        <f t="shared" si="15"/>
        <v>string_216,</v>
      </c>
      <c r="E216">
        <f t="shared" si="12"/>
        <v>4</v>
      </c>
      <c r="H216" t="s">
        <v>215</v>
      </c>
      <c r="I216">
        <f t="shared" si="13"/>
        <v>1</v>
      </c>
      <c r="K216" t="s">
        <v>215</v>
      </c>
    </row>
    <row r="217" spans="1:11">
      <c r="A217">
        <v>217</v>
      </c>
      <c r="B217" t="s">
        <v>172</v>
      </c>
      <c r="C217" t="str">
        <f t="shared" si="14"/>
        <v>prog_char string_217[] PROGMEM = "for";</v>
      </c>
      <c r="D217" t="str">
        <f t="shared" si="15"/>
        <v>string_217,</v>
      </c>
      <c r="E217">
        <f t="shared" si="12"/>
        <v>3</v>
      </c>
      <c r="H217" t="s">
        <v>216</v>
      </c>
      <c r="I217">
        <f t="shared" si="13"/>
        <v>0</v>
      </c>
      <c r="K217" t="s">
        <v>216</v>
      </c>
    </row>
    <row r="218" spans="1:11">
      <c r="A218">
        <v>218</v>
      </c>
      <c r="B218" t="s">
        <v>879</v>
      </c>
      <c r="C218" t="str">
        <f t="shared" si="14"/>
        <v>prog_char string_218[] PROGMEM = "force";</v>
      </c>
      <c r="D218" t="str">
        <f t="shared" si="15"/>
        <v>string_218,</v>
      </c>
      <c r="E218">
        <f t="shared" si="12"/>
        <v>5</v>
      </c>
      <c r="H218" t="s">
        <v>217</v>
      </c>
      <c r="I218">
        <f t="shared" si="13"/>
        <v>1</v>
      </c>
      <c r="K218" t="s">
        <v>217</v>
      </c>
    </row>
    <row r="219" spans="1:11">
      <c r="A219">
        <v>219</v>
      </c>
      <c r="B219" t="s">
        <v>173</v>
      </c>
      <c r="C219" t="str">
        <f t="shared" si="14"/>
        <v>prog_char string_219[] PROGMEM = "form";</v>
      </c>
      <c r="D219" t="str">
        <f t="shared" si="15"/>
        <v>string_219,</v>
      </c>
      <c r="E219">
        <f t="shared" si="12"/>
        <v>4</v>
      </c>
      <c r="H219" t="s">
        <v>218</v>
      </c>
      <c r="I219">
        <f t="shared" si="13"/>
        <v>0</v>
      </c>
      <c r="K219" t="s">
        <v>218</v>
      </c>
    </row>
    <row r="220" spans="1:11">
      <c r="A220">
        <v>220</v>
      </c>
      <c r="B220" t="s">
        <v>678</v>
      </c>
      <c r="C220" t="str">
        <f t="shared" si="14"/>
        <v>prog_char string_220[] PROGMEM = "four";</v>
      </c>
      <c r="D220" t="str">
        <f t="shared" si="15"/>
        <v>string_220,</v>
      </c>
      <c r="E220">
        <f t="shared" si="12"/>
        <v>4</v>
      </c>
      <c r="H220" t="s">
        <v>219</v>
      </c>
      <c r="I220">
        <f t="shared" si="13"/>
        <v>0</v>
      </c>
      <c r="K220" t="s">
        <v>219</v>
      </c>
    </row>
    <row r="221" spans="1:11">
      <c r="A221">
        <v>221</v>
      </c>
      <c r="B221" t="s">
        <v>176</v>
      </c>
      <c r="C221" t="str">
        <f t="shared" si="14"/>
        <v>prog_char string_221[] PROGMEM = "fr";</v>
      </c>
      <c r="D221" t="str">
        <f t="shared" si="15"/>
        <v>string_221,</v>
      </c>
      <c r="E221">
        <f t="shared" si="12"/>
        <v>2</v>
      </c>
      <c r="H221" t="s">
        <v>220</v>
      </c>
      <c r="I221">
        <f t="shared" si="13"/>
        <v>0</v>
      </c>
      <c r="K221" t="s">
        <v>220</v>
      </c>
    </row>
    <row r="222" spans="1:11">
      <c r="A222">
        <v>222</v>
      </c>
      <c r="B222" t="s">
        <v>177</v>
      </c>
      <c r="C222" t="str">
        <f t="shared" si="14"/>
        <v>prog_char string_222[] PROGMEM = "free";</v>
      </c>
      <c r="D222" t="str">
        <f t="shared" si="15"/>
        <v>string_222,</v>
      </c>
      <c r="E222">
        <f t="shared" si="12"/>
        <v>4</v>
      </c>
      <c r="H222" t="s">
        <v>221</v>
      </c>
      <c r="I222">
        <f t="shared" si="13"/>
        <v>0</v>
      </c>
      <c r="K222" t="s">
        <v>221</v>
      </c>
    </row>
    <row r="223" spans="1:11">
      <c r="A223">
        <v>223</v>
      </c>
      <c r="B223" t="s">
        <v>1934</v>
      </c>
      <c r="C223" t="str">
        <f t="shared" si="14"/>
        <v>prog_char string_223[] PROGMEM = "fro";</v>
      </c>
      <c r="D223" t="str">
        <f t="shared" si="15"/>
        <v>string_223,</v>
      </c>
      <c r="E223">
        <f t="shared" si="12"/>
        <v>3</v>
      </c>
      <c r="H223" t="s">
        <v>222</v>
      </c>
      <c r="I223">
        <f t="shared" si="13"/>
        <v>0</v>
      </c>
      <c r="K223" t="s">
        <v>222</v>
      </c>
    </row>
    <row r="224" spans="1:11">
      <c r="A224">
        <v>224</v>
      </c>
      <c r="B224" t="s">
        <v>178</v>
      </c>
      <c r="C224" t="str">
        <f t="shared" si="14"/>
        <v>prog_char string_224[] PROGMEM = "from";</v>
      </c>
      <c r="D224" t="str">
        <f t="shared" si="15"/>
        <v>string_224,</v>
      </c>
      <c r="E224">
        <f t="shared" si="12"/>
        <v>4</v>
      </c>
      <c r="H224" t="s">
        <v>223</v>
      </c>
      <c r="I224">
        <f t="shared" si="13"/>
        <v>1</v>
      </c>
      <c r="K224" t="s">
        <v>223</v>
      </c>
    </row>
    <row r="225" spans="1:11">
      <c r="A225">
        <v>225</v>
      </c>
      <c r="B225" t="s">
        <v>179</v>
      </c>
      <c r="C225" t="str">
        <f t="shared" si="14"/>
        <v>prog_char string_225[] PROGMEM = "ft";</v>
      </c>
      <c r="D225" t="str">
        <f t="shared" si="15"/>
        <v>string_225,</v>
      </c>
      <c r="E225">
        <f t="shared" si="12"/>
        <v>2</v>
      </c>
      <c r="H225" t="s">
        <v>224</v>
      </c>
      <c r="I225">
        <f t="shared" si="13"/>
        <v>0</v>
      </c>
      <c r="K225" t="s">
        <v>224</v>
      </c>
    </row>
    <row r="226" spans="1:11">
      <c r="A226">
        <v>226</v>
      </c>
      <c r="B226" t="s">
        <v>1888</v>
      </c>
      <c r="C226" t="str">
        <f t="shared" si="14"/>
        <v>prog_char string_226[] PROGMEM = "fth";</v>
      </c>
      <c r="D226" t="str">
        <f t="shared" si="15"/>
        <v>string_226,</v>
      </c>
      <c r="E226">
        <f t="shared" si="12"/>
        <v>3</v>
      </c>
      <c r="H226" t="s">
        <v>225</v>
      </c>
      <c r="I226">
        <f t="shared" si="13"/>
        <v>1</v>
      </c>
      <c r="K226" t="s">
        <v>225</v>
      </c>
    </row>
    <row r="227" spans="1:11">
      <c r="A227">
        <v>227</v>
      </c>
      <c r="B227" t="s">
        <v>180</v>
      </c>
      <c r="C227" t="str">
        <f t="shared" si="14"/>
        <v>prog_char string_227[] PROGMEM = "full";</v>
      </c>
      <c r="D227" t="str">
        <f t="shared" si="15"/>
        <v>string_227,</v>
      </c>
      <c r="E227">
        <f t="shared" si="12"/>
        <v>4</v>
      </c>
      <c r="H227" t="s">
        <v>226</v>
      </c>
      <c r="I227">
        <f t="shared" si="13"/>
        <v>1</v>
      </c>
      <c r="K227" t="s">
        <v>226</v>
      </c>
    </row>
    <row r="228" spans="1:11">
      <c r="A228">
        <v>228</v>
      </c>
      <c r="B228" t="s">
        <v>181</v>
      </c>
      <c r="C228" t="str">
        <f t="shared" si="14"/>
        <v>prog_char string_228[] PROGMEM = "ga";</v>
      </c>
      <c r="D228" t="str">
        <f t="shared" si="15"/>
        <v>string_228,</v>
      </c>
      <c r="E228">
        <f t="shared" si="12"/>
        <v>2</v>
      </c>
      <c r="H228" t="s">
        <v>227</v>
      </c>
      <c r="I228">
        <f t="shared" si="13"/>
        <v>1</v>
      </c>
      <c r="K228" t="s">
        <v>227</v>
      </c>
    </row>
    <row r="229" spans="1:11">
      <c r="A229">
        <v>229</v>
      </c>
      <c r="B229" t="s">
        <v>182</v>
      </c>
      <c r="C229" t="str">
        <f t="shared" si="14"/>
        <v>prog_char string_229[] PROGMEM = "game";</v>
      </c>
      <c r="D229" t="str">
        <f t="shared" si="15"/>
        <v>string_229,</v>
      </c>
      <c r="E229">
        <f t="shared" si="12"/>
        <v>4</v>
      </c>
      <c r="H229" t="s">
        <v>228</v>
      </c>
      <c r="I229">
        <f t="shared" si="13"/>
        <v>0</v>
      </c>
      <c r="K229" t="s">
        <v>228</v>
      </c>
    </row>
    <row r="230" spans="1:11">
      <c r="A230">
        <v>230</v>
      </c>
      <c r="B230" t="s">
        <v>184</v>
      </c>
      <c r="C230" t="str">
        <f t="shared" si="14"/>
        <v>prog_char string_230[] PROGMEM = "ge";</v>
      </c>
      <c r="D230" t="str">
        <f t="shared" si="15"/>
        <v>string_230,</v>
      </c>
      <c r="E230">
        <f t="shared" si="12"/>
        <v>2</v>
      </c>
      <c r="H230" t="s">
        <v>229</v>
      </c>
      <c r="I230">
        <f t="shared" si="13"/>
        <v>0</v>
      </c>
      <c r="K230" t="s">
        <v>229</v>
      </c>
    </row>
    <row r="231" spans="1:11">
      <c r="A231">
        <v>231</v>
      </c>
      <c r="B231" t="s">
        <v>186</v>
      </c>
      <c r="C231" t="str">
        <f t="shared" si="14"/>
        <v>prog_char string_231[] PROGMEM = "get";</v>
      </c>
      <c r="D231" t="str">
        <f t="shared" si="15"/>
        <v>string_231,</v>
      </c>
      <c r="E231">
        <f t="shared" si="12"/>
        <v>3</v>
      </c>
      <c r="H231" t="s">
        <v>230</v>
      </c>
      <c r="I231">
        <f t="shared" si="13"/>
        <v>0</v>
      </c>
      <c r="K231" t="s">
        <v>230</v>
      </c>
    </row>
    <row r="232" spans="1:11">
      <c r="A232">
        <v>232</v>
      </c>
      <c r="B232" t="s">
        <v>187</v>
      </c>
      <c r="C232" t="str">
        <f t="shared" si="14"/>
        <v>prog_char string_232[] PROGMEM = "gh";</v>
      </c>
      <c r="D232" t="str">
        <f t="shared" si="15"/>
        <v>string_232,</v>
      </c>
      <c r="E232">
        <f t="shared" si="12"/>
        <v>2</v>
      </c>
      <c r="H232" t="s">
        <v>231</v>
      </c>
      <c r="I232">
        <f t="shared" si="13"/>
        <v>0</v>
      </c>
      <c r="K232" t="s">
        <v>231</v>
      </c>
    </row>
    <row r="233" spans="1:11">
      <c r="A233">
        <v>233</v>
      </c>
      <c r="B233" t="s">
        <v>1899</v>
      </c>
      <c r="C233" t="str">
        <f t="shared" si="14"/>
        <v>prog_char string_233[] PROGMEM = "ght";</v>
      </c>
      <c r="D233" t="str">
        <f t="shared" si="15"/>
        <v>string_233,</v>
      </c>
      <c r="E233">
        <f t="shared" si="12"/>
        <v>3</v>
      </c>
      <c r="H233" t="s">
        <v>232</v>
      </c>
      <c r="I233">
        <f t="shared" si="13"/>
        <v>0</v>
      </c>
      <c r="K233" t="s">
        <v>232</v>
      </c>
    </row>
    <row r="234" spans="1:11">
      <c r="A234">
        <v>234</v>
      </c>
      <c r="B234" t="s">
        <v>188</v>
      </c>
      <c r="C234" t="str">
        <f t="shared" si="14"/>
        <v>prog_char string_234[] PROGMEM = "gi";</v>
      </c>
      <c r="D234" t="str">
        <f t="shared" si="15"/>
        <v>string_234,</v>
      </c>
      <c r="E234">
        <f t="shared" si="12"/>
        <v>2</v>
      </c>
      <c r="H234" t="s">
        <v>233</v>
      </c>
      <c r="I234">
        <f t="shared" si="13"/>
        <v>0</v>
      </c>
      <c r="K234" t="s">
        <v>233</v>
      </c>
    </row>
    <row r="235" spans="1:11">
      <c r="A235">
        <v>235</v>
      </c>
      <c r="B235" t="s">
        <v>746</v>
      </c>
      <c r="C235" t="str">
        <f t="shared" si="14"/>
        <v>prog_char string_235[] PROGMEM = "girl";</v>
      </c>
      <c r="D235" t="str">
        <f t="shared" si="15"/>
        <v>string_235,</v>
      </c>
      <c r="E235">
        <f t="shared" si="12"/>
        <v>4</v>
      </c>
      <c r="H235" t="s">
        <v>234</v>
      </c>
      <c r="I235">
        <f t="shared" si="13"/>
        <v>0</v>
      </c>
      <c r="K235" t="s">
        <v>234</v>
      </c>
    </row>
    <row r="236" spans="1:11">
      <c r="A236">
        <v>236</v>
      </c>
      <c r="B236" t="s">
        <v>632</v>
      </c>
      <c r="C236" t="str">
        <f t="shared" si="14"/>
        <v>prog_char string_236[] PROGMEM = "give";</v>
      </c>
      <c r="D236" t="str">
        <f t="shared" si="15"/>
        <v>string_236,</v>
      </c>
      <c r="E236">
        <f t="shared" si="12"/>
        <v>4</v>
      </c>
      <c r="H236" t="s">
        <v>235</v>
      </c>
      <c r="I236">
        <f t="shared" si="13"/>
        <v>1</v>
      </c>
      <c r="K236" t="s">
        <v>235</v>
      </c>
    </row>
    <row r="237" spans="1:11">
      <c r="A237">
        <v>237</v>
      </c>
      <c r="B237" t="s">
        <v>189</v>
      </c>
      <c r="C237" t="str">
        <f t="shared" si="14"/>
        <v>prog_char string_237[] PROGMEM = "go";</v>
      </c>
      <c r="D237" t="str">
        <f t="shared" si="15"/>
        <v>string_237,</v>
      </c>
      <c r="E237">
        <f t="shared" si="12"/>
        <v>2</v>
      </c>
      <c r="H237" t="s">
        <v>236</v>
      </c>
      <c r="I237">
        <f t="shared" si="13"/>
        <v>1</v>
      </c>
      <c r="K237" t="s">
        <v>236</v>
      </c>
    </row>
    <row r="238" spans="1:11">
      <c r="A238">
        <v>238</v>
      </c>
      <c r="B238" t="s">
        <v>190</v>
      </c>
      <c r="C238" t="str">
        <f t="shared" si="14"/>
        <v>prog_char string_238[] PROGMEM = "good";</v>
      </c>
      <c r="D238" t="str">
        <f t="shared" si="15"/>
        <v>string_238,</v>
      </c>
      <c r="E238">
        <f t="shared" si="12"/>
        <v>4</v>
      </c>
      <c r="H238" t="s">
        <v>237</v>
      </c>
      <c r="I238">
        <f t="shared" si="13"/>
        <v>2</v>
      </c>
      <c r="K238" t="s">
        <v>237</v>
      </c>
    </row>
    <row r="239" spans="1:11">
      <c r="A239">
        <v>239</v>
      </c>
      <c r="B239" t="s">
        <v>191</v>
      </c>
      <c r="C239" t="str">
        <f t="shared" si="14"/>
        <v>prog_char string_239[] PROGMEM = "gr";</v>
      </c>
      <c r="D239" t="str">
        <f t="shared" si="15"/>
        <v>string_239,</v>
      </c>
      <c r="E239">
        <f t="shared" si="12"/>
        <v>2</v>
      </c>
      <c r="H239" t="s">
        <v>238</v>
      </c>
      <c r="I239">
        <f t="shared" si="13"/>
        <v>1</v>
      </c>
      <c r="K239" t="s">
        <v>238</v>
      </c>
    </row>
    <row r="240" spans="1:11">
      <c r="A240">
        <v>240</v>
      </c>
      <c r="B240" t="s">
        <v>2000</v>
      </c>
      <c r="C240" t="str">
        <f t="shared" si="14"/>
        <v>prog_char string_240[] PROGMEM = "gra";</v>
      </c>
      <c r="D240" t="str">
        <f t="shared" si="15"/>
        <v>string_240,</v>
      </c>
      <c r="E240">
        <f t="shared" si="12"/>
        <v>3</v>
      </c>
      <c r="H240" t="s">
        <v>239</v>
      </c>
      <c r="I240">
        <f t="shared" si="13"/>
        <v>2</v>
      </c>
      <c r="K240" t="s">
        <v>239</v>
      </c>
    </row>
    <row r="241" spans="1:11">
      <c r="A241">
        <v>241</v>
      </c>
      <c r="B241" t="s">
        <v>192</v>
      </c>
      <c r="C241" t="str">
        <f t="shared" si="14"/>
        <v>prog_char string_241[] PROGMEM = "great";</v>
      </c>
      <c r="D241" t="str">
        <f t="shared" si="15"/>
        <v>string_241,</v>
      </c>
      <c r="E241">
        <f t="shared" si="12"/>
        <v>5</v>
      </c>
      <c r="H241" t="s">
        <v>240</v>
      </c>
      <c r="I241">
        <f t="shared" si="13"/>
        <v>1</v>
      </c>
      <c r="K241" t="s">
        <v>240</v>
      </c>
    </row>
    <row r="242" spans="1:11">
      <c r="A242">
        <v>242</v>
      </c>
      <c r="B242" t="s">
        <v>858</v>
      </c>
      <c r="C242" t="str">
        <f t="shared" si="14"/>
        <v>prog_char string_242[] PROGMEM = "green";</v>
      </c>
      <c r="D242" t="str">
        <f t="shared" si="15"/>
        <v>string_242,</v>
      </c>
      <c r="E242">
        <f t="shared" si="12"/>
        <v>5</v>
      </c>
      <c r="H242" t="s">
        <v>241</v>
      </c>
      <c r="I242">
        <f t="shared" si="13"/>
        <v>1</v>
      </c>
      <c r="K242" t="s">
        <v>241</v>
      </c>
    </row>
    <row r="243" spans="1:11">
      <c r="A243">
        <v>243</v>
      </c>
      <c r="B243" t="s">
        <v>793</v>
      </c>
      <c r="C243" t="str">
        <f t="shared" si="14"/>
        <v>prog_char string_243[] PROGMEM = "ground";</v>
      </c>
      <c r="D243" t="str">
        <f t="shared" si="15"/>
        <v>string_243,</v>
      </c>
      <c r="E243">
        <f t="shared" si="12"/>
        <v>6</v>
      </c>
      <c r="H243" t="s">
        <v>242</v>
      </c>
      <c r="I243">
        <f t="shared" si="13"/>
        <v>1</v>
      </c>
      <c r="K243" t="s">
        <v>242</v>
      </c>
    </row>
    <row r="244" spans="1:11">
      <c r="A244">
        <v>244</v>
      </c>
      <c r="B244" t="s">
        <v>193</v>
      </c>
      <c r="C244" t="str">
        <f t="shared" si="14"/>
        <v>prog_char string_244[] PROGMEM = "group";</v>
      </c>
      <c r="D244" t="str">
        <f t="shared" si="15"/>
        <v>string_244,</v>
      </c>
      <c r="E244">
        <f t="shared" si="12"/>
        <v>5</v>
      </c>
      <c r="H244" t="s">
        <v>243</v>
      </c>
      <c r="I244">
        <f t="shared" si="13"/>
        <v>1</v>
      </c>
      <c r="K244" t="s">
        <v>243</v>
      </c>
    </row>
    <row r="245" spans="1:11">
      <c r="A245">
        <v>245</v>
      </c>
      <c r="B245" t="s">
        <v>196</v>
      </c>
      <c r="C245" t="str">
        <f t="shared" si="14"/>
        <v>prog_char string_245[] PROGMEM = "had";</v>
      </c>
      <c r="D245" t="str">
        <f t="shared" si="15"/>
        <v>string_245,</v>
      </c>
      <c r="E245">
        <f t="shared" si="12"/>
        <v>3</v>
      </c>
      <c r="H245" t="s">
        <v>244</v>
      </c>
      <c r="I245">
        <f t="shared" si="13"/>
        <v>0</v>
      </c>
      <c r="K245" t="s">
        <v>244</v>
      </c>
    </row>
    <row r="246" spans="1:11">
      <c r="A246">
        <v>246</v>
      </c>
      <c r="B246" t="s">
        <v>772</v>
      </c>
      <c r="C246" t="str">
        <f t="shared" si="14"/>
        <v>prog_char string_246[] PROGMEM = "half";</v>
      </c>
      <c r="D246" t="str">
        <f t="shared" si="15"/>
        <v>string_246,</v>
      </c>
      <c r="E246">
        <f t="shared" si="12"/>
        <v>4</v>
      </c>
      <c r="H246" t="s">
        <v>245</v>
      </c>
      <c r="I246">
        <f t="shared" si="13"/>
        <v>1</v>
      </c>
      <c r="K246" t="s">
        <v>245</v>
      </c>
    </row>
    <row r="247" spans="1:11">
      <c r="A247">
        <v>247</v>
      </c>
      <c r="B247" t="s">
        <v>1922</v>
      </c>
      <c r="C247" t="str">
        <f t="shared" si="14"/>
        <v>prog_char string_247[] PROGMEM = "han";</v>
      </c>
      <c r="D247" t="str">
        <f t="shared" si="15"/>
        <v>string_247,</v>
      </c>
      <c r="E247">
        <f t="shared" si="12"/>
        <v>3</v>
      </c>
      <c r="H247" t="s">
        <v>246</v>
      </c>
      <c r="I247">
        <f t="shared" si="13"/>
        <v>0</v>
      </c>
      <c r="K247" t="s">
        <v>246</v>
      </c>
    </row>
    <row r="248" spans="1:11">
      <c r="A248">
        <v>248</v>
      </c>
      <c r="B248" t="s">
        <v>646</v>
      </c>
      <c r="C248" t="str">
        <f t="shared" si="14"/>
        <v>prog_char string_248[] PROGMEM = "hand";</v>
      </c>
      <c r="D248" t="str">
        <f t="shared" si="15"/>
        <v>string_248,</v>
      </c>
      <c r="E248">
        <f t="shared" si="12"/>
        <v>4</v>
      </c>
      <c r="H248" t="s">
        <v>247</v>
      </c>
      <c r="I248">
        <f t="shared" si="13"/>
        <v>0</v>
      </c>
      <c r="K248" t="s">
        <v>247</v>
      </c>
    </row>
    <row r="249" spans="1:11">
      <c r="A249">
        <v>249</v>
      </c>
      <c r="B249" t="s">
        <v>769</v>
      </c>
      <c r="C249" t="str">
        <f t="shared" si="14"/>
        <v>prog_char string_249[] PROGMEM = "happen";</v>
      </c>
      <c r="D249" t="str">
        <f t="shared" si="15"/>
        <v>string_249,</v>
      </c>
      <c r="E249">
        <f t="shared" si="12"/>
        <v>6</v>
      </c>
      <c r="H249" t="s">
        <v>248</v>
      </c>
      <c r="I249">
        <f t="shared" si="13"/>
        <v>0</v>
      </c>
      <c r="K249" t="s">
        <v>248</v>
      </c>
    </row>
    <row r="250" spans="1:11">
      <c r="A250">
        <v>250</v>
      </c>
      <c r="B250" t="s">
        <v>687</v>
      </c>
      <c r="C250" t="str">
        <f t="shared" si="14"/>
        <v>prog_char string_250[] PROGMEM = "hard";</v>
      </c>
      <c r="D250" t="str">
        <f t="shared" si="15"/>
        <v>string_250,</v>
      </c>
      <c r="E250">
        <f t="shared" si="12"/>
        <v>4</v>
      </c>
      <c r="H250" t="s">
        <v>249</v>
      </c>
      <c r="I250">
        <f t="shared" si="13"/>
        <v>0</v>
      </c>
      <c r="K250" t="s">
        <v>249</v>
      </c>
    </row>
    <row r="251" spans="1:11">
      <c r="A251">
        <v>251</v>
      </c>
      <c r="B251" t="s">
        <v>197</v>
      </c>
      <c r="C251" t="str">
        <f t="shared" si="14"/>
        <v>prog_char string_251[] PROGMEM = "has";</v>
      </c>
      <c r="D251" t="str">
        <f t="shared" si="15"/>
        <v>string_251,</v>
      </c>
      <c r="E251">
        <f t="shared" si="12"/>
        <v>3</v>
      </c>
      <c r="H251" t="s">
        <v>250</v>
      </c>
      <c r="I251">
        <f t="shared" si="13"/>
        <v>0</v>
      </c>
      <c r="K251" t="s">
        <v>250</v>
      </c>
    </row>
    <row r="252" spans="1:11">
      <c r="A252">
        <v>252</v>
      </c>
      <c r="B252" t="s">
        <v>198</v>
      </c>
      <c r="C252" t="str">
        <f t="shared" si="14"/>
        <v>prog_char string_252[] PROGMEM = "hat";</v>
      </c>
      <c r="D252" t="str">
        <f t="shared" si="15"/>
        <v>string_252,</v>
      </c>
      <c r="E252">
        <f t="shared" si="12"/>
        <v>3</v>
      </c>
      <c r="H252" t="s">
        <v>251</v>
      </c>
      <c r="I252">
        <f t="shared" si="13"/>
        <v>1</v>
      </c>
      <c r="K252" t="s">
        <v>251</v>
      </c>
    </row>
    <row r="253" spans="1:11">
      <c r="A253">
        <v>253</v>
      </c>
      <c r="B253" t="s">
        <v>199</v>
      </c>
      <c r="C253" t="str">
        <f t="shared" si="14"/>
        <v>prog_char string_253[] PROGMEM = "have";</v>
      </c>
      <c r="D253" t="str">
        <f t="shared" si="15"/>
        <v>string_253,</v>
      </c>
      <c r="E253">
        <f t="shared" si="12"/>
        <v>4</v>
      </c>
      <c r="H253" t="s">
        <v>252</v>
      </c>
      <c r="I253">
        <f t="shared" si="13"/>
        <v>1</v>
      </c>
      <c r="K253" t="s">
        <v>252</v>
      </c>
    </row>
    <row r="254" spans="1:11">
      <c r="A254">
        <v>254</v>
      </c>
      <c r="B254" t="s">
        <v>200</v>
      </c>
      <c r="C254" t="str">
        <f t="shared" si="14"/>
        <v>prog_char string_254[] PROGMEM = "he";</v>
      </c>
      <c r="D254" t="str">
        <f t="shared" si="15"/>
        <v>string_254,</v>
      </c>
      <c r="E254">
        <f t="shared" si="12"/>
        <v>2</v>
      </c>
      <c r="H254" t="s">
        <v>253</v>
      </c>
      <c r="I254">
        <f t="shared" si="13"/>
        <v>1</v>
      </c>
      <c r="K254" t="s">
        <v>253</v>
      </c>
    </row>
    <row r="255" spans="1:11">
      <c r="A255">
        <v>255</v>
      </c>
      <c r="B255" t="s">
        <v>1917</v>
      </c>
      <c r="C255" t="str">
        <f t="shared" si="14"/>
        <v>prog_char string_255[] PROGMEM = "hea";</v>
      </c>
      <c r="D255" t="str">
        <f t="shared" si="15"/>
        <v>string_255,</v>
      </c>
      <c r="E255">
        <f t="shared" si="12"/>
        <v>3</v>
      </c>
      <c r="H255" t="s">
        <v>254</v>
      </c>
      <c r="I255">
        <f t="shared" si="13"/>
        <v>0</v>
      </c>
      <c r="K255" t="s">
        <v>254</v>
      </c>
    </row>
    <row r="256" spans="1:11">
      <c r="A256">
        <v>256</v>
      </c>
      <c r="B256" t="s">
        <v>667</v>
      </c>
      <c r="C256" t="str">
        <f t="shared" si="14"/>
        <v>prog_char string_256[] PROGMEM = "head";</v>
      </c>
      <c r="D256" t="str">
        <f t="shared" si="15"/>
        <v>string_256,</v>
      </c>
      <c r="E256">
        <f t="shared" si="12"/>
        <v>4</v>
      </c>
      <c r="H256" t="s">
        <v>255</v>
      </c>
      <c r="I256">
        <f t="shared" si="13"/>
        <v>0</v>
      </c>
      <c r="K256" t="s">
        <v>255</v>
      </c>
    </row>
    <row r="257" spans="1:11">
      <c r="A257">
        <v>257</v>
      </c>
      <c r="B257" t="s">
        <v>736</v>
      </c>
      <c r="C257" t="str">
        <f t="shared" si="14"/>
        <v>prog_char string_257[] PROGMEM = "hear";</v>
      </c>
      <c r="D257" t="str">
        <f t="shared" si="15"/>
        <v>string_257,</v>
      </c>
      <c r="E257">
        <f t="shared" ref="E257:E320" si="16">LEN(B257)</f>
        <v>4</v>
      </c>
      <c r="H257" t="s">
        <v>256</v>
      </c>
      <c r="I257">
        <f t="shared" ref="I257:I320" si="17">IF(ISNUMBER(FIND("e",H257)),1,0)+IF(ISNUMBER(FIND("n",H257)),1,0)</f>
        <v>0</v>
      </c>
      <c r="K257" t="s">
        <v>256</v>
      </c>
    </row>
    <row r="258" spans="1:11">
      <c r="A258">
        <v>258</v>
      </c>
      <c r="B258" t="s">
        <v>202</v>
      </c>
      <c r="C258" t="str">
        <f t="shared" ref="C258:C321" si="18">"prog_char string_"&amp;A258&amp;"[] PROGMEM = """&amp;B258&amp;""";"</f>
        <v>prog_char string_258[] PROGMEM = "help";</v>
      </c>
      <c r="D258" t="str">
        <f t="shared" ref="D258:D321" si="19">"string_" &amp; A258 &amp; ","</f>
        <v>string_258,</v>
      </c>
      <c r="E258">
        <f t="shared" si="16"/>
        <v>4</v>
      </c>
      <c r="H258" t="s">
        <v>257</v>
      </c>
      <c r="I258">
        <f t="shared" si="17"/>
        <v>0</v>
      </c>
      <c r="K258" t="s">
        <v>257</v>
      </c>
    </row>
    <row r="259" spans="1:11">
      <c r="A259">
        <v>259</v>
      </c>
      <c r="B259" t="s">
        <v>1974</v>
      </c>
      <c r="C259" t="str">
        <f t="shared" si="18"/>
        <v>prog_char string_259[] PROGMEM = "hen";</v>
      </c>
      <c r="D259" t="str">
        <f t="shared" si="19"/>
        <v>string_259,</v>
      </c>
      <c r="E259">
        <f t="shared" si="16"/>
        <v>3</v>
      </c>
      <c r="H259" t="s">
        <v>258</v>
      </c>
      <c r="I259">
        <f t="shared" si="17"/>
        <v>0</v>
      </c>
      <c r="K259" t="s">
        <v>258</v>
      </c>
    </row>
    <row r="260" spans="1:11">
      <c r="A260">
        <v>260</v>
      </c>
      <c r="B260" t="s">
        <v>203</v>
      </c>
      <c r="C260" t="str">
        <f t="shared" si="18"/>
        <v>prog_char string_260[] PROGMEM = "her";</v>
      </c>
      <c r="D260" t="str">
        <f t="shared" si="19"/>
        <v>string_260,</v>
      </c>
      <c r="E260">
        <f t="shared" si="16"/>
        <v>3</v>
      </c>
      <c r="H260" t="s">
        <v>259</v>
      </c>
      <c r="I260">
        <f t="shared" si="17"/>
        <v>1</v>
      </c>
      <c r="K260" t="s">
        <v>259</v>
      </c>
    </row>
    <row r="261" spans="1:11">
      <c r="A261">
        <v>261</v>
      </c>
      <c r="B261" t="s">
        <v>204</v>
      </c>
      <c r="C261" t="str">
        <f t="shared" si="18"/>
        <v>prog_char string_261[] PROGMEM = "here";</v>
      </c>
      <c r="D261" t="str">
        <f t="shared" si="19"/>
        <v>string_261,</v>
      </c>
      <c r="E261">
        <f t="shared" si="16"/>
        <v>4</v>
      </c>
      <c r="H261" t="s">
        <v>260</v>
      </c>
      <c r="I261">
        <f t="shared" si="17"/>
        <v>1</v>
      </c>
      <c r="K261" t="s">
        <v>260</v>
      </c>
    </row>
    <row r="262" spans="1:11">
      <c r="A262">
        <v>262</v>
      </c>
      <c r="B262" t="s">
        <v>1886</v>
      </c>
      <c r="C262" t="str">
        <f t="shared" si="18"/>
        <v>prog_char string_262[] PROGMEM = "hes";</v>
      </c>
      <c r="D262" t="str">
        <f t="shared" si="19"/>
        <v>string_262,</v>
      </c>
      <c r="E262">
        <f t="shared" si="16"/>
        <v>3</v>
      </c>
      <c r="H262" t="s">
        <v>261</v>
      </c>
      <c r="I262">
        <f t="shared" si="17"/>
        <v>0</v>
      </c>
      <c r="K262" t="s">
        <v>261</v>
      </c>
    </row>
    <row r="263" spans="1:11">
      <c r="A263">
        <v>263</v>
      </c>
      <c r="B263" t="s">
        <v>205</v>
      </c>
      <c r="C263" t="str">
        <f t="shared" si="18"/>
        <v>prog_char string_263[] PROGMEM = "hi";</v>
      </c>
      <c r="D263" t="str">
        <f t="shared" si="19"/>
        <v>string_263,</v>
      </c>
      <c r="E263">
        <f t="shared" si="16"/>
        <v>2</v>
      </c>
      <c r="H263" t="s">
        <v>262</v>
      </c>
      <c r="I263">
        <f t="shared" si="17"/>
        <v>1</v>
      </c>
      <c r="K263" t="s">
        <v>262</v>
      </c>
    </row>
    <row r="264" spans="1:11">
      <c r="A264">
        <v>264</v>
      </c>
      <c r="B264" t="s">
        <v>207</v>
      </c>
      <c r="C264" t="str">
        <f t="shared" si="18"/>
        <v>prog_char string_264[] PROGMEM = "high";</v>
      </c>
      <c r="D264" t="str">
        <f t="shared" si="19"/>
        <v>string_264,</v>
      </c>
      <c r="E264">
        <f t="shared" si="16"/>
        <v>4</v>
      </c>
      <c r="H264" t="s">
        <v>263</v>
      </c>
      <c r="I264">
        <f t="shared" si="17"/>
        <v>0</v>
      </c>
      <c r="K264" t="s">
        <v>263</v>
      </c>
    </row>
    <row r="265" spans="1:11">
      <c r="A265">
        <v>265</v>
      </c>
      <c r="B265" t="s">
        <v>208</v>
      </c>
      <c r="C265" t="str">
        <f t="shared" si="18"/>
        <v>prog_char string_265[] PROGMEM = "him";</v>
      </c>
      <c r="D265" t="str">
        <f t="shared" si="19"/>
        <v>string_265,</v>
      </c>
      <c r="E265">
        <f t="shared" si="16"/>
        <v>3</v>
      </c>
      <c r="H265" t="s">
        <v>264</v>
      </c>
      <c r="I265">
        <f t="shared" si="17"/>
        <v>1</v>
      </c>
      <c r="K265" t="s">
        <v>264</v>
      </c>
    </row>
    <row r="266" spans="1:11">
      <c r="A266">
        <v>266</v>
      </c>
      <c r="B266" t="s">
        <v>1925</v>
      </c>
      <c r="C266" t="str">
        <f t="shared" si="18"/>
        <v>prog_char string_266[] PROGMEM = "hin";</v>
      </c>
      <c r="D266" t="str">
        <f t="shared" si="19"/>
        <v>string_266,</v>
      </c>
      <c r="E266">
        <f t="shared" si="16"/>
        <v>3</v>
      </c>
      <c r="H266" t="s">
        <v>265</v>
      </c>
      <c r="I266">
        <f t="shared" si="17"/>
        <v>0</v>
      </c>
      <c r="K266" t="s">
        <v>265</v>
      </c>
    </row>
    <row r="267" spans="1:11">
      <c r="A267">
        <v>267</v>
      </c>
      <c r="B267" t="s">
        <v>210</v>
      </c>
      <c r="C267" t="str">
        <f t="shared" si="18"/>
        <v>prog_char string_267[] PROGMEM = "his";</v>
      </c>
      <c r="D267" t="str">
        <f t="shared" si="19"/>
        <v>string_267,</v>
      </c>
      <c r="E267">
        <f t="shared" si="16"/>
        <v>3</v>
      </c>
      <c r="H267" t="s">
        <v>266</v>
      </c>
      <c r="I267">
        <f t="shared" si="17"/>
        <v>0</v>
      </c>
      <c r="K267" t="s">
        <v>266</v>
      </c>
    </row>
    <row r="268" spans="1:11">
      <c r="A268">
        <v>268</v>
      </c>
      <c r="B268" t="s">
        <v>212</v>
      </c>
      <c r="C268" t="str">
        <f t="shared" si="18"/>
        <v>prog_char string_268[] PROGMEM = "ho";</v>
      </c>
      <c r="D268" t="str">
        <f t="shared" si="19"/>
        <v>string_268,</v>
      </c>
      <c r="E268">
        <f t="shared" si="16"/>
        <v>2</v>
      </c>
      <c r="H268" t="s">
        <v>267</v>
      </c>
      <c r="I268">
        <f t="shared" si="17"/>
        <v>0</v>
      </c>
      <c r="K268" t="s">
        <v>267</v>
      </c>
    </row>
    <row r="269" spans="1:11">
      <c r="A269">
        <v>269</v>
      </c>
      <c r="B269" t="s">
        <v>791</v>
      </c>
      <c r="C269" t="str">
        <f t="shared" si="18"/>
        <v>prog_char string_269[] PROGMEM = "hold";</v>
      </c>
      <c r="D269" t="str">
        <f t="shared" si="19"/>
        <v>string_269,</v>
      </c>
      <c r="E269">
        <f t="shared" si="16"/>
        <v>4</v>
      </c>
      <c r="H269" t="s">
        <v>268</v>
      </c>
      <c r="I269">
        <f t="shared" si="17"/>
        <v>1</v>
      </c>
      <c r="K269" t="s">
        <v>268</v>
      </c>
    </row>
    <row r="270" spans="1:11">
      <c r="A270">
        <v>270</v>
      </c>
      <c r="B270" t="s">
        <v>213</v>
      </c>
      <c r="C270" t="str">
        <f t="shared" si="18"/>
        <v>prog_char string_270[] PROGMEM = "home";</v>
      </c>
      <c r="D270" t="str">
        <f t="shared" si="19"/>
        <v>string_270,</v>
      </c>
      <c r="E270">
        <f t="shared" si="16"/>
        <v>4</v>
      </c>
      <c r="H270" t="s">
        <v>269</v>
      </c>
      <c r="I270">
        <f t="shared" si="17"/>
        <v>1</v>
      </c>
      <c r="K270" t="s">
        <v>269</v>
      </c>
    </row>
    <row r="271" spans="1:11">
      <c r="A271">
        <v>271</v>
      </c>
      <c r="B271" t="s">
        <v>620</v>
      </c>
      <c r="C271" t="str">
        <f t="shared" si="18"/>
        <v>prog_char string_271[] PROGMEM = "hot";</v>
      </c>
      <c r="D271" t="str">
        <f t="shared" si="19"/>
        <v>string_271,</v>
      </c>
      <c r="E271">
        <f t="shared" si="16"/>
        <v>3</v>
      </c>
      <c r="H271" t="s">
        <v>270</v>
      </c>
      <c r="I271">
        <f t="shared" si="17"/>
        <v>0</v>
      </c>
      <c r="K271" t="s">
        <v>270</v>
      </c>
    </row>
    <row r="272" spans="1:11">
      <c r="A272">
        <v>272</v>
      </c>
      <c r="B272" t="s">
        <v>784</v>
      </c>
      <c r="C272" t="str">
        <f t="shared" si="18"/>
        <v>prog_char string_272[] PROGMEM = "hour";</v>
      </c>
      <c r="D272" t="str">
        <f t="shared" si="19"/>
        <v>string_272,</v>
      </c>
      <c r="E272">
        <f t="shared" si="16"/>
        <v>4</v>
      </c>
      <c r="H272" t="s">
        <v>271</v>
      </c>
      <c r="I272">
        <f t="shared" si="17"/>
        <v>1</v>
      </c>
      <c r="K272" t="s">
        <v>271</v>
      </c>
    </row>
    <row r="273" spans="1:11">
      <c r="A273">
        <v>273</v>
      </c>
      <c r="B273" t="s">
        <v>217</v>
      </c>
      <c r="C273" t="str">
        <f t="shared" si="18"/>
        <v>prog_char string_273[] PROGMEM = "house";</v>
      </c>
      <c r="D273" t="str">
        <f t="shared" si="19"/>
        <v>string_273,</v>
      </c>
      <c r="E273">
        <f t="shared" si="16"/>
        <v>5</v>
      </c>
      <c r="H273" t="s">
        <v>272</v>
      </c>
      <c r="I273">
        <f t="shared" si="17"/>
        <v>1</v>
      </c>
      <c r="K273" t="s">
        <v>272</v>
      </c>
    </row>
    <row r="274" spans="1:11">
      <c r="A274">
        <v>274</v>
      </c>
      <c r="B274" t="s">
        <v>218</v>
      </c>
      <c r="C274" t="str">
        <f t="shared" si="18"/>
        <v>prog_char string_274[] PROGMEM = "how";</v>
      </c>
      <c r="D274" t="str">
        <f t="shared" si="19"/>
        <v>string_274,</v>
      </c>
      <c r="E274">
        <f t="shared" si="16"/>
        <v>3</v>
      </c>
      <c r="H274" t="s">
        <v>273</v>
      </c>
      <c r="I274">
        <f t="shared" si="17"/>
        <v>1</v>
      </c>
      <c r="K274" t="s">
        <v>273</v>
      </c>
    </row>
    <row r="275" spans="1:11">
      <c r="A275">
        <v>275</v>
      </c>
      <c r="B275" t="s">
        <v>219</v>
      </c>
      <c r="C275" t="str">
        <f t="shared" si="18"/>
        <v>prog_char string_275[] PROGMEM = "ht";</v>
      </c>
      <c r="D275" t="str">
        <f t="shared" si="19"/>
        <v>string_275,</v>
      </c>
      <c r="E275">
        <f t="shared" si="16"/>
        <v>2</v>
      </c>
      <c r="H275" t="s">
        <v>274</v>
      </c>
      <c r="I275">
        <f t="shared" si="17"/>
        <v>2</v>
      </c>
      <c r="K275" t="s">
        <v>274</v>
      </c>
    </row>
    <row r="276" spans="1:11">
      <c r="A276">
        <v>276</v>
      </c>
      <c r="B276" t="s">
        <v>220</v>
      </c>
      <c r="C276" t="str">
        <f t="shared" si="18"/>
        <v>prog_char string_276[] PROGMEM = "ia";</v>
      </c>
      <c r="D276" t="str">
        <f t="shared" si="19"/>
        <v>string_276,</v>
      </c>
      <c r="E276">
        <f t="shared" si="16"/>
        <v>2</v>
      </c>
      <c r="H276" t="s">
        <v>275</v>
      </c>
      <c r="I276">
        <f t="shared" si="17"/>
        <v>1</v>
      </c>
      <c r="K276" t="s">
        <v>275</v>
      </c>
    </row>
    <row r="277" spans="1:11">
      <c r="A277">
        <v>277</v>
      </c>
      <c r="B277" t="s">
        <v>1975</v>
      </c>
      <c r="C277" t="str">
        <f t="shared" si="18"/>
        <v>prog_char string_277[] PROGMEM = "ial";</v>
      </c>
      <c r="D277" t="str">
        <f t="shared" si="19"/>
        <v>string_277,</v>
      </c>
      <c r="E277">
        <f t="shared" si="16"/>
        <v>3</v>
      </c>
      <c r="H277" t="s">
        <v>276</v>
      </c>
      <c r="I277">
        <f t="shared" si="17"/>
        <v>1</v>
      </c>
      <c r="K277" t="s">
        <v>276</v>
      </c>
    </row>
    <row r="278" spans="1:11">
      <c r="A278">
        <v>278</v>
      </c>
      <c r="B278" t="s">
        <v>221</v>
      </c>
      <c r="C278" t="str">
        <f t="shared" si="18"/>
        <v>prog_char string_278[] PROGMEM = "ic";</v>
      </c>
      <c r="D278" t="str">
        <f t="shared" si="19"/>
        <v>string_278,</v>
      </c>
      <c r="E278">
        <f t="shared" si="16"/>
        <v>2</v>
      </c>
      <c r="H278" t="s">
        <v>277</v>
      </c>
      <c r="I278">
        <f t="shared" si="17"/>
        <v>0</v>
      </c>
      <c r="K278" t="s">
        <v>277</v>
      </c>
    </row>
    <row r="279" spans="1:11">
      <c r="A279">
        <v>279</v>
      </c>
      <c r="B279" t="s">
        <v>222</v>
      </c>
      <c r="C279" t="str">
        <f t="shared" si="18"/>
        <v>prog_char string_279[] PROGMEM = "ica";</v>
      </c>
      <c r="D279" t="str">
        <f t="shared" si="19"/>
        <v>string_279,</v>
      </c>
      <c r="E279">
        <f t="shared" si="16"/>
        <v>3</v>
      </c>
      <c r="H279" t="s">
        <v>278</v>
      </c>
      <c r="I279">
        <f t="shared" si="17"/>
        <v>1</v>
      </c>
      <c r="K279" t="s">
        <v>278</v>
      </c>
    </row>
    <row r="280" spans="1:11">
      <c r="A280">
        <v>280</v>
      </c>
      <c r="B280" t="s">
        <v>223</v>
      </c>
      <c r="C280" t="str">
        <f t="shared" si="18"/>
        <v>prog_char string_280[] PROGMEM = "ice";</v>
      </c>
      <c r="D280" t="str">
        <f t="shared" si="19"/>
        <v>string_280,</v>
      </c>
      <c r="E280">
        <f t="shared" si="16"/>
        <v>3</v>
      </c>
      <c r="H280" t="s">
        <v>279</v>
      </c>
      <c r="I280">
        <f t="shared" si="17"/>
        <v>1</v>
      </c>
      <c r="K280" t="s">
        <v>279</v>
      </c>
    </row>
    <row r="281" spans="1:11">
      <c r="A281">
        <v>281</v>
      </c>
      <c r="B281" t="s">
        <v>224</v>
      </c>
      <c r="C281" t="str">
        <f t="shared" si="18"/>
        <v>prog_char string_281[] PROGMEM = "id";</v>
      </c>
      <c r="D281" t="str">
        <f t="shared" si="19"/>
        <v>string_281,</v>
      </c>
      <c r="E281">
        <f t="shared" si="16"/>
        <v>2</v>
      </c>
      <c r="H281" t="s">
        <v>280</v>
      </c>
      <c r="I281">
        <f t="shared" si="17"/>
        <v>0</v>
      </c>
      <c r="K281" t="s">
        <v>280</v>
      </c>
    </row>
    <row r="282" spans="1:11">
      <c r="A282">
        <v>282</v>
      </c>
      <c r="B282" t="s">
        <v>225</v>
      </c>
      <c r="C282" t="str">
        <f t="shared" si="18"/>
        <v>prog_char string_282[] PROGMEM = "ide";</v>
      </c>
      <c r="D282" t="str">
        <f t="shared" si="19"/>
        <v>string_282,</v>
      </c>
      <c r="E282">
        <f t="shared" si="16"/>
        <v>3</v>
      </c>
      <c r="H282" t="s">
        <v>281</v>
      </c>
      <c r="I282">
        <f t="shared" si="17"/>
        <v>0</v>
      </c>
      <c r="K282" t="s">
        <v>281</v>
      </c>
    </row>
    <row r="283" spans="1:11">
      <c r="A283">
        <v>283</v>
      </c>
      <c r="B283" t="s">
        <v>730</v>
      </c>
      <c r="C283" t="str">
        <f t="shared" si="18"/>
        <v>prog_char string_283[] PROGMEM = "idea";</v>
      </c>
      <c r="D283" t="str">
        <f t="shared" si="19"/>
        <v>string_283,</v>
      </c>
      <c r="E283">
        <f t="shared" si="16"/>
        <v>4</v>
      </c>
      <c r="H283" t="s">
        <v>282</v>
      </c>
      <c r="I283">
        <f t="shared" si="17"/>
        <v>0</v>
      </c>
      <c r="K283" t="s">
        <v>282</v>
      </c>
    </row>
    <row r="284" spans="1:11">
      <c r="A284">
        <v>284</v>
      </c>
      <c r="B284" t="s">
        <v>226</v>
      </c>
      <c r="C284" t="str">
        <f t="shared" si="18"/>
        <v>prog_char string_284[] PROGMEM = "ie";</v>
      </c>
      <c r="D284" t="str">
        <f t="shared" si="19"/>
        <v>string_284,</v>
      </c>
      <c r="E284">
        <f t="shared" si="16"/>
        <v>2</v>
      </c>
      <c r="H284" t="s">
        <v>283</v>
      </c>
      <c r="I284">
        <f t="shared" si="17"/>
        <v>1</v>
      </c>
      <c r="K284" t="s">
        <v>283</v>
      </c>
    </row>
    <row r="285" spans="1:11">
      <c r="A285">
        <v>285</v>
      </c>
      <c r="B285" t="s">
        <v>227</v>
      </c>
      <c r="C285" t="str">
        <f t="shared" si="18"/>
        <v>prog_char string_285[] PROGMEM = "ies";</v>
      </c>
      <c r="D285" t="str">
        <f t="shared" si="19"/>
        <v>string_285,</v>
      </c>
      <c r="E285">
        <f t="shared" si="16"/>
        <v>3</v>
      </c>
      <c r="H285" t="s">
        <v>284</v>
      </c>
      <c r="I285">
        <f t="shared" si="17"/>
        <v>1</v>
      </c>
      <c r="K285" t="s">
        <v>284</v>
      </c>
    </row>
    <row r="286" spans="1:11">
      <c r="A286">
        <v>286</v>
      </c>
      <c r="B286" t="s">
        <v>228</v>
      </c>
      <c r="C286" t="str">
        <f t="shared" si="18"/>
        <v>prog_char string_286[] PROGMEM = "if";</v>
      </c>
      <c r="D286" t="str">
        <f t="shared" si="19"/>
        <v>string_286,</v>
      </c>
      <c r="E286">
        <f t="shared" si="16"/>
        <v>2</v>
      </c>
      <c r="H286" t="s">
        <v>285</v>
      </c>
      <c r="I286">
        <f t="shared" si="17"/>
        <v>0</v>
      </c>
      <c r="K286" t="s">
        <v>285</v>
      </c>
    </row>
    <row r="287" spans="1:11">
      <c r="A287">
        <v>287</v>
      </c>
      <c r="B287" t="s">
        <v>229</v>
      </c>
      <c r="C287" t="str">
        <f t="shared" si="18"/>
        <v>prog_char string_287[] PROGMEM = "ig";</v>
      </c>
      <c r="D287" t="str">
        <f t="shared" si="19"/>
        <v>string_287,</v>
      </c>
      <c r="E287">
        <f t="shared" si="16"/>
        <v>2</v>
      </c>
      <c r="H287" t="s">
        <v>286</v>
      </c>
      <c r="I287">
        <f t="shared" si="17"/>
        <v>0</v>
      </c>
      <c r="K287" t="s">
        <v>286</v>
      </c>
    </row>
    <row r="288" spans="1:11">
      <c r="A288">
        <v>288</v>
      </c>
      <c r="B288" t="s">
        <v>230</v>
      </c>
      <c r="C288" t="str">
        <f t="shared" si="18"/>
        <v>prog_char string_288[] PROGMEM = "igh";</v>
      </c>
      <c r="D288" t="str">
        <f t="shared" si="19"/>
        <v>string_288,</v>
      </c>
      <c r="E288">
        <f t="shared" si="16"/>
        <v>3</v>
      </c>
      <c r="H288" t="s">
        <v>287</v>
      </c>
      <c r="I288">
        <f t="shared" si="17"/>
        <v>0</v>
      </c>
      <c r="K288" t="s">
        <v>287</v>
      </c>
    </row>
    <row r="289" spans="1:11">
      <c r="A289">
        <v>289</v>
      </c>
      <c r="B289" t="s">
        <v>232</v>
      </c>
      <c r="C289" t="str">
        <f t="shared" si="18"/>
        <v>prog_char string_289[] PROGMEM = "il";</v>
      </c>
      <c r="D289" t="str">
        <f t="shared" si="19"/>
        <v>string_289,</v>
      </c>
      <c r="E289">
        <f t="shared" si="16"/>
        <v>2</v>
      </c>
      <c r="H289" t="s">
        <v>288</v>
      </c>
      <c r="I289">
        <f t="shared" si="17"/>
        <v>0</v>
      </c>
      <c r="K289" t="s">
        <v>288</v>
      </c>
    </row>
    <row r="290" spans="1:11">
      <c r="A290">
        <v>290</v>
      </c>
      <c r="B290" t="s">
        <v>233</v>
      </c>
      <c r="C290" t="str">
        <f t="shared" si="18"/>
        <v>prog_char string_290[] PROGMEM = "ill";</v>
      </c>
      <c r="D290" t="str">
        <f t="shared" si="19"/>
        <v>string_290,</v>
      </c>
      <c r="E290">
        <f t="shared" si="16"/>
        <v>3</v>
      </c>
      <c r="H290" t="s">
        <v>289</v>
      </c>
      <c r="I290">
        <f t="shared" si="17"/>
        <v>0</v>
      </c>
      <c r="K290" t="s">
        <v>289</v>
      </c>
    </row>
    <row r="291" spans="1:11">
      <c r="A291">
        <v>291</v>
      </c>
      <c r="B291" t="s">
        <v>234</v>
      </c>
      <c r="C291" t="str">
        <f t="shared" si="18"/>
        <v>prog_char string_291[] PROGMEM = "im";</v>
      </c>
      <c r="D291" t="str">
        <f t="shared" si="19"/>
        <v>string_291,</v>
      </c>
      <c r="E291">
        <f t="shared" si="16"/>
        <v>2</v>
      </c>
      <c r="H291" t="s">
        <v>290</v>
      </c>
      <c r="I291">
        <f t="shared" si="17"/>
        <v>0</v>
      </c>
      <c r="K291" t="s">
        <v>290</v>
      </c>
    </row>
    <row r="292" spans="1:11">
      <c r="A292">
        <v>292</v>
      </c>
      <c r="B292" t="s">
        <v>236</v>
      </c>
      <c r="C292" t="str">
        <f t="shared" si="18"/>
        <v>prog_char string_292[] PROGMEM = "in";</v>
      </c>
      <c r="D292" t="str">
        <f t="shared" si="19"/>
        <v>string_292,</v>
      </c>
      <c r="E292">
        <f t="shared" si="16"/>
        <v>2</v>
      </c>
      <c r="H292" t="s">
        <v>291</v>
      </c>
      <c r="I292">
        <f t="shared" si="17"/>
        <v>1</v>
      </c>
      <c r="K292" t="s">
        <v>291</v>
      </c>
    </row>
    <row r="293" spans="1:11">
      <c r="A293">
        <v>293</v>
      </c>
      <c r="B293" t="s">
        <v>1918</v>
      </c>
      <c r="C293" t="str">
        <f t="shared" si="18"/>
        <v>prog_char string_293[] PROGMEM = "ina";</v>
      </c>
      <c r="D293" t="str">
        <f t="shared" si="19"/>
        <v>string_293,</v>
      </c>
      <c r="E293">
        <f t="shared" si="16"/>
        <v>3</v>
      </c>
      <c r="H293" t="s">
        <v>292</v>
      </c>
      <c r="I293">
        <f t="shared" si="17"/>
        <v>0</v>
      </c>
      <c r="K293" t="s">
        <v>292</v>
      </c>
    </row>
    <row r="294" spans="1:11">
      <c r="A294">
        <v>294</v>
      </c>
      <c r="B294" t="s">
        <v>1936</v>
      </c>
      <c r="C294" t="str">
        <f t="shared" si="18"/>
        <v>prog_char string_294[] PROGMEM = "inc";</v>
      </c>
      <c r="D294" t="str">
        <f t="shared" si="19"/>
        <v>string_294,</v>
      </c>
      <c r="E294">
        <f t="shared" si="16"/>
        <v>3</v>
      </c>
      <c r="H294" t="s">
        <v>293</v>
      </c>
      <c r="I294">
        <f t="shared" si="17"/>
        <v>1</v>
      </c>
      <c r="K294" t="s">
        <v>293</v>
      </c>
    </row>
    <row r="295" spans="1:11">
      <c r="A295">
        <v>295</v>
      </c>
      <c r="B295" t="s">
        <v>1891</v>
      </c>
      <c r="C295" t="str">
        <f t="shared" si="18"/>
        <v>prog_char string_295[] PROGMEM = "ind";</v>
      </c>
      <c r="D295" t="str">
        <f t="shared" si="19"/>
        <v>string_295,</v>
      </c>
      <c r="E295">
        <f t="shared" si="16"/>
        <v>3</v>
      </c>
      <c r="H295" t="s">
        <v>294</v>
      </c>
      <c r="I295">
        <f t="shared" si="17"/>
        <v>1</v>
      </c>
      <c r="K295" t="s">
        <v>294</v>
      </c>
    </row>
    <row r="296" spans="1:11">
      <c r="A296">
        <v>296</v>
      </c>
      <c r="B296" t="s">
        <v>239</v>
      </c>
      <c r="C296" t="str">
        <f t="shared" si="18"/>
        <v>prog_char string_296[] PROGMEM = "ine";</v>
      </c>
      <c r="D296" t="str">
        <f t="shared" si="19"/>
        <v>string_296,</v>
      </c>
      <c r="E296">
        <f t="shared" si="16"/>
        <v>3</v>
      </c>
      <c r="H296" t="s">
        <v>295</v>
      </c>
      <c r="I296">
        <f t="shared" si="17"/>
        <v>2</v>
      </c>
      <c r="K296" t="s">
        <v>295</v>
      </c>
    </row>
    <row r="297" spans="1:11">
      <c r="A297">
        <v>297</v>
      </c>
      <c r="B297" t="s">
        <v>241</v>
      </c>
      <c r="C297" t="str">
        <f t="shared" si="18"/>
        <v>prog_char string_297[] PROGMEM = "ing";</v>
      </c>
      <c r="D297" t="str">
        <f t="shared" si="19"/>
        <v>string_297,</v>
      </c>
      <c r="E297">
        <f t="shared" si="16"/>
        <v>3</v>
      </c>
      <c r="H297" t="s">
        <v>296</v>
      </c>
      <c r="I297">
        <f t="shared" si="17"/>
        <v>1</v>
      </c>
      <c r="K297" t="s">
        <v>296</v>
      </c>
    </row>
    <row r="298" spans="1:11">
      <c r="A298">
        <v>298</v>
      </c>
      <c r="B298" t="s">
        <v>1949</v>
      </c>
      <c r="C298" t="str">
        <f t="shared" si="18"/>
        <v>prog_char string_298[] PROGMEM = "ins";</v>
      </c>
      <c r="D298" t="str">
        <f t="shared" si="19"/>
        <v>string_298,</v>
      </c>
      <c r="E298">
        <f t="shared" si="16"/>
        <v>3</v>
      </c>
      <c r="H298" t="s">
        <v>297</v>
      </c>
      <c r="I298">
        <f t="shared" si="17"/>
        <v>0</v>
      </c>
      <c r="K298" t="s">
        <v>297</v>
      </c>
    </row>
    <row r="299" spans="1:11">
      <c r="A299">
        <v>299</v>
      </c>
      <c r="B299" t="s">
        <v>242</v>
      </c>
      <c r="C299" t="str">
        <f t="shared" si="18"/>
        <v>prog_char string_299[] PROGMEM = "int";</v>
      </c>
      <c r="D299" t="str">
        <f t="shared" si="19"/>
        <v>string_299,</v>
      </c>
      <c r="E299">
        <f t="shared" si="16"/>
        <v>3</v>
      </c>
      <c r="H299" t="s">
        <v>298</v>
      </c>
      <c r="I299">
        <f t="shared" si="17"/>
        <v>0</v>
      </c>
      <c r="K299" t="s">
        <v>298</v>
      </c>
    </row>
    <row r="300" spans="1:11">
      <c r="A300">
        <v>300</v>
      </c>
      <c r="B300" t="s">
        <v>244</v>
      </c>
      <c r="C300" t="str">
        <f t="shared" si="18"/>
        <v>prog_char string_300[] PROGMEM = "io";</v>
      </c>
      <c r="D300" t="str">
        <f t="shared" si="19"/>
        <v>string_300,</v>
      </c>
      <c r="E300">
        <f t="shared" si="16"/>
        <v>2</v>
      </c>
      <c r="H300" t="s">
        <v>299</v>
      </c>
      <c r="I300">
        <f t="shared" si="17"/>
        <v>0</v>
      </c>
      <c r="K300" t="s">
        <v>299</v>
      </c>
    </row>
    <row r="301" spans="1:11">
      <c r="A301">
        <v>301</v>
      </c>
      <c r="B301" t="s">
        <v>245</v>
      </c>
      <c r="C301" t="str">
        <f t="shared" si="18"/>
        <v>prog_char string_301[] PROGMEM = "ion";</v>
      </c>
      <c r="D301" t="str">
        <f t="shared" si="19"/>
        <v>string_301,</v>
      </c>
      <c r="E301">
        <f t="shared" si="16"/>
        <v>3</v>
      </c>
      <c r="H301" t="s">
        <v>300</v>
      </c>
      <c r="I301">
        <f t="shared" si="17"/>
        <v>1</v>
      </c>
      <c r="K301" t="s">
        <v>300</v>
      </c>
    </row>
    <row r="302" spans="1:11">
      <c r="A302">
        <v>302</v>
      </c>
      <c r="B302" t="s">
        <v>247</v>
      </c>
      <c r="C302" t="str">
        <f t="shared" si="18"/>
        <v>prog_char string_302[] PROGMEM = "ir";</v>
      </c>
      <c r="D302" t="str">
        <f t="shared" si="19"/>
        <v>string_302,</v>
      </c>
      <c r="E302">
        <f t="shared" si="16"/>
        <v>2</v>
      </c>
      <c r="H302" t="s">
        <v>301</v>
      </c>
      <c r="I302">
        <f t="shared" si="17"/>
        <v>1</v>
      </c>
      <c r="K302" t="s">
        <v>301</v>
      </c>
    </row>
    <row r="303" spans="1:11">
      <c r="A303">
        <v>303</v>
      </c>
      <c r="B303" t="s">
        <v>1987</v>
      </c>
      <c r="C303" t="str">
        <f t="shared" si="18"/>
        <v>prog_char string_303[] PROGMEM = "ire";</v>
      </c>
      <c r="D303" t="str">
        <f t="shared" si="19"/>
        <v>string_303,</v>
      </c>
      <c r="E303">
        <f t="shared" si="16"/>
        <v>3</v>
      </c>
      <c r="H303" t="s">
        <v>302</v>
      </c>
      <c r="I303">
        <f t="shared" si="17"/>
        <v>1</v>
      </c>
      <c r="K303" t="s">
        <v>302</v>
      </c>
    </row>
    <row r="304" spans="1:11">
      <c r="A304">
        <v>304</v>
      </c>
      <c r="B304" t="s">
        <v>248</v>
      </c>
      <c r="C304" t="str">
        <f t="shared" si="18"/>
        <v>prog_char string_304[] PROGMEM = "is";</v>
      </c>
      <c r="D304" t="str">
        <f t="shared" si="19"/>
        <v>string_304,</v>
      </c>
      <c r="E304">
        <f t="shared" si="16"/>
        <v>2</v>
      </c>
      <c r="H304" t="s">
        <v>303</v>
      </c>
      <c r="I304">
        <f t="shared" si="17"/>
        <v>2</v>
      </c>
      <c r="K304" t="s">
        <v>303</v>
      </c>
    </row>
    <row r="305" spans="1:11">
      <c r="A305">
        <v>305</v>
      </c>
      <c r="B305" t="s">
        <v>249</v>
      </c>
      <c r="C305" t="str">
        <f t="shared" si="18"/>
        <v>prog_char string_305[] PROGMEM = "ist";</v>
      </c>
      <c r="D305" t="str">
        <f t="shared" si="19"/>
        <v>string_305,</v>
      </c>
      <c r="E305">
        <f t="shared" si="16"/>
        <v>3</v>
      </c>
      <c r="H305" t="s">
        <v>304</v>
      </c>
      <c r="I305">
        <f t="shared" si="17"/>
        <v>2</v>
      </c>
      <c r="K305" t="s">
        <v>304</v>
      </c>
    </row>
    <row r="306" spans="1:11">
      <c r="A306">
        <v>306</v>
      </c>
      <c r="B306" t="s">
        <v>250</v>
      </c>
      <c r="C306" t="str">
        <f t="shared" si="18"/>
        <v>prog_char string_306[] PROGMEM = "it";</v>
      </c>
      <c r="D306" t="str">
        <f t="shared" si="19"/>
        <v>string_306,</v>
      </c>
      <c r="E306">
        <f t="shared" si="16"/>
        <v>2</v>
      </c>
      <c r="H306" t="s">
        <v>305</v>
      </c>
      <c r="I306">
        <f t="shared" si="17"/>
        <v>0</v>
      </c>
      <c r="K306" t="s">
        <v>305</v>
      </c>
    </row>
    <row r="307" spans="1:11">
      <c r="A307">
        <v>307</v>
      </c>
      <c r="B307" t="s">
        <v>251</v>
      </c>
      <c r="C307" t="str">
        <f t="shared" si="18"/>
        <v>prog_char string_307[] PROGMEM = "ite";</v>
      </c>
      <c r="D307" t="str">
        <f t="shared" si="19"/>
        <v>string_307,</v>
      </c>
      <c r="E307">
        <f t="shared" si="16"/>
        <v>3</v>
      </c>
      <c r="H307" t="s">
        <v>306</v>
      </c>
      <c r="I307">
        <f t="shared" si="17"/>
        <v>0</v>
      </c>
      <c r="K307" t="s">
        <v>306</v>
      </c>
    </row>
    <row r="308" spans="1:11">
      <c r="A308">
        <v>308</v>
      </c>
      <c r="B308" t="s">
        <v>254</v>
      </c>
      <c r="C308" t="str">
        <f t="shared" si="18"/>
        <v>prog_char string_308[] PROGMEM = "ith";</v>
      </c>
      <c r="D308" t="str">
        <f t="shared" si="19"/>
        <v>string_308,</v>
      </c>
      <c r="E308">
        <f t="shared" si="16"/>
        <v>3</v>
      </c>
      <c r="H308" t="s">
        <v>307</v>
      </c>
      <c r="I308">
        <f t="shared" si="17"/>
        <v>0</v>
      </c>
      <c r="K308" t="s">
        <v>307</v>
      </c>
    </row>
    <row r="309" spans="1:11">
      <c r="A309">
        <v>309</v>
      </c>
      <c r="B309" t="s">
        <v>255</v>
      </c>
      <c r="C309" t="str">
        <f t="shared" si="18"/>
        <v>prog_char string_309[] PROGMEM = "iti";</v>
      </c>
      <c r="D309" t="str">
        <f t="shared" si="19"/>
        <v>string_309,</v>
      </c>
      <c r="E309">
        <f t="shared" si="16"/>
        <v>3</v>
      </c>
      <c r="H309" t="s">
        <v>308</v>
      </c>
      <c r="I309">
        <f t="shared" si="17"/>
        <v>2</v>
      </c>
      <c r="K309" t="s">
        <v>308</v>
      </c>
    </row>
    <row r="310" spans="1:11">
      <c r="A310">
        <v>310</v>
      </c>
      <c r="B310" t="s">
        <v>257</v>
      </c>
      <c r="C310" t="str">
        <f t="shared" si="18"/>
        <v>prog_char string_310[] PROGMEM = "ity";</v>
      </c>
      <c r="D310" t="str">
        <f t="shared" si="19"/>
        <v>string_310,</v>
      </c>
      <c r="E310">
        <f t="shared" si="16"/>
        <v>3</v>
      </c>
      <c r="H310" t="s">
        <v>309</v>
      </c>
      <c r="I310">
        <f t="shared" si="17"/>
        <v>1</v>
      </c>
      <c r="K310" t="s">
        <v>309</v>
      </c>
    </row>
    <row r="311" spans="1:11">
      <c r="A311">
        <v>311</v>
      </c>
      <c r="B311" t="s">
        <v>258</v>
      </c>
      <c r="C311" t="str">
        <f t="shared" si="18"/>
        <v>prog_char string_311[] PROGMEM = "iv";</v>
      </c>
      <c r="D311" t="str">
        <f t="shared" si="19"/>
        <v>string_311,</v>
      </c>
      <c r="E311">
        <f t="shared" si="16"/>
        <v>2</v>
      </c>
      <c r="H311" t="s">
        <v>310</v>
      </c>
      <c r="I311">
        <f t="shared" si="17"/>
        <v>0</v>
      </c>
      <c r="K311" t="s">
        <v>310</v>
      </c>
    </row>
    <row r="312" spans="1:11">
      <c r="A312">
        <v>312</v>
      </c>
      <c r="B312" t="s">
        <v>259</v>
      </c>
      <c r="C312" t="str">
        <f t="shared" si="18"/>
        <v>prog_char string_312[] PROGMEM = "ive";</v>
      </c>
      <c r="D312" t="str">
        <f t="shared" si="19"/>
        <v>string_312,</v>
      </c>
      <c r="E312">
        <f t="shared" si="16"/>
        <v>3</v>
      </c>
      <c r="H312" t="s">
        <v>311</v>
      </c>
      <c r="I312">
        <f t="shared" si="17"/>
        <v>1</v>
      </c>
      <c r="K312" t="s">
        <v>311</v>
      </c>
    </row>
    <row r="313" spans="1:11">
      <c r="A313">
        <v>313</v>
      </c>
      <c r="B313" t="s">
        <v>261</v>
      </c>
      <c r="C313" t="str">
        <f t="shared" si="18"/>
        <v>prog_char string_313[] PROGMEM = "just";</v>
      </c>
      <c r="D313" t="str">
        <f t="shared" si="19"/>
        <v>string_313,</v>
      </c>
      <c r="E313">
        <f t="shared" si="16"/>
        <v>4</v>
      </c>
      <c r="H313" t="s">
        <v>312</v>
      </c>
      <c r="I313">
        <f t="shared" si="17"/>
        <v>0</v>
      </c>
      <c r="K313" t="s">
        <v>312</v>
      </c>
    </row>
    <row r="314" spans="1:11">
      <c r="A314">
        <v>314</v>
      </c>
      <c r="B314" t="s">
        <v>262</v>
      </c>
      <c r="C314" t="str">
        <f t="shared" si="18"/>
        <v>prog_char string_314[] PROGMEM = "ke";</v>
      </c>
      <c r="D314" t="str">
        <f t="shared" si="19"/>
        <v>string_314,</v>
      </c>
      <c r="E314">
        <f t="shared" si="16"/>
        <v>2</v>
      </c>
      <c r="H314" t="s">
        <v>313</v>
      </c>
      <c r="I314">
        <f t="shared" si="17"/>
        <v>0</v>
      </c>
      <c r="K314" t="s">
        <v>313</v>
      </c>
    </row>
    <row r="315" spans="1:11">
      <c r="A315">
        <v>315</v>
      </c>
      <c r="B315" t="s">
        <v>679</v>
      </c>
      <c r="C315" t="str">
        <f t="shared" si="18"/>
        <v>prog_char string_315[] PROGMEM = "keep";</v>
      </c>
      <c r="D315" t="str">
        <f t="shared" si="19"/>
        <v>string_315,</v>
      </c>
      <c r="E315">
        <f t="shared" si="16"/>
        <v>4</v>
      </c>
      <c r="H315" t="s">
        <v>314</v>
      </c>
      <c r="I315">
        <f t="shared" si="17"/>
        <v>0</v>
      </c>
      <c r="K315" t="s">
        <v>314</v>
      </c>
    </row>
    <row r="316" spans="1:11">
      <c r="A316">
        <v>316</v>
      </c>
      <c r="B316" t="s">
        <v>655</v>
      </c>
      <c r="C316" t="str">
        <f t="shared" si="18"/>
        <v>prog_char string_316[] PROGMEM = "kind";</v>
      </c>
      <c r="D316" t="str">
        <f t="shared" si="19"/>
        <v>string_316,</v>
      </c>
      <c r="E316">
        <f t="shared" si="16"/>
        <v>4</v>
      </c>
      <c r="H316" t="s">
        <v>315</v>
      </c>
      <c r="I316">
        <f t="shared" si="17"/>
        <v>0</v>
      </c>
      <c r="K316" t="s">
        <v>315</v>
      </c>
    </row>
    <row r="317" spans="1:11">
      <c r="A317">
        <v>317</v>
      </c>
      <c r="B317" t="s">
        <v>778</v>
      </c>
      <c r="C317" t="str">
        <f t="shared" si="18"/>
        <v>prog_char string_317[] PROGMEM = "knew";</v>
      </c>
      <c r="D317" t="str">
        <f t="shared" si="19"/>
        <v>string_317,</v>
      </c>
      <c r="E317">
        <f t="shared" si="16"/>
        <v>4</v>
      </c>
      <c r="H317" t="s">
        <v>316</v>
      </c>
      <c r="I317">
        <f t="shared" si="17"/>
        <v>0</v>
      </c>
      <c r="K317" t="s">
        <v>316</v>
      </c>
    </row>
    <row r="318" spans="1:11">
      <c r="A318">
        <v>318</v>
      </c>
      <c r="B318" t="s">
        <v>264</v>
      </c>
      <c r="C318" t="str">
        <f t="shared" si="18"/>
        <v>prog_char string_318[] PROGMEM = "know";</v>
      </c>
      <c r="D318" t="str">
        <f t="shared" si="19"/>
        <v>string_318,</v>
      </c>
      <c r="E318">
        <f t="shared" si="16"/>
        <v>4</v>
      </c>
      <c r="H318" t="s">
        <v>317</v>
      </c>
      <c r="I318">
        <f t="shared" si="17"/>
        <v>1</v>
      </c>
      <c r="K318" t="s">
        <v>317</v>
      </c>
    </row>
    <row r="319" spans="1:11">
      <c r="A319">
        <v>319</v>
      </c>
      <c r="B319" t="s">
        <v>265</v>
      </c>
      <c r="C319" t="str">
        <f t="shared" si="18"/>
        <v>prog_char string_319[] PROGMEM = "la";</v>
      </c>
      <c r="D319" t="str">
        <f t="shared" si="19"/>
        <v>string_319,</v>
      </c>
      <c r="E319">
        <f t="shared" si="16"/>
        <v>2</v>
      </c>
      <c r="H319" t="s">
        <v>318</v>
      </c>
      <c r="I319">
        <f t="shared" si="17"/>
        <v>1</v>
      </c>
      <c r="K319" t="s">
        <v>318</v>
      </c>
    </row>
    <row r="320" spans="1:11">
      <c r="A320">
        <v>320</v>
      </c>
      <c r="B320" t="s">
        <v>1910</v>
      </c>
      <c r="C320" t="str">
        <f t="shared" si="18"/>
        <v>prog_char string_320[] PROGMEM = "lan";</v>
      </c>
      <c r="D320" t="str">
        <f t="shared" si="19"/>
        <v>string_320,</v>
      </c>
      <c r="E320">
        <f t="shared" si="16"/>
        <v>3</v>
      </c>
      <c r="H320" t="s">
        <v>319</v>
      </c>
      <c r="I320">
        <f t="shared" si="17"/>
        <v>2</v>
      </c>
      <c r="K320" t="s">
        <v>319</v>
      </c>
    </row>
    <row r="321" spans="1:11">
      <c r="A321">
        <v>321</v>
      </c>
      <c r="B321" t="s">
        <v>650</v>
      </c>
      <c r="C321" t="str">
        <f t="shared" si="18"/>
        <v>prog_char string_321[] PROGMEM = "land";</v>
      </c>
      <c r="D321" t="str">
        <f t="shared" si="19"/>
        <v>string_321,</v>
      </c>
      <c r="E321">
        <f t="shared" ref="E321:E384" si="20">LEN(B321)</f>
        <v>4</v>
      </c>
      <c r="H321" t="s">
        <v>320</v>
      </c>
      <c r="I321">
        <f t="shared" ref="I321:I384" si="21">IF(ISNUMBER(FIND("e",H321)),1,0)+IF(ISNUMBER(FIND("n",H321)),1,0)</f>
        <v>1</v>
      </c>
      <c r="K321" t="s">
        <v>320</v>
      </c>
    </row>
    <row r="322" spans="1:11">
      <c r="A322">
        <v>322</v>
      </c>
      <c r="B322" t="s">
        <v>648</v>
      </c>
      <c r="C322" t="str">
        <f t="shared" ref="C322:C326" si="22">"prog_char string_"&amp;A322&amp;"[] PROGMEM = """&amp;B322&amp;""";"</f>
        <v>prog_char string_322[] PROGMEM = "large";</v>
      </c>
      <c r="D322" t="str">
        <f t="shared" ref="D322:D326" si="23">"string_" &amp; A322 &amp; ","</f>
        <v>string_322,</v>
      </c>
      <c r="E322">
        <f t="shared" si="20"/>
        <v>5</v>
      </c>
      <c r="H322" t="s">
        <v>321</v>
      </c>
      <c r="I322">
        <f t="shared" si="21"/>
        <v>2</v>
      </c>
      <c r="K322" t="s">
        <v>321</v>
      </c>
    </row>
    <row r="323" spans="1:11">
      <c r="A323">
        <v>323</v>
      </c>
      <c r="B323" t="s">
        <v>266</v>
      </c>
      <c r="C323" t="str">
        <f t="shared" si="22"/>
        <v>prog_char string_323[] PROGMEM = "last";</v>
      </c>
      <c r="D323" t="str">
        <f t="shared" si="23"/>
        <v>string_323,</v>
      </c>
      <c r="E323">
        <f t="shared" si="20"/>
        <v>4</v>
      </c>
      <c r="H323" t="s">
        <v>322</v>
      </c>
      <c r="I323">
        <f t="shared" si="21"/>
        <v>1</v>
      </c>
      <c r="K323" t="s">
        <v>322</v>
      </c>
    </row>
    <row r="324" spans="1:11">
      <c r="A324">
        <v>324</v>
      </c>
      <c r="B324" t="s">
        <v>1996</v>
      </c>
      <c r="C324" t="str">
        <f t="shared" si="22"/>
        <v>prog_char string_324[] PROGMEM = "lat";</v>
      </c>
      <c r="D324" t="str">
        <f t="shared" si="23"/>
        <v>string_324,</v>
      </c>
      <c r="E324">
        <f t="shared" si="20"/>
        <v>3</v>
      </c>
      <c r="H324" t="s">
        <v>323</v>
      </c>
      <c r="I324">
        <f t="shared" si="21"/>
        <v>2</v>
      </c>
      <c r="K324" t="s">
        <v>323</v>
      </c>
    </row>
    <row r="325" spans="1:11">
      <c r="A325">
        <v>325</v>
      </c>
      <c r="B325" t="s">
        <v>696</v>
      </c>
      <c r="C325" t="str">
        <f t="shared" si="22"/>
        <v>prog_char string_325[] PROGMEM = "late";</v>
      </c>
      <c r="D325" t="str">
        <f t="shared" si="23"/>
        <v>string_325,</v>
      </c>
      <c r="E325">
        <f t="shared" si="20"/>
        <v>4</v>
      </c>
      <c r="H325" t="s">
        <v>324</v>
      </c>
      <c r="I325">
        <f t="shared" si="21"/>
        <v>2</v>
      </c>
      <c r="K325" t="s">
        <v>324</v>
      </c>
    </row>
    <row r="326" spans="1:11">
      <c r="A326">
        <v>326</v>
      </c>
      <c r="B326" t="s">
        <v>810</v>
      </c>
      <c r="C326" t="str">
        <f t="shared" si="22"/>
        <v>prog_char string_326[] PROGMEM = "lay";</v>
      </c>
      <c r="D326" t="str">
        <f t="shared" si="23"/>
        <v>string_326,</v>
      </c>
      <c r="E326">
        <f t="shared" si="20"/>
        <v>3</v>
      </c>
      <c r="H326" t="s">
        <v>325</v>
      </c>
      <c r="I326">
        <f t="shared" si="21"/>
        <v>2</v>
      </c>
      <c r="K326" t="s">
        <v>325</v>
      </c>
    </row>
    <row r="327" spans="1:11">
      <c r="A327">
        <v>327</v>
      </c>
      <c r="B327" t="s">
        <v>267</v>
      </c>
      <c r="C327" t="str">
        <f t="shared" ref="C327:C390" si="24">"prog_char string_"&amp;A327&amp;"[] PROGMEM = """&amp;B327&amp;""";"</f>
        <v>prog_char string_327[] PROGMEM = "ld";</v>
      </c>
      <c r="D327" t="str">
        <f t="shared" ref="D327:D390" si="25">"string_" &amp; A327 &amp; ","</f>
        <v>string_327,</v>
      </c>
      <c r="E327">
        <f t="shared" si="20"/>
        <v>2</v>
      </c>
      <c r="H327" t="s">
        <v>326</v>
      </c>
      <c r="I327">
        <f t="shared" si="21"/>
        <v>2</v>
      </c>
      <c r="K327" t="s">
        <v>326</v>
      </c>
    </row>
    <row r="328" spans="1:11">
      <c r="A328">
        <v>328</v>
      </c>
      <c r="B328" t="s">
        <v>268</v>
      </c>
      <c r="C328" t="str">
        <f t="shared" si="24"/>
        <v>prog_char string_328[] PROGMEM = "le";</v>
      </c>
      <c r="D328" t="str">
        <f t="shared" si="25"/>
        <v>string_328,</v>
      </c>
      <c r="E328">
        <f t="shared" si="20"/>
        <v>2</v>
      </c>
      <c r="H328" t="s">
        <v>327</v>
      </c>
      <c r="I328">
        <f t="shared" si="21"/>
        <v>2</v>
      </c>
      <c r="K328" t="s">
        <v>327</v>
      </c>
    </row>
    <row r="329" spans="1:11">
      <c r="A329">
        <v>329</v>
      </c>
      <c r="B329" t="s">
        <v>1942</v>
      </c>
      <c r="C329" t="str">
        <f t="shared" si="24"/>
        <v>prog_char string_329[] PROGMEM = "lea";</v>
      </c>
      <c r="D329" t="str">
        <f t="shared" si="25"/>
        <v>string_329,</v>
      </c>
      <c r="E329">
        <f t="shared" si="20"/>
        <v>3</v>
      </c>
      <c r="H329" t="s">
        <v>328</v>
      </c>
      <c r="I329">
        <f t="shared" si="21"/>
        <v>2</v>
      </c>
      <c r="K329" t="s">
        <v>328</v>
      </c>
    </row>
    <row r="330" spans="1:11">
      <c r="A330">
        <v>330</v>
      </c>
      <c r="B330" t="s">
        <v>832</v>
      </c>
      <c r="C330" t="str">
        <f t="shared" si="24"/>
        <v>prog_char string_330[] PROGMEM = "lead";</v>
      </c>
      <c r="D330" t="str">
        <f t="shared" si="25"/>
        <v>string_330,</v>
      </c>
      <c r="E330">
        <f t="shared" si="20"/>
        <v>4</v>
      </c>
      <c r="H330" t="s">
        <v>329</v>
      </c>
      <c r="I330">
        <f t="shared" si="21"/>
        <v>1</v>
      </c>
      <c r="K330" t="s">
        <v>329</v>
      </c>
    </row>
    <row r="331" spans="1:11">
      <c r="A331">
        <v>331</v>
      </c>
      <c r="B331" t="s">
        <v>673</v>
      </c>
      <c r="C331" t="str">
        <f t="shared" si="24"/>
        <v>prog_char string_331[] PROGMEM = "learn";</v>
      </c>
      <c r="D331" t="str">
        <f t="shared" si="25"/>
        <v>string_331,</v>
      </c>
      <c r="E331">
        <f t="shared" si="20"/>
        <v>5</v>
      </c>
      <c r="H331" t="s">
        <v>330</v>
      </c>
      <c r="I331">
        <f t="shared" si="21"/>
        <v>1</v>
      </c>
      <c r="K331" t="s">
        <v>330</v>
      </c>
    </row>
    <row r="332" spans="1:11">
      <c r="A332">
        <v>332</v>
      </c>
      <c r="B332" t="s">
        <v>761</v>
      </c>
      <c r="C332" t="str">
        <f t="shared" si="24"/>
        <v>prog_char string_332[] PROGMEM = "leave";</v>
      </c>
      <c r="D332" t="str">
        <f t="shared" si="25"/>
        <v>string_332,</v>
      </c>
      <c r="E332">
        <f t="shared" si="20"/>
        <v>5</v>
      </c>
      <c r="H332" t="s">
        <v>331</v>
      </c>
      <c r="I332">
        <f t="shared" si="21"/>
        <v>1</v>
      </c>
      <c r="K332" t="s">
        <v>331</v>
      </c>
    </row>
    <row r="333" spans="1:11">
      <c r="A333">
        <v>333</v>
      </c>
      <c r="B333" t="s">
        <v>695</v>
      </c>
      <c r="C333" t="str">
        <f t="shared" si="24"/>
        <v>prog_char string_333[] PROGMEM = "left";</v>
      </c>
      <c r="D333" t="str">
        <f t="shared" si="25"/>
        <v>string_333,</v>
      </c>
      <c r="E333">
        <f t="shared" si="20"/>
        <v>4</v>
      </c>
      <c r="H333" t="s">
        <v>332</v>
      </c>
      <c r="I333">
        <f t="shared" si="21"/>
        <v>1</v>
      </c>
      <c r="K333" t="s">
        <v>332</v>
      </c>
    </row>
    <row r="334" spans="1:11">
      <c r="A334">
        <v>334</v>
      </c>
      <c r="B334" t="s">
        <v>1889</v>
      </c>
      <c r="C334" t="str">
        <f t="shared" si="24"/>
        <v>prog_char string_334[] PROGMEM = "les";</v>
      </c>
      <c r="D334" t="str">
        <f t="shared" si="25"/>
        <v>string_334,</v>
      </c>
      <c r="E334">
        <f t="shared" si="20"/>
        <v>3</v>
      </c>
      <c r="H334" t="s">
        <v>333</v>
      </c>
      <c r="I334">
        <f t="shared" si="21"/>
        <v>1</v>
      </c>
      <c r="K334" t="s">
        <v>333</v>
      </c>
    </row>
    <row r="335" spans="1:11">
      <c r="A335">
        <v>335</v>
      </c>
      <c r="B335" t="s">
        <v>802</v>
      </c>
      <c r="C335" t="str">
        <f t="shared" si="24"/>
        <v>prog_char string_335[] PROGMEM = "less";</v>
      </c>
      <c r="D335" t="str">
        <f t="shared" si="25"/>
        <v>string_335,</v>
      </c>
      <c r="E335">
        <f t="shared" si="20"/>
        <v>4</v>
      </c>
      <c r="H335" t="s">
        <v>334</v>
      </c>
      <c r="I335">
        <f t="shared" si="21"/>
        <v>1</v>
      </c>
      <c r="K335" t="s">
        <v>334</v>
      </c>
    </row>
    <row r="336" spans="1:11">
      <c r="A336">
        <v>336</v>
      </c>
      <c r="B336" t="s">
        <v>682</v>
      </c>
      <c r="C336" t="str">
        <f t="shared" si="24"/>
        <v>prog_char string_336[] PROGMEM = "let";</v>
      </c>
      <c r="D336" t="str">
        <f t="shared" si="25"/>
        <v>string_336,</v>
      </c>
      <c r="E336">
        <f t="shared" si="20"/>
        <v>3</v>
      </c>
      <c r="H336" t="s">
        <v>335</v>
      </c>
      <c r="I336">
        <f t="shared" si="21"/>
        <v>1</v>
      </c>
      <c r="K336" t="s">
        <v>335</v>
      </c>
    </row>
    <row r="337" spans="1:11">
      <c r="A337">
        <v>337</v>
      </c>
      <c r="B337" t="s">
        <v>717</v>
      </c>
      <c r="C337" t="str">
        <f t="shared" si="24"/>
        <v>prog_char string_337[] PROGMEM = "letter";</v>
      </c>
      <c r="D337" t="str">
        <f t="shared" si="25"/>
        <v>string_337,</v>
      </c>
      <c r="E337">
        <f t="shared" si="20"/>
        <v>6</v>
      </c>
      <c r="H337" t="s">
        <v>336</v>
      </c>
      <c r="I337">
        <f t="shared" si="21"/>
        <v>1</v>
      </c>
      <c r="K337" t="s">
        <v>336</v>
      </c>
    </row>
    <row r="338" spans="1:11">
      <c r="A338">
        <v>338</v>
      </c>
      <c r="B338" t="s">
        <v>270</v>
      </c>
      <c r="C338" t="str">
        <f t="shared" si="24"/>
        <v>prog_char string_338[] PROGMEM = "li";</v>
      </c>
      <c r="D338" t="str">
        <f t="shared" si="25"/>
        <v>string_338,</v>
      </c>
      <c r="E338">
        <f t="shared" si="20"/>
        <v>2</v>
      </c>
      <c r="H338" t="s">
        <v>337</v>
      </c>
      <c r="I338">
        <f t="shared" si="21"/>
        <v>1</v>
      </c>
      <c r="K338" t="s">
        <v>337</v>
      </c>
    </row>
    <row r="339" spans="1:11">
      <c r="A339">
        <v>339</v>
      </c>
      <c r="B339" t="s">
        <v>1921</v>
      </c>
      <c r="C339" t="str">
        <f t="shared" si="24"/>
        <v>prog_char string_339[] PROGMEM = "lic";</v>
      </c>
      <c r="D339" t="str">
        <f t="shared" si="25"/>
        <v>string_339,</v>
      </c>
      <c r="E339">
        <f t="shared" si="20"/>
        <v>3</v>
      </c>
      <c r="H339" t="s">
        <v>338</v>
      </c>
      <c r="I339">
        <f t="shared" si="21"/>
        <v>2</v>
      </c>
      <c r="K339" t="s">
        <v>338</v>
      </c>
    </row>
    <row r="340" spans="1:11">
      <c r="A340">
        <v>340</v>
      </c>
      <c r="B340" t="s">
        <v>271</v>
      </c>
      <c r="C340" t="str">
        <f t="shared" si="24"/>
        <v>prog_char string_340[] PROGMEM = "life";</v>
      </c>
      <c r="D340" t="str">
        <f t="shared" si="25"/>
        <v>string_340,</v>
      </c>
      <c r="E340">
        <f t="shared" si="20"/>
        <v>4</v>
      </c>
      <c r="H340" t="s">
        <v>339</v>
      </c>
      <c r="I340">
        <f t="shared" si="21"/>
        <v>1</v>
      </c>
      <c r="K340" t="s">
        <v>339</v>
      </c>
    </row>
    <row r="341" spans="1:11">
      <c r="A341">
        <v>341</v>
      </c>
      <c r="B341" t="s">
        <v>654</v>
      </c>
      <c r="C341" t="str">
        <f t="shared" si="24"/>
        <v>prog_char string_341[] PROGMEM = "light";</v>
      </c>
      <c r="D341" t="str">
        <f t="shared" si="25"/>
        <v>string_341,</v>
      </c>
      <c r="E341">
        <f t="shared" si="20"/>
        <v>5</v>
      </c>
      <c r="H341" t="s">
        <v>340</v>
      </c>
      <c r="I341">
        <f t="shared" si="21"/>
        <v>1</v>
      </c>
      <c r="K341" t="s">
        <v>340</v>
      </c>
    </row>
    <row r="342" spans="1:11">
      <c r="A342">
        <v>342</v>
      </c>
      <c r="B342" t="s">
        <v>272</v>
      </c>
      <c r="C342" t="str">
        <f t="shared" si="24"/>
        <v>prog_char string_342[] PROGMEM = "like";</v>
      </c>
      <c r="D342" t="str">
        <f t="shared" si="25"/>
        <v>string_342,</v>
      </c>
      <c r="E342">
        <f t="shared" si="20"/>
        <v>4</v>
      </c>
      <c r="H342" t="s">
        <v>341</v>
      </c>
      <c r="I342">
        <f t="shared" si="21"/>
        <v>2</v>
      </c>
      <c r="K342" t="s">
        <v>341</v>
      </c>
    </row>
    <row r="343" spans="1:11">
      <c r="A343">
        <v>343</v>
      </c>
      <c r="B343" t="s">
        <v>273</v>
      </c>
      <c r="C343" t="str">
        <f t="shared" si="24"/>
        <v>prog_char string_343[] PROGMEM = "lin";</v>
      </c>
      <c r="D343" t="str">
        <f t="shared" si="25"/>
        <v>string_343,</v>
      </c>
      <c r="E343">
        <f t="shared" si="20"/>
        <v>3</v>
      </c>
      <c r="H343" t="s">
        <v>342</v>
      </c>
      <c r="I343">
        <f t="shared" si="21"/>
        <v>0</v>
      </c>
      <c r="K343" t="s">
        <v>342</v>
      </c>
    </row>
    <row r="344" spans="1:11">
      <c r="A344">
        <v>344</v>
      </c>
      <c r="B344" t="s">
        <v>274</v>
      </c>
      <c r="C344" t="str">
        <f t="shared" si="24"/>
        <v>prog_char string_344[] PROGMEM = "line";</v>
      </c>
      <c r="D344" t="str">
        <f t="shared" si="25"/>
        <v>string_344,</v>
      </c>
      <c r="E344">
        <f t="shared" si="20"/>
        <v>4</v>
      </c>
      <c r="H344" t="s">
        <v>343</v>
      </c>
      <c r="I344">
        <f t="shared" si="21"/>
        <v>0</v>
      </c>
      <c r="K344" t="s">
        <v>343</v>
      </c>
    </row>
    <row r="345" spans="1:11">
      <c r="A345">
        <v>345</v>
      </c>
      <c r="B345" t="s">
        <v>1983</v>
      </c>
      <c r="C345" t="str">
        <f t="shared" si="24"/>
        <v>prog_char string_345[] PROGMEM = "lis";</v>
      </c>
      <c r="D345" t="str">
        <f t="shared" si="25"/>
        <v>string_345,</v>
      </c>
      <c r="E345">
        <f t="shared" si="20"/>
        <v>3</v>
      </c>
      <c r="H345" t="s">
        <v>344</v>
      </c>
      <c r="I345">
        <f t="shared" si="21"/>
        <v>0</v>
      </c>
      <c r="K345" t="s">
        <v>344</v>
      </c>
    </row>
    <row r="346" spans="1:11">
      <c r="A346">
        <v>346</v>
      </c>
      <c r="B346" t="s">
        <v>277</v>
      </c>
      <c r="C346" t="str">
        <f t="shared" si="24"/>
        <v>prog_char string_346[] PROGMEM = "list";</v>
      </c>
      <c r="D346" t="str">
        <f t="shared" si="25"/>
        <v>string_346,</v>
      </c>
      <c r="E346">
        <f t="shared" si="20"/>
        <v>4</v>
      </c>
      <c r="H346" t="s">
        <v>345</v>
      </c>
      <c r="I346">
        <f t="shared" si="21"/>
        <v>0</v>
      </c>
      <c r="K346" t="s">
        <v>345</v>
      </c>
    </row>
    <row r="347" spans="1:11">
      <c r="A347">
        <v>347</v>
      </c>
      <c r="B347" t="s">
        <v>1999</v>
      </c>
      <c r="C347" t="str">
        <f t="shared" si="24"/>
        <v>prog_char string_347[] PROGMEM = "lit";</v>
      </c>
      <c r="D347" t="str">
        <f t="shared" si="25"/>
        <v>string_347,</v>
      </c>
      <c r="E347">
        <f t="shared" si="20"/>
        <v>3</v>
      </c>
      <c r="H347" t="s">
        <v>346</v>
      </c>
      <c r="I347">
        <f t="shared" si="21"/>
        <v>0</v>
      </c>
      <c r="K347" t="s">
        <v>346</v>
      </c>
    </row>
    <row r="348" spans="1:11">
      <c r="A348">
        <v>348</v>
      </c>
      <c r="B348" t="s">
        <v>279</v>
      </c>
      <c r="C348" t="str">
        <f t="shared" si="24"/>
        <v>prog_char string_348[] PROGMEM = "little";</v>
      </c>
      <c r="D348" t="str">
        <f t="shared" si="25"/>
        <v>string_348,</v>
      </c>
      <c r="E348">
        <f t="shared" si="20"/>
        <v>6</v>
      </c>
      <c r="H348" t="s">
        <v>347</v>
      </c>
      <c r="I348">
        <f t="shared" si="21"/>
        <v>0</v>
      </c>
      <c r="K348" t="s">
        <v>347</v>
      </c>
    </row>
    <row r="349" spans="1:11">
      <c r="A349">
        <v>349</v>
      </c>
      <c r="B349" t="s">
        <v>628</v>
      </c>
      <c r="C349" t="str">
        <f t="shared" si="24"/>
        <v>prog_char string_349[] PROGMEM = "live";</v>
      </c>
      <c r="D349" t="str">
        <f t="shared" si="25"/>
        <v>string_349,</v>
      </c>
      <c r="E349">
        <f t="shared" si="20"/>
        <v>4</v>
      </c>
      <c r="H349" t="s">
        <v>348</v>
      </c>
      <c r="I349">
        <f t="shared" si="21"/>
        <v>1</v>
      </c>
      <c r="K349" t="s">
        <v>348</v>
      </c>
    </row>
    <row r="350" spans="1:11">
      <c r="A350">
        <v>350</v>
      </c>
      <c r="B350" t="s">
        <v>280</v>
      </c>
      <c r="C350" t="str">
        <f t="shared" si="24"/>
        <v>prog_char string_350[] PROGMEM = "ll";</v>
      </c>
      <c r="D350" t="str">
        <f t="shared" si="25"/>
        <v>string_350,</v>
      </c>
      <c r="E350">
        <f t="shared" si="20"/>
        <v>2</v>
      </c>
      <c r="H350" t="s">
        <v>349</v>
      </c>
      <c r="I350">
        <f t="shared" si="21"/>
        <v>0</v>
      </c>
      <c r="K350" t="s">
        <v>349</v>
      </c>
    </row>
    <row r="351" spans="1:11">
      <c r="A351">
        <v>351</v>
      </c>
      <c r="B351" t="s">
        <v>1957</v>
      </c>
      <c r="C351" t="str">
        <f t="shared" si="24"/>
        <v>prog_char string_351[] PROGMEM = "lle";</v>
      </c>
      <c r="D351" t="str">
        <f t="shared" si="25"/>
        <v>string_351,</v>
      </c>
      <c r="E351">
        <f t="shared" si="20"/>
        <v>3</v>
      </c>
      <c r="H351" t="s">
        <v>350</v>
      </c>
      <c r="I351">
        <f t="shared" si="21"/>
        <v>0</v>
      </c>
      <c r="K351" t="s">
        <v>350</v>
      </c>
    </row>
    <row r="352" spans="1:11">
      <c r="A352">
        <v>352</v>
      </c>
      <c r="B352" t="s">
        <v>281</v>
      </c>
      <c r="C352" t="str">
        <f t="shared" si="24"/>
        <v>prog_char string_352[] PROGMEM = "lo";</v>
      </c>
      <c r="D352" t="str">
        <f t="shared" si="25"/>
        <v>string_352,</v>
      </c>
      <c r="E352">
        <f t="shared" si="20"/>
        <v>2</v>
      </c>
      <c r="H352" t="s">
        <v>351</v>
      </c>
      <c r="I352">
        <f t="shared" si="21"/>
        <v>0</v>
      </c>
      <c r="K352" t="s">
        <v>351</v>
      </c>
    </row>
    <row r="353" spans="1:11">
      <c r="A353">
        <v>353</v>
      </c>
      <c r="B353" t="s">
        <v>284</v>
      </c>
      <c r="C353" t="str">
        <f t="shared" si="24"/>
        <v>prog_char string_353[] PROGMEM = "long";</v>
      </c>
      <c r="D353" t="str">
        <f t="shared" si="25"/>
        <v>string_353,</v>
      </c>
      <c r="E353">
        <f t="shared" si="20"/>
        <v>4</v>
      </c>
      <c r="H353" t="s">
        <v>352</v>
      </c>
      <c r="I353">
        <f t="shared" si="21"/>
        <v>0</v>
      </c>
      <c r="K353" t="s">
        <v>352</v>
      </c>
    </row>
    <row r="354" spans="1:11">
      <c r="A354">
        <v>354</v>
      </c>
      <c r="B354" t="s">
        <v>624</v>
      </c>
      <c r="C354" t="str">
        <f t="shared" si="24"/>
        <v>prog_char string_354[] PROGMEM = "look";</v>
      </c>
      <c r="D354" t="str">
        <f t="shared" si="25"/>
        <v>string_354,</v>
      </c>
      <c r="E354">
        <f t="shared" si="20"/>
        <v>4</v>
      </c>
      <c r="H354" t="s">
        <v>353</v>
      </c>
      <c r="I354">
        <f t="shared" si="21"/>
        <v>0</v>
      </c>
      <c r="K354" t="s">
        <v>353</v>
      </c>
    </row>
    <row r="355" spans="1:11">
      <c r="A355">
        <v>355</v>
      </c>
      <c r="B355" t="s">
        <v>1083</v>
      </c>
      <c r="C355" t="str">
        <f t="shared" si="24"/>
        <v>prog_char string_355[] PROGMEM = "lot";</v>
      </c>
      <c r="D355" t="str">
        <f t="shared" si="25"/>
        <v>string_355,</v>
      </c>
      <c r="E355">
        <f t="shared" si="20"/>
        <v>3</v>
      </c>
      <c r="H355" t="s">
        <v>354</v>
      </c>
      <c r="I355">
        <f t="shared" si="21"/>
        <v>1</v>
      </c>
      <c r="K355" t="s">
        <v>354</v>
      </c>
    </row>
    <row r="356" spans="1:11">
      <c r="A356">
        <v>356</v>
      </c>
      <c r="B356" t="s">
        <v>814</v>
      </c>
      <c r="C356" t="str">
        <f t="shared" si="24"/>
        <v>prog_char string_356[] PROGMEM = "love";</v>
      </c>
      <c r="D356" t="str">
        <f t="shared" si="25"/>
        <v>string_356,</v>
      </c>
      <c r="E356">
        <f t="shared" si="20"/>
        <v>4</v>
      </c>
      <c r="H356" t="s">
        <v>355</v>
      </c>
      <c r="I356">
        <f t="shared" si="21"/>
        <v>1</v>
      </c>
      <c r="K356" t="s">
        <v>355</v>
      </c>
    </row>
    <row r="357" spans="1:11">
      <c r="A357">
        <v>357</v>
      </c>
      <c r="B357" t="s">
        <v>285</v>
      </c>
      <c r="C357" t="str">
        <f t="shared" si="24"/>
        <v>prog_char string_357[] PROGMEM = "low";</v>
      </c>
      <c r="D357" t="str">
        <f t="shared" si="25"/>
        <v>string_357,</v>
      </c>
      <c r="E357">
        <f t="shared" si="20"/>
        <v>3</v>
      </c>
      <c r="H357" t="s">
        <v>356</v>
      </c>
      <c r="I357">
        <f t="shared" si="21"/>
        <v>1</v>
      </c>
      <c r="K357" t="s">
        <v>356</v>
      </c>
    </row>
    <row r="358" spans="1:11">
      <c r="A358">
        <v>358</v>
      </c>
      <c r="B358" t="s">
        <v>286</v>
      </c>
      <c r="C358" t="str">
        <f t="shared" si="24"/>
        <v>prog_char string_358[] PROGMEM = "ls";</v>
      </c>
      <c r="D358" t="str">
        <f t="shared" si="25"/>
        <v>string_358,</v>
      </c>
      <c r="E358">
        <f t="shared" si="20"/>
        <v>2</v>
      </c>
      <c r="H358" t="s">
        <v>357</v>
      </c>
      <c r="I358">
        <f t="shared" si="21"/>
        <v>2</v>
      </c>
      <c r="K358" t="s">
        <v>357</v>
      </c>
    </row>
    <row r="359" spans="1:11">
      <c r="A359">
        <v>359</v>
      </c>
      <c r="B359" t="s">
        <v>287</v>
      </c>
      <c r="C359" t="str">
        <f t="shared" si="24"/>
        <v>prog_char string_359[] PROGMEM = "lt";</v>
      </c>
      <c r="D359" t="str">
        <f t="shared" si="25"/>
        <v>string_359,</v>
      </c>
      <c r="E359">
        <f t="shared" si="20"/>
        <v>2</v>
      </c>
      <c r="H359" t="s">
        <v>358</v>
      </c>
      <c r="I359">
        <f t="shared" si="21"/>
        <v>2</v>
      </c>
      <c r="K359" t="s">
        <v>358</v>
      </c>
    </row>
    <row r="360" spans="1:11">
      <c r="A360">
        <v>360</v>
      </c>
      <c r="B360" t="s">
        <v>289</v>
      </c>
      <c r="C360" t="str">
        <f t="shared" si="24"/>
        <v>prog_char string_360[] PROGMEM = "ly";</v>
      </c>
      <c r="D360" t="str">
        <f t="shared" si="25"/>
        <v>string_360,</v>
      </c>
      <c r="E360">
        <f t="shared" si="20"/>
        <v>2</v>
      </c>
      <c r="H360" t="s">
        <v>359</v>
      </c>
      <c r="I360">
        <f t="shared" si="21"/>
        <v>1</v>
      </c>
      <c r="K360" t="s">
        <v>359</v>
      </c>
    </row>
    <row r="361" spans="1:11">
      <c r="A361">
        <v>361</v>
      </c>
      <c r="B361" t="s">
        <v>293</v>
      </c>
      <c r="C361" t="str">
        <f t="shared" si="24"/>
        <v>prog_char string_361[] PROGMEM = "main";</v>
      </c>
      <c r="D361" t="str">
        <f t="shared" si="25"/>
        <v>string_361,</v>
      </c>
      <c r="E361">
        <f t="shared" si="20"/>
        <v>4</v>
      </c>
      <c r="H361" t="s">
        <v>360</v>
      </c>
      <c r="I361">
        <f t="shared" si="21"/>
        <v>1</v>
      </c>
      <c r="K361" t="s">
        <v>360</v>
      </c>
    </row>
    <row r="362" spans="1:11">
      <c r="A362">
        <v>362</v>
      </c>
      <c r="B362" t="s">
        <v>294</v>
      </c>
      <c r="C362" t="str">
        <f t="shared" si="24"/>
        <v>prog_char string_362[] PROGMEM = "make";</v>
      </c>
      <c r="D362" t="str">
        <f t="shared" si="25"/>
        <v>string_362,</v>
      </c>
      <c r="E362">
        <f t="shared" si="20"/>
        <v>4</v>
      </c>
      <c r="H362" t="s">
        <v>361</v>
      </c>
      <c r="I362">
        <f t="shared" si="21"/>
        <v>1</v>
      </c>
      <c r="K362" t="s">
        <v>361</v>
      </c>
    </row>
    <row r="363" spans="1:11">
      <c r="A363">
        <v>363</v>
      </c>
      <c r="B363" t="s">
        <v>630</v>
      </c>
      <c r="C363" t="str">
        <f t="shared" si="24"/>
        <v>prog_char string_363[] PROGMEM = "man";</v>
      </c>
      <c r="D363" t="str">
        <f t="shared" si="25"/>
        <v>string_363,</v>
      </c>
      <c r="E363">
        <f t="shared" si="20"/>
        <v>3</v>
      </c>
      <c r="H363" t="s">
        <v>362</v>
      </c>
      <c r="I363">
        <f t="shared" si="21"/>
        <v>0</v>
      </c>
      <c r="K363" t="s">
        <v>362</v>
      </c>
    </row>
    <row r="364" spans="1:11">
      <c r="A364">
        <v>364</v>
      </c>
      <c r="B364" t="s">
        <v>296</v>
      </c>
      <c r="C364" t="str">
        <f t="shared" si="24"/>
        <v>prog_char string_364[] PROGMEM = "many";</v>
      </c>
      <c r="D364" t="str">
        <f t="shared" si="25"/>
        <v>string_364,</v>
      </c>
      <c r="E364">
        <f t="shared" si="20"/>
        <v>4</v>
      </c>
      <c r="H364" t="s">
        <v>363</v>
      </c>
      <c r="I364">
        <f t="shared" si="21"/>
        <v>0</v>
      </c>
      <c r="K364" t="s">
        <v>363</v>
      </c>
    </row>
    <row r="365" spans="1:11">
      <c r="A365">
        <v>365</v>
      </c>
      <c r="B365" t="s">
        <v>1923</v>
      </c>
      <c r="C365" t="str">
        <f t="shared" si="24"/>
        <v>prog_char string_365[] PROGMEM = "mat";</v>
      </c>
      <c r="D365" t="str">
        <f t="shared" si="25"/>
        <v>string_365,</v>
      </c>
      <c r="E365">
        <f t="shared" si="20"/>
        <v>3</v>
      </c>
      <c r="H365" t="s">
        <v>364</v>
      </c>
      <c r="I365">
        <f t="shared" si="21"/>
        <v>2</v>
      </c>
      <c r="K365" t="s">
        <v>364</v>
      </c>
    </row>
    <row r="366" spans="1:11">
      <c r="A366">
        <v>366</v>
      </c>
      <c r="B366" t="s">
        <v>298</v>
      </c>
      <c r="C366" t="str">
        <f t="shared" si="24"/>
        <v>prog_char string_366[] PROGMEM = "may";</v>
      </c>
      <c r="D366" t="str">
        <f t="shared" si="25"/>
        <v>string_366,</v>
      </c>
      <c r="E366">
        <f t="shared" si="20"/>
        <v>3</v>
      </c>
      <c r="H366" t="s">
        <v>365</v>
      </c>
      <c r="I366">
        <f t="shared" si="21"/>
        <v>0</v>
      </c>
      <c r="K366" t="s">
        <v>365</v>
      </c>
    </row>
    <row r="367" spans="1:11">
      <c r="A367">
        <v>367</v>
      </c>
      <c r="B367" t="s">
        <v>300</v>
      </c>
      <c r="C367" t="str">
        <f t="shared" si="24"/>
        <v>prog_char string_367[] PROGMEM = "me";</v>
      </c>
      <c r="D367" t="str">
        <f t="shared" si="25"/>
        <v>string_367,</v>
      </c>
      <c r="E367">
        <f t="shared" si="20"/>
        <v>2</v>
      </c>
      <c r="H367" t="s">
        <v>366</v>
      </c>
      <c r="I367">
        <f t="shared" si="21"/>
        <v>1</v>
      </c>
      <c r="K367" t="s">
        <v>366</v>
      </c>
    </row>
    <row r="368" spans="1:11">
      <c r="A368">
        <v>368</v>
      </c>
      <c r="B368" t="s">
        <v>638</v>
      </c>
      <c r="C368" t="str">
        <f t="shared" si="24"/>
        <v>prog_char string_368[] PROGMEM = "mean";</v>
      </c>
      <c r="D368" t="str">
        <f t="shared" si="25"/>
        <v>string_368,</v>
      </c>
      <c r="E368">
        <f t="shared" si="20"/>
        <v>4</v>
      </c>
      <c r="H368" t="s">
        <v>367</v>
      </c>
      <c r="I368">
        <f t="shared" si="21"/>
        <v>1</v>
      </c>
      <c r="K368" t="s">
        <v>367</v>
      </c>
    </row>
    <row r="369" spans="1:11">
      <c r="A369">
        <v>369</v>
      </c>
      <c r="B369" t="s">
        <v>303</v>
      </c>
      <c r="C369" t="str">
        <f t="shared" si="24"/>
        <v>prog_char string_369[] PROGMEM = "men";</v>
      </c>
      <c r="D369" t="str">
        <f t="shared" si="25"/>
        <v>string_369,</v>
      </c>
      <c r="E369">
        <f t="shared" si="20"/>
        <v>3</v>
      </c>
      <c r="H369" t="s">
        <v>368</v>
      </c>
      <c r="I369">
        <f t="shared" si="21"/>
        <v>0</v>
      </c>
      <c r="K369" t="s">
        <v>368</v>
      </c>
    </row>
    <row r="370" spans="1:11">
      <c r="A370">
        <v>370</v>
      </c>
      <c r="B370" t="s">
        <v>305</v>
      </c>
      <c r="C370" t="str">
        <f t="shared" si="24"/>
        <v>prog_char string_370[] PROGMEM = "mi";</v>
      </c>
      <c r="D370" t="str">
        <f t="shared" si="25"/>
        <v>string_370,</v>
      </c>
      <c r="E370">
        <f t="shared" si="20"/>
        <v>2</v>
      </c>
      <c r="H370" t="s">
        <v>369</v>
      </c>
      <c r="I370">
        <f t="shared" si="21"/>
        <v>0</v>
      </c>
      <c r="K370" t="s">
        <v>369</v>
      </c>
    </row>
    <row r="371" spans="1:11">
      <c r="A371">
        <v>371</v>
      </c>
      <c r="B371" t="s">
        <v>689</v>
      </c>
      <c r="C371" t="str">
        <f t="shared" si="24"/>
        <v>prog_char string_371[] PROGMEM = "might";</v>
      </c>
      <c r="D371" t="str">
        <f t="shared" si="25"/>
        <v>string_371,</v>
      </c>
      <c r="E371">
        <f t="shared" si="20"/>
        <v>5</v>
      </c>
      <c r="H371" t="s">
        <v>370</v>
      </c>
      <c r="I371">
        <f t="shared" si="21"/>
        <v>0</v>
      </c>
      <c r="K371" t="s">
        <v>370</v>
      </c>
    </row>
    <row r="372" spans="1:11">
      <c r="A372">
        <v>372</v>
      </c>
      <c r="B372" t="s">
        <v>1946</v>
      </c>
      <c r="C372" t="str">
        <f t="shared" si="24"/>
        <v>prog_char string_372[] PROGMEM = "min";</v>
      </c>
      <c r="D372" t="str">
        <f t="shared" si="25"/>
        <v>string_372,</v>
      </c>
      <c r="E372">
        <f t="shared" si="20"/>
        <v>3</v>
      </c>
      <c r="H372" t="s">
        <v>371</v>
      </c>
      <c r="I372">
        <f t="shared" si="21"/>
        <v>0</v>
      </c>
      <c r="K372" t="s">
        <v>371</v>
      </c>
    </row>
    <row r="373" spans="1:11">
      <c r="A373">
        <v>373</v>
      </c>
      <c r="B373" t="s">
        <v>866</v>
      </c>
      <c r="C373" t="str">
        <f t="shared" si="24"/>
        <v>prog_char string_373[] PROGMEM = "mind";</v>
      </c>
      <c r="D373" t="str">
        <f t="shared" si="25"/>
        <v>string_373,</v>
      </c>
      <c r="E373">
        <f t="shared" si="20"/>
        <v>4</v>
      </c>
      <c r="H373" t="s">
        <v>372</v>
      </c>
      <c r="I373">
        <f t="shared" si="21"/>
        <v>1</v>
      </c>
      <c r="K373" t="s">
        <v>372</v>
      </c>
    </row>
    <row r="374" spans="1:11">
      <c r="A374">
        <v>374</v>
      </c>
      <c r="B374" t="s">
        <v>904</v>
      </c>
      <c r="C374" t="str">
        <f t="shared" si="24"/>
        <v>prog_char string_374[] PROGMEM = "miss";</v>
      </c>
      <c r="D374" t="str">
        <f t="shared" si="25"/>
        <v>string_374,</v>
      </c>
      <c r="E374">
        <f t="shared" si="20"/>
        <v>4</v>
      </c>
      <c r="H374" t="s">
        <v>373</v>
      </c>
      <c r="I374">
        <f t="shared" si="21"/>
        <v>0</v>
      </c>
      <c r="K374" t="s">
        <v>373</v>
      </c>
    </row>
    <row r="375" spans="1:11">
      <c r="A375">
        <v>375</v>
      </c>
      <c r="B375" t="s">
        <v>307</v>
      </c>
      <c r="C375" t="str">
        <f t="shared" si="24"/>
        <v>prog_char string_375[] PROGMEM = "mo";</v>
      </c>
      <c r="D375" t="str">
        <f t="shared" si="25"/>
        <v>string_375,</v>
      </c>
      <c r="E375">
        <f t="shared" si="20"/>
        <v>2</v>
      </c>
      <c r="H375" t="s">
        <v>374</v>
      </c>
      <c r="I375">
        <f t="shared" si="21"/>
        <v>0</v>
      </c>
      <c r="K375" t="s">
        <v>374</v>
      </c>
    </row>
    <row r="376" spans="1:11">
      <c r="A376">
        <v>376</v>
      </c>
      <c r="B376" t="s">
        <v>308</v>
      </c>
      <c r="C376" t="str">
        <f t="shared" si="24"/>
        <v>prog_char string_376[] PROGMEM = "money";</v>
      </c>
      <c r="D376" t="str">
        <f t="shared" si="25"/>
        <v>string_376,</v>
      </c>
      <c r="E376">
        <f t="shared" si="20"/>
        <v>5</v>
      </c>
      <c r="H376" t="s">
        <v>375</v>
      </c>
      <c r="I376">
        <f t="shared" si="21"/>
        <v>0</v>
      </c>
      <c r="K376" t="s">
        <v>375</v>
      </c>
    </row>
    <row r="377" spans="1:11">
      <c r="A377">
        <v>377</v>
      </c>
      <c r="B377" t="s">
        <v>1959</v>
      </c>
      <c r="C377" t="str">
        <f t="shared" si="24"/>
        <v>prog_char string_377[] PROGMEM = "mor";</v>
      </c>
      <c r="D377" t="str">
        <f t="shared" si="25"/>
        <v>string_377,</v>
      </c>
      <c r="E377">
        <f t="shared" si="20"/>
        <v>3</v>
      </c>
      <c r="H377" t="s">
        <v>376</v>
      </c>
      <c r="I377">
        <f t="shared" si="21"/>
        <v>1</v>
      </c>
      <c r="K377" t="s">
        <v>376</v>
      </c>
    </row>
    <row r="378" spans="1:11">
      <c r="A378">
        <v>378</v>
      </c>
      <c r="B378" t="s">
        <v>309</v>
      </c>
      <c r="C378" t="str">
        <f t="shared" si="24"/>
        <v>prog_char string_378[] PROGMEM = "more";</v>
      </c>
      <c r="D378" t="str">
        <f t="shared" si="25"/>
        <v>string_378,</v>
      </c>
      <c r="E378">
        <f t="shared" si="20"/>
        <v>4</v>
      </c>
      <c r="H378" t="s">
        <v>377</v>
      </c>
      <c r="I378">
        <f t="shared" si="21"/>
        <v>0</v>
      </c>
      <c r="K378" t="s">
        <v>377</v>
      </c>
    </row>
    <row r="379" spans="1:11">
      <c r="A379">
        <v>379</v>
      </c>
      <c r="B379" t="s">
        <v>310</v>
      </c>
      <c r="C379" t="str">
        <f t="shared" si="24"/>
        <v>prog_char string_379[] PROGMEM = "most";</v>
      </c>
      <c r="D379" t="str">
        <f t="shared" si="25"/>
        <v>string_379,</v>
      </c>
      <c r="E379">
        <f t="shared" si="20"/>
        <v>4</v>
      </c>
      <c r="H379" t="s">
        <v>378</v>
      </c>
      <c r="I379">
        <f t="shared" si="21"/>
        <v>0</v>
      </c>
      <c r="K379" t="s">
        <v>378</v>
      </c>
    </row>
    <row r="380" spans="1:11">
      <c r="A380">
        <v>380</v>
      </c>
      <c r="B380" t="s">
        <v>639</v>
      </c>
      <c r="C380" t="str">
        <f t="shared" si="24"/>
        <v>prog_char string_380[] PROGMEM = "move";</v>
      </c>
      <c r="D380" t="str">
        <f t="shared" si="25"/>
        <v>string_380,</v>
      </c>
      <c r="E380">
        <f t="shared" si="20"/>
        <v>4</v>
      </c>
      <c r="H380" t="s">
        <v>379</v>
      </c>
      <c r="I380">
        <f t="shared" si="21"/>
        <v>0</v>
      </c>
      <c r="K380" t="s">
        <v>379</v>
      </c>
    </row>
    <row r="381" spans="1:11">
      <c r="A381">
        <v>381</v>
      </c>
      <c r="B381" t="s">
        <v>312</v>
      </c>
      <c r="C381" t="str">
        <f t="shared" si="24"/>
        <v>prog_char string_381[] PROGMEM = "mp";</v>
      </c>
      <c r="D381" t="str">
        <f t="shared" si="25"/>
        <v>string_381,</v>
      </c>
      <c r="E381">
        <f t="shared" si="20"/>
        <v>2</v>
      </c>
      <c r="H381" t="s">
        <v>380</v>
      </c>
      <c r="I381">
        <f t="shared" si="21"/>
        <v>1</v>
      </c>
      <c r="K381" t="s">
        <v>380</v>
      </c>
    </row>
    <row r="382" spans="1:11">
      <c r="A382">
        <v>382</v>
      </c>
      <c r="B382" t="s">
        <v>314</v>
      </c>
      <c r="C382" t="str">
        <f t="shared" si="24"/>
        <v>prog_char string_382[] PROGMEM = "much";</v>
      </c>
      <c r="D382" t="str">
        <f t="shared" si="25"/>
        <v>string_382,</v>
      </c>
      <c r="E382">
        <f t="shared" si="20"/>
        <v>4</v>
      </c>
      <c r="H382" t="s">
        <v>381</v>
      </c>
      <c r="I382">
        <f t="shared" si="21"/>
        <v>0</v>
      </c>
      <c r="K382" t="s">
        <v>381</v>
      </c>
    </row>
    <row r="383" spans="1:11">
      <c r="A383">
        <v>383</v>
      </c>
      <c r="B383" t="s">
        <v>714</v>
      </c>
      <c r="C383" t="str">
        <f t="shared" si="24"/>
        <v>prog_char string_383[] PROGMEM = "music";</v>
      </c>
      <c r="D383" t="str">
        <f t="shared" si="25"/>
        <v>string_383,</v>
      </c>
      <c r="E383">
        <f t="shared" si="20"/>
        <v>5</v>
      </c>
      <c r="H383" t="s">
        <v>382</v>
      </c>
      <c r="I383">
        <f t="shared" si="21"/>
        <v>1</v>
      </c>
      <c r="K383" t="s">
        <v>382</v>
      </c>
    </row>
    <row r="384" spans="1:11">
      <c r="A384">
        <v>384</v>
      </c>
      <c r="B384" t="s">
        <v>315</v>
      </c>
      <c r="C384" t="str">
        <f t="shared" si="24"/>
        <v>prog_char string_384[] PROGMEM = "must";</v>
      </c>
      <c r="D384" t="str">
        <f t="shared" si="25"/>
        <v>string_384,</v>
      </c>
      <c r="E384">
        <f t="shared" si="20"/>
        <v>4</v>
      </c>
      <c r="H384" t="s">
        <v>383</v>
      </c>
      <c r="I384">
        <f t="shared" si="21"/>
        <v>0</v>
      </c>
      <c r="K384" t="s">
        <v>383</v>
      </c>
    </row>
    <row r="385" spans="1:11">
      <c r="A385">
        <v>385</v>
      </c>
      <c r="B385" t="s">
        <v>316</v>
      </c>
      <c r="C385" t="str">
        <f t="shared" si="24"/>
        <v>prog_char string_385[] PROGMEM = "my";</v>
      </c>
      <c r="D385" t="str">
        <f t="shared" si="25"/>
        <v>string_385,</v>
      </c>
      <c r="E385">
        <f t="shared" ref="E385:E448" si="26">LEN(B385)</f>
        <v>2</v>
      </c>
      <c r="H385" t="s">
        <v>384</v>
      </c>
      <c r="I385">
        <f t="shared" ref="I385:I448" si="27">IF(ISNUMBER(FIND("e",H385)),1,0)+IF(ISNUMBER(FIND("n",H385)),1,0)</f>
        <v>1</v>
      </c>
      <c r="K385" t="s">
        <v>384</v>
      </c>
    </row>
    <row r="386" spans="1:11">
      <c r="A386">
        <v>386</v>
      </c>
      <c r="B386" t="s">
        <v>317</v>
      </c>
      <c r="C386" t="str">
        <f t="shared" si="24"/>
        <v>prog_char string_386[] PROGMEM = "na";</v>
      </c>
      <c r="D386" t="str">
        <f t="shared" si="25"/>
        <v>string_386,</v>
      </c>
      <c r="E386">
        <f t="shared" si="26"/>
        <v>2</v>
      </c>
      <c r="H386" t="s">
        <v>385</v>
      </c>
      <c r="I386">
        <f t="shared" si="27"/>
        <v>1</v>
      </c>
      <c r="K386" t="s">
        <v>385</v>
      </c>
    </row>
    <row r="387" spans="1:11">
      <c r="A387">
        <v>387</v>
      </c>
      <c r="B387" t="s">
        <v>318</v>
      </c>
      <c r="C387" t="str">
        <f t="shared" si="24"/>
        <v>prog_char string_387[] PROGMEM = "nal";</v>
      </c>
      <c r="D387" t="str">
        <f t="shared" si="25"/>
        <v>string_387,</v>
      </c>
      <c r="E387">
        <f t="shared" si="26"/>
        <v>3</v>
      </c>
      <c r="H387" t="s">
        <v>386</v>
      </c>
      <c r="I387">
        <f t="shared" si="27"/>
        <v>0</v>
      </c>
      <c r="K387" t="s">
        <v>386</v>
      </c>
    </row>
    <row r="388" spans="1:11">
      <c r="A388">
        <v>388</v>
      </c>
      <c r="B388" t="s">
        <v>319</v>
      </c>
      <c r="C388" t="str">
        <f t="shared" si="24"/>
        <v>prog_char string_388[] PROGMEM = "name";</v>
      </c>
      <c r="D388" t="str">
        <f t="shared" si="25"/>
        <v>string_388,</v>
      </c>
      <c r="E388">
        <f t="shared" si="26"/>
        <v>4</v>
      </c>
      <c r="H388" t="s">
        <v>387</v>
      </c>
      <c r="I388">
        <f t="shared" si="27"/>
        <v>1</v>
      </c>
      <c r="K388" t="s">
        <v>387</v>
      </c>
    </row>
    <row r="389" spans="1:11">
      <c r="A389">
        <v>389</v>
      </c>
      <c r="B389" t="s">
        <v>320</v>
      </c>
      <c r="C389" t="str">
        <f t="shared" si="24"/>
        <v>prog_char string_389[] PROGMEM = "nc";</v>
      </c>
      <c r="D389" t="str">
        <f t="shared" si="25"/>
        <v>string_389,</v>
      </c>
      <c r="E389">
        <f t="shared" si="26"/>
        <v>2</v>
      </c>
      <c r="H389" t="s">
        <v>388</v>
      </c>
      <c r="I389">
        <f t="shared" si="27"/>
        <v>1</v>
      </c>
      <c r="K389" t="s">
        <v>388</v>
      </c>
    </row>
    <row r="390" spans="1:11">
      <c r="A390">
        <v>390</v>
      </c>
      <c r="B390" t="s">
        <v>321</v>
      </c>
      <c r="C390" t="str">
        <f t="shared" si="24"/>
        <v>prog_char string_390[] PROGMEM = "nce";</v>
      </c>
      <c r="D390" t="str">
        <f t="shared" si="25"/>
        <v>string_390,</v>
      </c>
      <c r="E390">
        <f t="shared" si="26"/>
        <v>3</v>
      </c>
      <c r="H390" t="s">
        <v>389</v>
      </c>
      <c r="I390">
        <f t="shared" si="27"/>
        <v>1</v>
      </c>
      <c r="K390" t="s">
        <v>389</v>
      </c>
    </row>
    <row r="391" spans="1:11">
      <c r="A391">
        <v>391</v>
      </c>
      <c r="B391" t="s">
        <v>322</v>
      </c>
      <c r="C391" t="str">
        <f t="shared" ref="C391:C454" si="28">"prog_char string_"&amp;A391&amp;"[] PROGMEM = """&amp;B391&amp;""";"</f>
        <v>prog_char string_391[] PROGMEM = "nd";</v>
      </c>
      <c r="D391" t="str">
        <f t="shared" ref="D391:D454" si="29">"string_" &amp; A391 &amp; ","</f>
        <v>string_391,</v>
      </c>
      <c r="E391">
        <f t="shared" si="26"/>
        <v>2</v>
      </c>
      <c r="H391" t="s">
        <v>390</v>
      </c>
      <c r="I391">
        <f t="shared" si="27"/>
        <v>2</v>
      </c>
      <c r="K391" t="s">
        <v>390</v>
      </c>
    </row>
    <row r="392" spans="1:11">
      <c r="A392">
        <v>392</v>
      </c>
      <c r="B392" t="s">
        <v>1972</v>
      </c>
      <c r="C392" t="str">
        <f t="shared" si="28"/>
        <v>prog_char string_392[] PROGMEM = "nda";</v>
      </c>
      <c r="D392" t="str">
        <f t="shared" si="29"/>
        <v>string_392,</v>
      </c>
      <c r="E392">
        <f t="shared" si="26"/>
        <v>3</v>
      </c>
      <c r="H392" t="s">
        <v>391</v>
      </c>
      <c r="I392">
        <f t="shared" si="27"/>
        <v>2</v>
      </c>
      <c r="K392" t="s">
        <v>391</v>
      </c>
    </row>
    <row r="393" spans="1:11">
      <c r="A393">
        <v>393</v>
      </c>
      <c r="B393" t="s">
        <v>1906</v>
      </c>
      <c r="C393" t="str">
        <f t="shared" si="28"/>
        <v>prog_char string_393[] PROGMEM = "nde";</v>
      </c>
      <c r="D393" t="str">
        <f t="shared" si="29"/>
        <v>string_393,</v>
      </c>
      <c r="E393">
        <f t="shared" si="26"/>
        <v>3</v>
      </c>
      <c r="H393" t="s">
        <v>392</v>
      </c>
      <c r="I393">
        <f t="shared" si="27"/>
        <v>0</v>
      </c>
      <c r="K393" t="s">
        <v>392</v>
      </c>
    </row>
    <row r="394" spans="1:11">
      <c r="A394">
        <v>394</v>
      </c>
      <c r="B394" t="s">
        <v>1941</v>
      </c>
      <c r="C394" t="str">
        <f t="shared" si="28"/>
        <v>prog_char string_394[] PROGMEM = "ndi";</v>
      </c>
      <c r="D394" t="str">
        <f t="shared" si="29"/>
        <v>string_394,</v>
      </c>
      <c r="E394">
        <f t="shared" si="26"/>
        <v>3</v>
      </c>
      <c r="H394" t="s">
        <v>393</v>
      </c>
      <c r="I394">
        <f t="shared" si="27"/>
        <v>0</v>
      </c>
      <c r="K394" t="s">
        <v>393</v>
      </c>
    </row>
    <row r="395" spans="1:11">
      <c r="A395">
        <v>395</v>
      </c>
      <c r="B395" t="s">
        <v>1997</v>
      </c>
      <c r="C395" t="str">
        <f t="shared" si="28"/>
        <v>prog_char string_395[] PROGMEM = "nds";</v>
      </c>
      <c r="D395" t="str">
        <f t="shared" si="29"/>
        <v>string_395,</v>
      </c>
      <c r="E395">
        <f t="shared" si="26"/>
        <v>3</v>
      </c>
      <c r="H395" t="s">
        <v>394</v>
      </c>
      <c r="I395">
        <f t="shared" si="27"/>
        <v>1</v>
      </c>
      <c r="K395" t="s">
        <v>394</v>
      </c>
    </row>
    <row r="396" spans="1:11">
      <c r="A396">
        <v>396</v>
      </c>
      <c r="B396" t="s">
        <v>323</v>
      </c>
      <c r="C396" t="str">
        <f t="shared" si="28"/>
        <v>prog_char string_396[] PROGMEM = "ne";</v>
      </c>
      <c r="D396" t="str">
        <f t="shared" si="29"/>
        <v>string_396,</v>
      </c>
      <c r="E396">
        <f t="shared" si="26"/>
        <v>2</v>
      </c>
      <c r="H396" t="s">
        <v>395</v>
      </c>
      <c r="I396">
        <f t="shared" si="27"/>
        <v>0</v>
      </c>
      <c r="K396" t="s">
        <v>395</v>
      </c>
    </row>
    <row r="397" spans="1:11">
      <c r="A397">
        <v>397</v>
      </c>
      <c r="B397" t="s">
        <v>662</v>
      </c>
      <c r="C397" t="str">
        <f t="shared" si="28"/>
        <v>prog_char string_397[] PROGMEM = "near";</v>
      </c>
      <c r="D397" t="str">
        <f t="shared" si="29"/>
        <v>string_397,</v>
      </c>
      <c r="E397">
        <f t="shared" si="26"/>
        <v>4</v>
      </c>
      <c r="H397" t="s">
        <v>396</v>
      </c>
      <c r="I397">
        <f t="shared" si="27"/>
        <v>1</v>
      </c>
      <c r="K397" t="s">
        <v>396</v>
      </c>
    </row>
    <row r="398" spans="1:11">
      <c r="A398">
        <v>398</v>
      </c>
      <c r="B398" t="s">
        <v>324</v>
      </c>
      <c r="C398" t="str">
        <f t="shared" si="28"/>
        <v>prog_char string_398[] PROGMEM = "need";</v>
      </c>
      <c r="D398" t="str">
        <f t="shared" si="29"/>
        <v>string_398,</v>
      </c>
      <c r="E398">
        <f t="shared" si="26"/>
        <v>4</v>
      </c>
      <c r="H398" t="s">
        <v>397</v>
      </c>
      <c r="I398">
        <f t="shared" si="27"/>
        <v>1</v>
      </c>
      <c r="K398" t="s">
        <v>397</v>
      </c>
    </row>
    <row r="399" spans="1:11">
      <c r="A399">
        <v>399</v>
      </c>
      <c r="B399" t="s">
        <v>1926</v>
      </c>
      <c r="C399" t="str">
        <f t="shared" si="28"/>
        <v>prog_char string_399[] PROGMEM = "nes";</v>
      </c>
      <c r="D399" t="str">
        <f t="shared" si="29"/>
        <v>string_399,</v>
      </c>
      <c r="E399">
        <f t="shared" si="26"/>
        <v>3</v>
      </c>
      <c r="H399" t="s">
        <v>398</v>
      </c>
      <c r="I399">
        <f t="shared" si="27"/>
        <v>0</v>
      </c>
      <c r="K399" t="s">
        <v>398</v>
      </c>
    </row>
    <row r="400" spans="1:11">
      <c r="A400">
        <v>400</v>
      </c>
      <c r="B400" t="s">
        <v>681</v>
      </c>
      <c r="C400" t="str">
        <f t="shared" si="28"/>
        <v>prog_char string_400[] PROGMEM = "never";</v>
      </c>
      <c r="D400" t="str">
        <f t="shared" si="29"/>
        <v>string_400,</v>
      </c>
      <c r="E400">
        <f t="shared" si="26"/>
        <v>5</v>
      </c>
      <c r="H400" t="s">
        <v>399</v>
      </c>
      <c r="I400">
        <f t="shared" si="27"/>
        <v>0</v>
      </c>
      <c r="K400" t="s">
        <v>399</v>
      </c>
    </row>
    <row r="401" spans="1:11">
      <c r="A401">
        <v>401</v>
      </c>
      <c r="B401" t="s">
        <v>326</v>
      </c>
      <c r="C401" t="str">
        <f t="shared" si="28"/>
        <v>prog_char string_401[] PROGMEM = "new";</v>
      </c>
      <c r="D401" t="str">
        <f t="shared" si="29"/>
        <v>string_401,</v>
      </c>
      <c r="E401">
        <f t="shared" si="26"/>
        <v>3</v>
      </c>
      <c r="H401" t="s">
        <v>400</v>
      </c>
      <c r="I401">
        <f t="shared" si="27"/>
        <v>0</v>
      </c>
      <c r="K401" t="s">
        <v>400</v>
      </c>
    </row>
    <row r="402" spans="1:11">
      <c r="A402">
        <v>402</v>
      </c>
      <c r="B402" t="s">
        <v>328</v>
      </c>
      <c r="C402" t="str">
        <f t="shared" si="28"/>
        <v>prog_char string_402[] PROGMEM = "next";</v>
      </c>
      <c r="D402" t="str">
        <f t="shared" si="29"/>
        <v>string_402,</v>
      </c>
      <c r="E402">
        <f t="shared" si="26"/>
        <v>4</v>
      </c>
      <c r="H402" t="s">
        <v>401</v>
      </c>
      <c r="I402">
        <f t="shared" si="27"/>
        <v>0</v>
      </c>
      <c r="K402" t="s">
        <v>401</v>
      </c>
    </row>
    <row r="403" spans="1:11">
      <c r="A403">
        <v>403</v>
      </c>
      <c r="B403" t="s">
        <v>330</v>
      </c>
      <c r="C403" t="str">
        <f t="shared" si="28"/>
        <v>prog_char string_403[] PROGMEM = "ng";</v>
      </c>
      <c r="D403" t="str">
        <f t="shared" si="29"/>
        <v>string_403,</v>
      </c>
      <c r="E403">
        <f t="shared" si="26"/>
        <v>2</v>
      </c>
      <c r="H403" t="s">
        <v>402</v>
      </c>
      <c r="I403">
        <f t="shared" si="27"/>
        <v>1</v>
      </c>
      <c r="K403" t="s">
        <v>402</v>
      </c>
    </row>
    <row r="404" spans="1:11">
      <c r="A404">
        <v>404</v>
      </c>
      <c r="B404" t="s">
        <v>1986</v>
      </c>
      <c r="C404" t="str">
        <f t="shared" si="28"/>
        <v>prog_char string_404[] PROGMEM = "ngt";</v>
      </c>
      <c r="D404" t="str">
        <f t="shared" si="29"/>
        <v>string_404,</v>
      </c>
      <c r="E404">
        <f t="shared" si="26"/>
        <v>3</v>
      </c>
      <c r="H404" t="s">
        <v>403</v>
      </c>
      <c r="I404">
        <f t="shared" si="27"/>
        <v>0</v>
      </c>
      <c r="K404" t="s">
        <v>403</v>
      </c>
    </row>
    <row r="405" spans="1:11">
      <c r="A405">
        <v>405</v>
      </c>
      <c r="B405" t="s">
        <v>331</v>
      </c>
      <c r="C405" t="str">
        <f t="shared" si="28"/>
        <v>prog_char string_405[] PROGMEM = "ni";</v>
      </c>
      <c r="D405" t="str">
        <f t="shared" si="29"/>
        <v>string_405,</v>
      </c>
      <c r="E405">
        <f t="shared" si="26"/>
        <v>2</v>
      </c>
      <c r="H405" t="s">
        <v>404</v>
      </c>
      <c r="I405">
        <f t="shared" si="27"/>
        <v>1</v>
      </c>
      <c r="K405" t="s">
        <v>404</v>
      </c>
    </row>
    <row r="406" spans="1:11">
      <c r="A406">
        <v>406</v>
      </c>
      <c r="B406" t="s">
        <v>701</v>
      </c>
      <c r="C406" t="str">
        <f t="shared" si="28"/>
        <v>prog_char string_406[] PROGMEM = "night";</v>
      </c>
      <c r="D406" t="str">
        <f t="shared" si="29"/>
        <v>string_406,</v>
      </c>
      <c r="E406">
        <f t="shared" si="26"/>
        <v>5</v>
      </c>
      <c r="H406" t="s">
        <v>405</v>
      </c>
      <c r="I406">
        <f t="shared" si="27"/>
        <v>0</v>
      </c>
      <c r="K406" t="s">
        <v>405</v>
      </c>
    </row>
    <row r="407" spans="1:11">
      <c r="A407">
        <v>407</v>
      </c>
      <c r="B407" t="s">
        <v>1945</v>
      </c>
      <c r="C407" t="str">
        <f t="shared" si="28"/>
        <v>prog_char string_407[] PROGMEM = "nin";</v>
      </c>
      <c r="D407" t="str">
        <f t="shared" si="29"/>
        <v>string_407,</v>
      </c>
      <c r="E407">
        <f t="shared" si="26"/>
        <v>3</v>
      </c>
      <c r="H407" t="s">
        <v>406</v>
      </c>
      <c r="I407">
        <f t="shared" si="27"/>
        <v>0</v>
      </c>
      <c r="K407" t="s">
        <v>406</v>
      </c>
    </row>
    <row r="408" spans="1:11">
      <c r="A408">
        <v>408</v>
      </c>
      <c r="B408" t="s">
        <v>332</v>
      </c>
      <c r="C408" t="str">
        <f t="shared" si="28"/>
        <v>prog_char string_408[] PROGMEM = "no";</v>
      </c>
      <c r="D408" t="str">
        <f t="shared" si="29"/>
        <v>string_408,</v>
      </c>
      <c r="E408">
        <f t="shared" si="26"/>
        <v>2</v>
      </c>
      <c r="H408" t="s">
        <v>407</v>
      </c>
      <c r="I408">
        <f t="shared" si="27"/>
        <v>1</v>
      </c>
      <c r="K408" t="s">
        <v>407</v>
      </c>
    </row>
    <row r="409" spans="1:11">
      <c r="A409">
        <v>409</v>
      </c>
      <c r="B409" t="s">
        <v>703</v>
      </c>
      <c r="C409" t="str">
        <f t="shared" si="28"/>
        <v>prog_char string_409[] PROGMEM = "north";</v>
      </c>
      <c r="D409" t="str">
        <f t="shared" si="29"/>
        <v>string_409,</v>
      </c>
      <c r="E409">
        <f t="shared" si="26"/>
        <v>5</v>
      </c>
      <c r="H409" t="s">
        <v>408</v>
      </c>
      <c r="I409">
        <f t="shared" si="27"/>
        <v>1</v>
      </c>
      <c r="K409" t="s">
        <v>408</v>
      </c>
    </row>
    <row r="410" spans="1:11">
      <c r="A410">
        <v>410</v>
      </c>
      <c r="B410" t="s">
        <v>334</v>
      </c>
      <c r="C410" t="str">
        <f t="shared" si="28"/>
        <v>prog_char string_410[] PROGMEM = "not";</v>
      </c>
      <c r="D410" t="str">
        <f t="shared" si="29"/>
        <v>string_410,</v>
      </c>
      <c r="E410">
        <f t="shared" si="26"/>
        <v>3</v>
      </c>
      <c r="H410" t="s">
        <v>409</v>
      </c>
      <c r="I410">
        <f t="shared" si="27"/>
        <v>1</v>
      </c>
      <c r="K410" t="s">
        <v>409</v>
      </c>
    </row>
    <row r="411" spans="1:11">
      <c r="A411">
        <v>411</v>
      </c>
      <c r="B411" t="s">
        <v>836</v>
      </c>
      <c r="C411" t="str">
        <f t="shared" si="28"/>
        <v>prog_char string_411[] PROGMEM = "note";</v>
      </c>
      <c r="D411" t="str">
        <f t="shared" si="29"/>
        <v>string_411,</v>
      </c>
      <c r="E411">
        <f t="shared" si="26"/>
        <v>4</v>
      </c>
      <c r="H411" t="s">
        <v>410</v>
      </c>
      <c r="I411">
        <f t="shared" si="27"/>
        <v>0</v>
      </c>
      <c r="K411" t="s">
        <v>410</v>
      </c>
    </row>
    <row r="412" spans="1:11">
      <c r="A412">
        <v>412</v>
      </c>
      <c r="B412" t="s">
        <v>875</v>
      </c>
      <c r="C412" t="str">
        <f t="shared" si="28"/>
        <v>prog_char string_412[] PROGMEM = "nothing";</v>
      </c>
      <c r="D412" t="str">
        <f t="shared" si="29"/>
        <v>string_412,</v>
      </c>
      <c r="E412">
        <f t="shared" si="26"/>
        <v>7</v>
      </c>
      <c r="H412" t="s">
        <v>411</v>
      </c>
      <c r="I412">
        <f t="shared" si="27"/>
        <v>0</v>
      </c>
      <c r="K412" t="s">
        <v>411</v>
      </c>
    </row>
    <row r="413" spans="1:11">
      <c r="A413">
        <v>413</v>
      </c>
      <c r="B413" t="s">
        <v>335</v>
      </c>
      <c r="C413" t="str">
        <f t="shared" si="28"/>
        <v>prog_char string_413[] PROGMEM = "now";</v>
      </c>
      <c r="D413" t="str">
        <f t="shared" si="29"/>
        <v>string_413,</v>
      </c>
      <c r="E413">
        <f t="shared" si="26"/>
        <v>3</v>
      </c>
      <c r="H413" t="s">
        <v>412</v>
      </c>
      <c r="I413">
        <f t="shared" si="27"/>
        <v>0</v>
      </c>
      <c r="K413" t="s">
        <v>412</v>
      </c>
    </row>
    <row r="414" spans="1:11">
      <c r="A414">
        <v>414</v>
      </c>
      <c r="B414" t="s">
        <v>336</v>
      </c>
      <c r="C414" t="str">
        <f t="shared" si="28"/>
        <v>prog_char string_414[] PROGMEM = "ns";</v>
      </c>
      <c r="D414" t="str">
        <f t="shared" si="29"/>
        <v>string_414,</v>
      </c>
      <c r="E414">
        <f t="shared" si="26"/>
        <v>2</v>
      </c>
      <c r="H414" t="s">
        <v>413</v>
      </c>
      <c r="I414">
        <f t="shared" si="27"/>
        <v>1</v>
      </c>
      <c r="K414" t="s">
        <v>413</v>
      </c>
    </row>
    <row r="415" spans="1:11">
      <c r="A415">
        <v>415</v>
      </c>
      <c r="B415" t="s">
        <v>337</v>
      </c>
      <c r="C415" t="str">
        <f t="shared" si="28"/>
        <v>prog_char string_415[] PROGMEM = "nt";</v>
      </c>
      <c r="D415" t="str">
        <f t="shared" si="29"/>
        <v>string_415,</v>
      </c>
      <c r="E415">
        <f t="shared" si="26"/>
        <v>2</v>
      </c>
      <c r="H415" t="s">
        <v>414</v>
      </c>
      <c r="I415">
        <f t="shared" si="27"/>
        <v>0</v>
      </c>
      <c r="K415" t="s">
        <v>414</v>
      </c>
    </row>
    <row r="416" spans="1:11">
      <c r="A416">
        <v>416</v>
      </c>
      <c r="B416" t="s">
        <v>1896</v>
      </c>
      <c r="C416" t="str">
        <f t="shared" si="28"/>
        <v>prog_char string_416[] PROGMEM = "nta";</v>
      </c>
      <c r="D416" t="str">
        <f t="shared" si="29"/>
        <v>string_416,</v>
      </c>
      <c r="E416">
        <f t="shared" si="26"/>
        <v>3</v>
      </c>
      <c r="H416" t="s">
        <v>415</v>
      </c>
      <c r="I416">
        <f t="shared" si="27"/>
        <v>1</v>
      </c>
      <c r="K416" t="s">
        <v>415</v>
      </c>
    </row>
    <row r="417" spans="1:11">
      <c r="A417">
        <v>417</v>
      </c>
      <c r="B417" t="s">
        <v>338</v>
      </c>
      <c r="C417" t="str">
        <f t="shared" si="28"/>
        <v>prog_char string_417[] PROGMEM = "nte";</v>
      </c>
      <c r="D417" t="str">
        <f t="shared" si="29"/>
        <v>string_417,</v>
      </c>
      <c r="E417">
        <f t="shared" si="26"/>
        <v>3</v>
      </c>
      <c r="H417" t="s">
        <v>416</v>
      </c>
      <c r="I417">
        <f t="shared" si="27"/>
        <v>0</v>
      </c>
      <c r="K417" t="s">
        <v>416</v>
      </c>
    </row>
    <row r="418" spans="1:11">
      <c r="A418">
        <v>418</v>
      </c>
      <c r="B418" t="s">
        <v>339</v>
      </c>
      <c r="C418" t="str">
        <f t="shared" si="28"/>
        <v>prog_char string_418[] PROGMEM = "nth";</v>
      </c>
      <c r="D418" t="str">
        <f t="shared" si="29"/>
        <v>string_418,</v>
      </c>
      <c r="E418">
        <f t="shared" si="26"/>
        <v>3</v>
      </c>
      <c r="H418" t="s">
        <v>417</v>
      </c>
      <c r="I418">
        <f t="shared" si="27"/>
        <v>0</v>
      </c>
      <c r="K418" t="s">
        <v>417</v>
      </c>
    </row>
    <row r="419" spans="1:11">
      <c r="A419">
        <v>419</v>
      </c>
      <c r="B419" t="s">
        <v>1938</v>
      </c>
      <c r="C419" t="str">
        <f t="shared" si="28"/>
        <v>prog_char string_419[] PROGMEM = "nti";</v>
      </c>
      <c r="D419" t="str">
        <f t="shared" si="29"/>
        <v>string_419,</v>
      </c>
      <c r="E419">
        <f t="shared" si="26"/>
        <v>3</v>
      </c>
      <c r="H419" t="s">
        <v>418</v>
      </c>
      <c r="I419">
        <f t="shared" si="27"/>
        <v>0</v>
      </c>
      <c r="K419" t="s">
        <v>418</v>
      </c>
    </row>
    <row r="420" spans="1:11">
      <c r="A420">
        <v>420</v>
      </c>
      <c r="B420" t="s">
        <v>1992</v>
      </c>
      <c r="C420" t="str">
        <f t="shared" si="28"/>
        <v>prog_char string_420[] PROGMEM = "nto";</v>
      </c>
      <c r="D420" t="str">
        <f t="shared" si="29"/>
        <v>string_420,</v>
      </c>
      <c r="E420">
        <f t="shared" si="26"/>
        <v>3</v>
      </c>
      <c r="H420" t="s">
        <v>419</v>
      </c>
      <c r="I420">
        <f t="shared" si="27"/>
        <v>0</v>
      </c>
      <c r="K420" t="s">
        <v>419</v>
      </c>
    </row>
    <row r="421" spans="1:11">
      <c r="A421">
        <v>421</v>
      </c>
      <c r="B421" t="s">
        <v>340</v>
      </c>
      <c r="C421" t="str">
        <f t="shared" si="28"/>
        <v>prog_char string_421[] PROGMEM = "nts";</v>
      </c>
      <c r="D421" t="str">
        <f t="shared" si="29"/>
        <v>string_421,</v>
      </c>
      <c r="E421">
        <f t="shared" si="26"/>
        <v>3</v>
      </c>
      <c r="H421" t="s">
        <v>420</v>
      </c>
      <c r="I421">
        <f t="shared" si="27"/>
        <v>1</v>
      </c>
      <c r="K421" t="s">
        <v>420</v>
      </c>
    </row>
    <row r="422" spans="1:11">
      <c r="A422">
        <v>422</v>
      </c>
      <c r="B422" t="s">
        <v>341</v>
      </c>
      <c r="C422" t="str">
        <f t="shared" si="28"/>
        <v>prog_char string_422[] PROGMEM = "number";</v>
      </c>
      <c r="D422" t="str">
        <f t="shared" si="29"/>
        <v>string_422,</v>
      </c>
      <c r="E422">
        <f t="shared" si="26"/>
        <v>6</v>
      </c>
      <c r="H422" t="s">
        <v>421</v>
      </c>
      <c r="I422">
        <f t="shared" si="27"/>
        <v>0</v>
      </c>
      <c r="K422" t="s">
        <v>421</v>
      </c>
    </row>
    <row r="423" spans="1:11">
      <c r="A423">
        <v>423</v>
      </c>
      <c r="B423" t="s">
        <v>344</v>
      </c>
      <c r="C423" t="str">
        <f t="shared" si="28"/>
        <v>prog_char string_423[] PROGMEM = "oc";</v>
      </c>
      <c r="D423" t="str">
        <f t="shared" si="29"/>
        <v>string_423,</v>
      </c>
      <c r="E423">
        <f t="shared" si="26"/>
        <v>2</v>
      </c>
      <c r="H423" t="s">
        <v>422</v>
      </c>
      <c r="I423">
        <f t="shared" si="27"/>
        <v>1</v>
      </c>
      <c r="K423" t="s">
        <v>422</v>
      </c>
    </row>
    <row r="424" spans="1:11">
      <c r="A424">
        <v>424</v>
      </c>
      <c r="B424" t="s">
        <v>345</v>
      </c>
      <c r="C424" t="str">
        <f t="shared" si="28"/>
        <v>prog_char string_424[] PROGMEM = "od";</v>
      </c>
      <c r="D424" t="str">
        <f t="shared" si="29"/>
        <v>string_424,</v>
      </c>
      <c r="E424">
        <f t="shared" si="26"/>
        <v>2</v>
      </c>
      <c r="H424" t="s">
        <v>423</v>
      </c>
      <c r="I424">
        <f t="shared" si="27"/>
        <v>0</v>
      </c>
      <c r="K424" t="s">
        <v>423</v>
      </c>
    </row>
    <row r="425" spans="1:11">
      <c r="A425">
        <v>425</v>
      </c>
      <c r="B425" t="s">
        <v>346</v>
      </c>
      <c r="C425" t="str">
        <f t="shared" si="28"/>
        <v>prog_char string_425[] PROGMEM = "of";</v>
      </c>
      <c r="D425" t="str">
        <f t="shared" si="29"/>
        <v>string_425,</v>
      </c>
      <c r="E425">
        <f t="shared" si="26"/>
        <v>2</v>
      </c>
      <c r="H425" t="s">
        <v>424</v>
      </c>
      <c r="I425">
        <f t="shared" si="27"/>
        <v>0</v>
      </c>
      <c r="K425" t="s">
        <v>424</v>
      </c>
    </row>
    <row r="426" spans="1:11">
      <c r="A426">
        <v>426</v>
      </c>
      <c r="B426" t="s">
        <v>347</v>
      </c>
      <c r="C426" t="str">
        <f t="shared" si="28"/>
        <v>prog_char string_426[] PROGMEM = "off";</v>
      </c>
      <c r="D426" t="str">
        <f t="shared" si="29"/>
        <v>string_426,</v>
      </c>
      <c r="E426">
        <f t="shared" si="26"/>
        <v>3</v>
      </c>
      <c r="H426" t="s">
        <v>425</v>
      </c>
      <c r="I426">
        <f t="shared" si="27"/>
        <v>1</v>
      </c>
      <c r="K426" t="s">
        <v>425</v>
      </c>
    </row>
    <row r="427" spans="1:11">
      <c r="A427">
        <v>427</v>
      </c>
      <c r="B427" t="s">
        <v>349</v>
      </c>
      <c r="C427" t="str">
        <f t="shared" si="28"/>
        <v>prog_char string_427[] PROGMEM = "oft";</v>
      </c>
      <c r="D427" t="str">
        <f t="shared" si="29"/>
        <v>string_427,</v>
      </c>
      <c r="E427">
        <f t="shared" si="26"/>
        <v>3</v>
      </c>
      <c r="H427" t="s">
        <v>426</v>
      </c>
      <c r="I427">
        <f t="shared" si="27"/>
        <v>1</v>
      </c>
      <c r="K427" t="s">
        <v>426</v>
      </c>
    </row>
    <row r="428" spans="1:11">
      <c r="A428">
        <v>428</v>
      </c>
      <c r="B428" t="s">
        <v>716</v>
      </c>
      <c r="C428" t="str">
        <f t="shared" si="28"/>
        <v>prog_char string_428[] PROGMEM = "often";</v>
      </c>
      <c r="D428" t="str">
        <f t="shared" si="29"/>
        <v>string_428,</v>
      </c>
      <c r="E428">
        <f t="shared" si="26"/>
        <v>5</v>
      </c>
      <c r="H428" t="s">
        <v>427</v>
      </c>
      <c r="I428">
        <f t="shared" si="27"/>
        <v>1</v>
      </c>
      <c r="K428" t="s">
        <v>427</v>
      </c>
    </row>
    <row r="429" spans="1:11">
      <c r="A429">
        <v>429</v>
      </c>
      <c r="B429" t="s">
        <v>859</v>
      </c>
      <c r="C429" t="str">
        <f t="shared" si="28"/>
        <v>prog_char string_429[] PROGMEM = "oh";</v>
      </c>
      <c r="D429" t="str">
        <f t="shared" si="29"/>
        <v>string_429,</v>
      </c>
      <c r="E429">
        <f t="shared" si="26"/>
        <v>2</v>
      </c>
      <c r="H429" t="s">
        <v>428</v>
      </c>
      <c r="I429">
        <f t="shared" si="27"/>
        <v>1</v>
      </c>
      <c r="K429" t="s">
        <v>428</v>
      </c>
    </row>
    <row r="430" spans="1:11">
      <c r="A430">
        <v>430</v>
      </c>
      <c r="B430" t="s">
        <v>351</v>
      </c>
      <c r="C430" t="str">
        <f t="shared" si="28"/>
        <v>prog_char string_430[] PROGMEM = "ol";</v>
      </c>
      <c r="D430" t="str">
        <f t="shared" si="29"/>
        <v>string_430,</v>
      </c>
      <c r="E430">
        <f t="shared" si="26"/>
        <v>2</v>
      </c>
      <c r="H430" t="s">
        <v>429</v>
      </c>
      <c r="I430">
        <f t="shared" si="27"/>
        <v>1</v>
      </c>
      <c r="K430" t="s">
        <v>429</v>
      </c>
    </row>
    <row r="431" spans="1:11">
      <c r="A431">
        <v>431</v>
      </c>
      <c r="B431" t="s">
        <v>352</v>
      </c>
      <c r="C431" t="str">
        <f t="shared" si="28"/>
        <v>prog_char string_431[] PROGMEM = "old";</v>
      </c>
      <c r="D431" t="str">
        <f t="shared" si="29"/>
        <v>string_431,</v>
      </c>
      <c r="E431">
        <f t="shared" si="26"/>
        <v>3</v>
      </c>
      <c r="H431" t="s">
        <v>430</v>
      </c>
      <c r="I431">
        <f t="shared" si="27"/>
        <v>1</v>
      </c>
      <c r="K431" t="s">
        <v>430</v>
      </c>
    </row>
    <row r="432" spans="1:11">
      <c r="A432">
        <v>432</v>
      </c>
      <c r="B432" t="s">
        <v>353</v>
      </c>
      <c r="C432" t="str">
        <f t="shared" si="28"/>
        <v>prog_char string_432[] PROGMEM = "om";</v>
      </c>
      <c r="D432" t="str">
        <f t="shared" si="29"/>
        <v>string_432,</v>
      </c>
      <c r="E432">
        <f t="shared" si="26"/>
        <v>2</v>
      </c>
      <c r="H432" t="s">
        <v>431</v>
      </c>
      <c r="I432">
        <f t="shared" si="27"/>
        <v>1</v>
      </c>
      <c r="K432" t="s">
        <v>431</v>
      </c>
    </row>
    <row r="433" spans="1:11">
      <c r="A433">
        <v>433</v>
      </c>
      <c r="B433" t="s">
        <v>354</v>
      </c>
      <c r="C433" t="str">
        <f t="shared" si="28"/>
        <v>prog_char string_433[] PROGMEM = "ome";</v>
      </c>
      <c r="D433" t="str">
        <f t="shared" si="29"/>
        <v>string_433,</v>
      </c>
      <c r="E433">
        <f t="shared" si="26"/>
        <v>3</v>
      </c>
      <c r="H433" t="s">
        <v>432</v>
      </c>
      <c r="I433">
        <f t="shared" si="27"/>
        <v>1</v>
      </c>
      <c r="K433" t="s">
        <v>432</v>
      </c>
    </row>
    <row r="434" spans="1:11">
      <c r="A434">
        <v>434</v>
      </c>
      <c r="B434" t="s">
        <v>1993</v>
      </c>
      <c r="C434" t="str">
        <f t="shared" si="28"/>
        <v>prog_char string_434[] PROGMEM = "omm";</v>
      </c>
      <c r="D434" t="str">
        <f t="shared" si="29"/>
        <v>string_434,</v>
      </c>
      <c r="E434">
        <f t="shared" si="26"/>
        <v>3</v>
      </c>
      <c r="H434" t="s">
        <v>433</v>
      </c>
      <c r="I434">
        <f t="shared" si="27"/>
        <v>1</v>
      </c>
      <c r="K434" t="s">
        <v>433</v>
      </c>
    </row>
    <row r="435" spans="1:11">
      <c r="A435">
        <v>435</v>
      </c>
      <c r="B435" t="s">
        <v>1948</v>
      </c>
      <c r="C435" t="str">
        <f t="shared" si="28"/>
        <v>prog_char string_435[] PROGMEM = "omp";</v>
      </c>
      <c r="D435" t="str">
        <f t="shared" si="29"/>
        <v>string_435,</v>
      </c>
      <c r="E435">
        <f t="shared" si="26"/>
        <v>3</v>
      </c>
      <c r="H435" t="s">
        <v>434</v>
      </c>
      <c r="I435">
        <f t="shared" si="27"/>
        <v>1</v>
      </c>
      <c r="K435" t="s">
        <v>434</v>
      </c>
    </row>
    <row r="436" spans="1:11">
      <c r="A436">
        <v>436</v>
      </c>
      <c r="B436" t="s">
        <v>355</v>
      </c>
      <c r="C436" t="str">
        <f t="shared" si="28"/>
        <v>prog_char string_436[] PROGMEM = "on";</v>
      </c>
      <c r="D436" t="str">
        <f t="shared" si="29"/>
        <v>string_436,</v>
      </c>
      <c r="E436">
        <f t="shared" si="26"/>
        <v>2</v>
      </c>
      <c r="H436" t="s">
        <v>435</v>
      </c>
      <c r="I436">
        <f t="shared" si="27"/>
        <v>1</v>
      </c>
      <c r="K436" t="s">
        <v>435</v>
      </c>
    </row>
    <row r="437" spans="1:11">
      <c r="A437">
        <v>437</v>
      </c>
      <c r="B437" t="s">
        <v>356</v>
      </c>
      <c r="C437" t="str">
        <f t="shared" si="28"/>
        <v>prog_char string_437[] PROGMEM = "ona";</v>
      </c>
      <c r="D437" t="str">
        <f t="shared" si="29"/>
        <v>string_437,</v>
      </c>
      <c r="E437">
        <f t="shared" si="26"/>
        <v>3</v>
      </c>
      <c r="H437" t="s">
        <v>436</v>
      </c>
      <c r="I437">
        <f t="shared" si="27"/>
        <v>1</v>
      </c>
      <c r="K437" t="s">
        <v>436</v>
      </c>
    </row>
    <row r="438" spans="1:11">
      <c r="A438">
        <v>438</v>
      </c>
      <c r="B438" t="s">
        <v>734</v>
      </c>
      <c r="C438" t="str">
        <f t="shared" si="28"/>
        <v>prog_char string_438[] PROGMEM = "once";</v>
      </c>
      <c r="D438" t="str">
        <f t="shared" si="29"/>
        <v>string_438,</v>
      </c>
      <c r="E438">
        <f t="shared" si="26"/>
        <v>4</v>
      </c>
      <c r="H438" t="s">
        <v>437</v>
      </c>
      <c r="I438">
        <f t="shared" si="27"/>
        <v>2</v>
      </c>
      <c r="K438" t="s">
        <v>437</v>
      </c>
    </row>
    <row r="439" spans="1:11">
      <c r="A439">
        <v>439</v>
      </c>
      <c r="B439" t="s">
        <v>357</v>
      </c>
      <c r="C439" t="str">
        <f t="shared" si="28"/>
        <v>prog_char string_439[] PROGMEM = "one";</v>
      </c>
      <c r="D439" t="str">
        <f t="shared" si="29"/>
        <v>string_439,</v>
      </c>
      <c r="E439">
        <f t="shared" si="26"/>
        <v>3</v>
      </c>
      <c r="H439" t="s">
        <v>438</v>
      </c>
      <c r="I439">
        <f t="shared" si="27"/>
        <v>1</v>
      </c>
      <c r="K439" t="s">
        <v>438</v>
      </c>
    </row>
    <row r="440" spans="1:11">
      <c r="A440">
        <v>440</v>
      </c>
      <c r="B440" t="s">
        <v>359</v>
      </c>
      <c r="C440" t="str">
        <f t="shared" si="28"/>
        <v>prog_char string_440[] PROGMEM = "only";</v>
      </c>
      <c r="D440" t="str">
        <f t="shared" si="29"/>
        <v>string_440,</v>
      </c>
      <c r="E440">
        <f t="shared" si="26"/>
        <v>4</v>
      </c>
      <c r="H440" t="s">
        <v>439</v>
      </c>
      <c r="I440">
        <f t="shared" si="27"/>
        <v>1</v>
      </c>
      <c r="K440" t="s">
        <v>439</v>
      </c>
    </row>
    <row r="441" spans="1:11">
      <c r="A441">
        <v>441</v>
      </c>
      <c r="B441" t="s">
        <v>360</v>
      </c>
      <c r="C441" t="str">
        <f t="shared" si="28"/>
        <v>prog_char string_441[] PROGMEM = "ons";</v>
      </c>
      <c r="D441" t="str">
        <f t="shared" si="29"/>
        <v>string_441,</v>
      </c>
      <c r="E441">
        <f t="shared" si="26"/>
        <v>3</v>
      </c>
      <c r="H441" t="s">
        <v>440</v>
      </c>
      <c r="I441">
        <f t="shared" si="27"/>
        <v>0</v>
      </c>
      <c r="K441" t="s">
        <v>440</v>
      </c>
    </row>
    <row r="442" spans="1:11">
      <c r="A442">
        <v>442</v>
      </c>
      <c r="B442" t="s">
        <v>361</v>
      </c>
      <c r="C442" t="str">
        <f t="shared" si="28"/>
        <v>prog_char string_442[] PROGMEM = "ont";</v>
      </c>
      <c r="D442" t="str">
        <f t="shared" si="29"/>
        <v>string_442,</v>
      </c>
      <c r="E442">
        <f t="shared" si="26"/>
        <v>3</v>
      </c>
      <c r="H442" t="s">
        <v>441</v>
      </c>
      <c r="I442">
        <f t="shared" si="27"/>
        <v>0</v>
      </c>
      <c r="K442" t="s">
        <v>441</v>
      </c>
    </row>
    <row r="443" spans="1:11">
      <c r="A443">
        <v>443</v>
      </c>
      <c r="B443" t="s">
        <v>362</v>
      </c>
      <c r="C443" t="str">
        <f t="shared" si="28"/>
        <v>prog_char string_443[] PROGMEM = "oo";</v>
      </c>
      <c r="D443" t="str">
        <f t="shared" si="29"/>
        <v>string_443,</v>
      </c>
      <c r="E443">
        <f t="shared" si="26"/>
        <v>2</v>
      </c>
      <c r="H443" t="s">
        <v>442</v>
      </c>
      <c r="I443">
        <f t="shared" si="27"/>
        <v>0</v>
      </c>
      <c r="K443" t="s">
        <v>442</v>
      </c>
    </row>
    <row r="444" spans="1:11">
      <c r="A444">
        <v>444</v>
      </c>
      <c r="B444" t="s">
        <v>363</v>
      </c>
      <c r="C444" t="str">
        <f t="shared" si="28"/>
        <v>prog_char string_444[] PROGMEM = "op";</v>
      </c>
      <c r="D444" t="str">
        <f t="shared" si="29"/>
        <v>string_444,</v>
      </c>
      <c r="E444">
        <f t="shared" si="26"/>
        <v>2</v>
      </c>
      <c r="H444" t="s">
        <v>443</v>
      </c>
      <c r="I444">
        <f t="shared" si="27"/>
        <v>1</v>
      </c>
      <c r="K444" t="s">
        <v>443</v>
      </c>
    </row>
    <row r="445" spans="1:11">
      <c r="A445">
        <v>445</v>
      </c>
      <c r="B445" t="s">
        <v>364</v>
      </c>
      <c r="C445" t="str">
        <f t="shared" si="28"/>
        <v>prog_char string_445[] PROGMEM = "open";</v>
      </c>
      <c r="D445" t="str">
        <f t="shared" si="29"/>
        <v>string_445,</v>
      </c>
      <c r="E445">
        <f t="shared" si="26"/>
        <v>4</v>
      </c>
      <c r="H445" t="s">
        <v>444</v>
      </c>
      <c r="I445">
        <f t="shared" si="27"/>
        <v>0</v>
      </c>
      <c r="K445" t="s">
        <v>444</v>
      </c>
    </row>
    <row r="446" spans="1:11">
      <c r="A446">
        <v>446</v>
      </c>
      <c r="B446" t="s">
        <v>365</v>
      </c>
      <c r="C446" t="str">
        <f t="shared" si="28"/>
        <v>prog_char string_446[] PROGMEM = "or";</v>
      </c>
      <c r="D446" t="str">
        <f t="shared" si="29"/>
        <v>string_446,</v>
      </c>
      <c r="E446">
        <f t="shared" si="26"/>
        <v>2</v>
      </c>
      <c r="H446" t="s">
        <v>445</v>
      </c>
      <c r="I446">
        <f t="shared" si="27"/>
        <v>1</v>
      </c>
      <c r="K446" t="s">
        <v>445</v>
      </c>
    </row>
    <row r="447" spans="1:11">
      <c r="A447">
        <v>447</v>
      </c>
      <c r="B447" t="s">
        <v>1976</v>
      </c>
      <c r="C447" t="str">
        <f t="shared" si="28"/>
        <v>prog_char string_447[] PROGMEM = "ord";</v>
      </c>
      <c r="D447" t="str">
        <f t="shared" si="29"/>
        <v>string_447,</v>
      </c>
      <c r="E447">
        <f t="shared" si="26"/>
        <v>3</v>
      </c>
      <c r="H447" t="s">
        <v>446</v>
      </c>
      <c r="I447">
        <f t="shared" si="27"/>
        <v>0</v>
      </c>
      <c r="K447" t="s">
        <v>446</v>
      </c>
    </row>
    <row r="448" spans="1:11">
      <c r="A448">
        <v>448</v>
      </c>
      <c r="B448" t="s">
        <v>366</v>
      </c>
      <c r="C448" t="str">
        <f t="shared" si="28"/>
        <v>prog_char string_448[] PROGMEM = "order";</v>
      </c>
      <c r="D448" t="str">
        <f t="shared" si="29"/>
        <v>string_448,</v>
      </c>
      <c r="E448">
        <f t="shared" si="26"/>
        <v>5</v>
      </c>
      <c r="H448" t="s">
        <v>447</v>
      </c>
      <c r="I448">
        <f t="shared" si="27"/>
        <v>0</v>
      </c>
      <c r="K448" t="s">
        <v>447</v>
      </c>
    </row>
    <row r="449" spans="1:11">
      <c r="A449">
        <v>449</v>
      </c>
      <c r="B449" t="s">
        <v>367</v>
      </c>
      <c r="C449" t="str">
        <f t="shared" si="28"/>
        <v>prog_char string_449[] PROGMEM = "ore";</v>
      </c>
      <c r="D449" t="str">
        <f t="shared" si="29"/>
        <v>string_449,</v>
      </c>
      <c r="E449">
        <f t="shared" ref="E449:E512" si="30">LEN(B449)</f>
        <v>3</v>
      </c>
      <c r="H449" t="s">
        <v>448</v>
      </c>
      <c r="I449">
        <f t="shared" ref="I449:I512" si="31">IF(ISNUMBER(FIND("e",H449)),1,0)+IF(ISNUMBER(FIND("n",H449)),1,0)</f>
        <v>0</v>
      </c>
      <c r="K449" t="s">
        <v>448</v>
      </c>
    </row>
    <row r="450" spans="1:11">
      <c r="A450">
        <v>450</v>
      </c>
      <c r="B450" t="s">
        <v>1979</v>
      </c>
      <c r="C450" t="str">
        <f t="shared" si="28"/>
        <v>prog_char string_450[] PROGMEM = "ori";</v>
      </c>
      <c r="D450" t="str">
        <f t="shared" si="29"/>
        <v>string_450,</v>
      </c>
      <c r="E450">
        <f t="shared" si="30"/>
        <v>3</v>
      </c>
      <c r="H450" t="s">
        <v>449</v>
      </c>
      <c r="I450">
        <f t="shared" si="31"/>
        <v>0</v>
      </c>
      <c r="K450" t="s">
        <v>449</v>
      </c>
    </row>
    <row r="451" spans="1:11">
      <c r="A451">
        <v>451</v>
      </c>
      <c r="B451" t="s">
        <v>1913</v>
      </c>
      <c r="C451" t="str">
        <f t="shared" si="28"/>
        <v>prog_char string_451[] PROGMEM = "orm";</v>
      </c>
      <c r="D451" t="str">
        <f t="shared" si="29"/>
        <v>string_451,</v>
      </c>
      <c r="E451">
        <f t="shared" si="30"/>
        <v>3</v>
      </c>
      <c r="H451" t="s">
        <v>450</v>
      </c>
      <c r="I451">
        <f t="shared" si="31"/>
        <v>0</v>
      </c>
      <c r="K451" t="s">
        <v>450</v>
      </c>
    </row>
    <row r="452" spans="1:11">
      <c r="A452">
        <v>452</v>
      </c>
      <c r="B452" t="s">
        <v>368</v>
      </c>
      <c r="C452" t="str">
        <f t="shared" si="28"/>
        <v>prog_char string_452[] PROGMEM = "ort";</v>
      </c>
      <c r="D452" t="str">
        <f t="shared" si="29"/>
        <v>string_452,</v>
      </c>
      <c r="E452">
        <f t="shared" si="30"/>
        <v>3</v>
      </c>
      <c r="H452" t="s">
        <v>451</v>
      </c>
      <c r="I452">
        <f t="shared" si="31"/>
        <v>0</v>
      </c>
      <c r="K452" t="s">
        <v>451</v>
      </c>
    </row>
    <row r="453" spans="1:11">
      <c r="A453">
        <v>453</v>
      </c>
      <c r="B453" t="s">
        <v>369</v>
      </c>
      <c r="C453" t="str">
        <f t="shared" si="28"/>
        <v>prog_char string_453[] PROGMEM = "os";</v>
      </c>
      <c r="D453" t="str">
        <f t="shared" si="29"/>
        <v>string_453,</v>
      </c>
      <c r="E453">
        <f t="shared" si="30"/>
        <v>2</v>
      </c>
      <c r="H453" t="s">
        <v>452</v>
      </c>
      <c r="I453">
        <f t="shared" si="31"/>
        <v>0</v>
      </c>
      <c r="K453" t="s">
        <v>452</v>
      </c>
    </row>
    <row r="454" spans="1:11">
      <c r="A454">
        <v>454</v>
      </c>
      <c r="B454" t="s">
        <v>1915</v>
      </c>
      <c r="C454" t="str">
        <f t="shared" si="28"/>
        <v>prog_char string_454[] PROGMEM = "ost";</v>
      </c>
      <c r="D454" t="str">
        <f t="shared" si="29"/>
        <v>string_454,</v>
      </c>
      <c r="E454">
        <f t="shared" si="30"/>
        <v>3</v>
      </c>
      <c r="H454" t="s">
        <v>453</v>
      </c>
      <c r="I454">
        <f t="shared" si="31"/>
        <v>0</v>
      </c>
      <c r="K454" t="s">
        <v>453</v>
      </c>
    </row>
    <row r="455" spans="1:11">
      <c r="A455">
        <v>455</v>
      </c>
      <c r="B455" t="s">
        <v>370</v>
      </c>
      <c r="C455" t="str">
        <f t="shared" ref="C455:C518" si="32">"prog_char string_"&amp;A455&amp;"[] PROGMEM = """&amp;B455&amp;""";"</f>
        <v>prog_char string_455[] PROGMEM = "ot";</v>
      </c>
      <c r="D455" t="str">
        <f t="shared" ref="D455:D518" si="33">"string_" &amp; A455 &amp; ","</f>
        <v>string_455,</v>
      </c>
      <c r="E455">
        <f t="shared" si="30"/>
        <v>2</v>
      </c>
      <c r="H455" t="s">
        <v>454</v>
      </c>
      <c r="I455">
        <f t="shared" si="31"/>
        <v>1</v>
      </c>
      <c r="K455" t="s">
        <v>454</v>
      </c>
    </row>
    <row r="456" spans="1:11">
      <c r="A456">
        <v>456</v>
      </c>
      <c r="B456" t="s">
        <v>371</v>
      </c>
      <c r="C456" t="str">
        <f t="shared" si="32"/>
        <v>prog_char string_456[] PROGMEM = "oth";</v>
      </c>
      <c r="D456" t="str">
        <f t="shared" si="33"/>
        <v>string_456,</v>
      </c>
      <c r="E456">
        <f t="shared" si="30"/>
        <v>3</v>
      </c>
      <c r="H456" t="s">
        <v>455</v>
      </c>
      <c r="I456">
        <f t="shared" si="31"/>
        <v>1</v>
      </c>
      <c r="K456" t="s">
        <v>455</v>
      </c>
    </row>
    <row r="457" spans="1:11">
      <c r="A457">
        <v>457</v>
      </c>
      <c r="B457" t="s">
        <v>372</v>
      </c>
      <c r="C457" t="str">
        <f t="shared" si="32"/>
        <v>prog_char string_457[] PROGMEM = "other";</v>
      </c>
      <c r="D457" t="str">
        <f t="shared" si="33"/>
        <v>string_457,</v>
      </c>
      <c r="E457">
        <f t="shared" si="30"/>
        <v>5</v>
      </c>
      <c r="H457" t="s">
        <v>456</v>
      </c>
      <c r="I457">
        <f t="shared" si="31"/>
        <v>1</v>
      </c>
      <c r="K457" t="s">
        <v>456</v>
      </c>
    </row>
    <row r="458" spans="1:11">
      <c r="A458">
        <v>458</v>
      </c>
      <c r="B458" t="s">
        <v>373</v>
      </c>
      <c r="C458" t="str">
        <f t="shared" si="32"/>
        <v>prog_char string_458[] PROGMEM = "ou";</v>
      </c>
      <c r="D458" t="str">
        <f t="shared" si="33"/>
        <v>string_458,</v>
      </c>
      <c r="E458">
        <f t="shared" si="30"/>
        <v>2</v>
      </c>
      <c r="H458" t="s">
        <v>457</v>
      </c>
      <c r="I458">
        <f t="shared" si="31"/>
        <v>0</v>
      </c>
      <c r="K458" t="s">
        <v>457</v>
      </c>
    </row>
    <row r="459" spans="1:11">
      <c r="A459">
        <v>459</v>
      </c>
      <c r="B459" t="s">
        <v>376</v>
      </c>
      <c r="C459" t="str">
        <f t="shared" si="32"/>
        <v>prog_char string_459[] PROGMEM = "oun";</v>
      </c>
      <c r="D459" t="str">
        <f t="shared" si="33"/>
        <v>string_459,</v>
      </c>
      <c r="E459">
        <f t="shared" si="30"/>
        <v>3</v>
      </c>
      <c r="H459" t="s">
        <v>458</v>
      </c>
      <c r="I459">
        <f t="shared" si="31"/>
        <v>0</v>
      </c>
      <c r="K459" t="s">
        <v>458</v>
      </c>
    </row>
    <row r="460" spans="1:11">
      <c r="A460">
        <v>460</v>
      </c>
      <c r="B460" t="s">
        <v>377</v>
      </c>
      <c r="C460" t="str">
        <f t="shared" si="32"/>
        <v>prog_char string_460[] PROGMEM = "our";</v>
      </c>
      <c r="D460" t="str">
        <f t="shared" si="33"/>
        <v>string_460,</v>
      </c>
      <c r="E460">
        <f t="shared" si="30"/>
        <v>3</v>
      </c>
      <c r="H460" t="s">
        <v>459</v>
      </c>
      <c r="I460">
        <f t="shared" si="31"/>
        <v>1</v>
      </c>
      <c r="K460" t="s">
        <v>459</v>
      </c>
    </row>
    <row r="461" spans="1:11">
      <c r="A461">
        <v>461</v>
      </c>
      <c r="B461" t="s">
        <v>378</v>
      </c>
      <c r="C461" t="str">
        <f t="shared" si="32"/>
        <v>prog_char string_461[] PROGMEM = "out";</v>
      </c>
      <c r="D461" t="str">
        <f t="shared" si="33"/>
        <v>string_461,</v>
      </c>
      <c r="E461">
        <f t="shared" si="30"/>
        <v>3</v>
      </c>
      <c r="H461" t="s">
        <v>460</v>
      </c>
      <c r="I461">
        <f t="shared" si="31"/>
        <v>1</v>
      </c>
      <c r="K461" t="s">
        <v>460</v>
      </c>
    </row>
    <row r="462" spans="1:11">
      <c r="A462">
        <v>462</v>
      </c>
      <c r="B462" t="s">
        <v>379</v>
      </c>
      <c r="C462" t="str">
        <f t="shared" si="32"/>
        <v>prog_char string_462[] PROGMEM = "ov";</v>
      </c>
      <c r="D462" t="str">
        <f t="shared" si="33"/>
        <v>string_462,</v>
      </c>
      <c r="E462">
        <f t="shared" si="30"/>
        <v>2</v>
      </c>
      <c r="H462" t="s">
        <v>461</v>
      </c>
      <c r="I462">
        <f t="shared" si="31"/>
        <v>2</v>
      </c>
      <c r="K462" t="s">
        <v>461</v>
      </c>
    </row>
    <row r="463" spans="1:11">
      <c r="A463">
        <v>463</v>
      </c>
      <c r="B463" t="s">
        <v>1905</v>
      </c>
      <c r="C463" t="str">
        <f t="shared" si="32"/>
        <v>prog_char string_463[] PROGMEM = "ove";</v>
      </c>
      <c r="D463" t="str">
        <f t="shared" si="33"/>
        <v>string_463,</v>
      </c>
      <c r="E463">
        <f t="shared" si="30"/>
        <v>3</v>
      </c>
      <c r="H463" t="s">
        <v>462</v>
      </c>
      <c r="I463">
        <f t="shared" si="31"/>
        <v>1</v>
      </c>
      <c r="K463" t="s">
        <v>462</v>
      </c>
    </row>
    <row r="464" spans="1:11">
      <c r="A464">
        <v>464</v>
      </c>
      <c r="B464" t="s">
        <v>380</v>
      </c>
      <c r="C464" t="str">
        <f t="shared" si="32"/>
        <v>prog_char string_464[] PROGMEM = "over";</v>
      </c>
      <c r="D464" t="str">
        <f t="shared" si="33"/>
        <v>string_464,</v>
      </c>
      <c r="E464">
        <f t="shared" si="30"/>
        <v>4</v>
      </c>
      <c r="H464" t="s">
        <v>463</v>
      </c>
      <c r="I464">
        <f t="shared" si="31"/>
        <v>2</v>
      </c>
      <c r="K464" t="s">
        <v>463</v>
      </c>
    </row>
    <row r="465" spans="1:11">
      <c r="A465">
        <v>465</v>
      </c>
      <c r="B465" t="s">
        <v>381</v>
      </c>
      <c r="C465" t="str">
        <f t="shared" si="32"/>
        <v>prog_char string_465[] PROGMEM = "ow";</v>
      </c>
      <c r="D465" t="str">
        <f t="shared" si="33"/>
        <v>string_465,</v>
      </c>
      <c r="E465">
        <f t="shared" si="30"/>
        <v>2</v>
      </c>
      <c r="H465" t="s">
        <v>464</v>
      </c>
      <c r="I465">
        <f t="shared" si="31"/>
        <v>1</v>
      </c>
      <c r="K465" t="s">
        <v>464</v>
      </c>
    </row>
    <row r="466" spans="1:11">
      <c r="A466">
        <v>466</v>
      </c>
      <c r="B466" t="s">
        <v>382</v>
      </c>
      <c r="C466" t="str">
        <f t="shared" si="32"/>
        <v>prog_char string_466[] PROGMEM = "own";</v>
      </c>
      <c r="D466" t="str">
        <f t="shared" si="33"/>
        <v>string_466,</v>
      </c>
      <c r="E466">
        <f t="shared" si="30"/>
        <v>3</v>
      </c>
      <c r="H466" t="s">
        <v>465</v>
      </c>
      <c r="I466">
        <f t="shared" si="31"/>
        <v>1</v>
      </c>
      <c r="K466" t="s">
        <v>465</v>
      </c>
    </row>
    <row r="467" spans="1:11">
      <c r="A467">
        <v>467</v>
      </c>
      <c r="B467" t="s">
        <v>383</v>
      </c>
      <c r="C467" t="str">
        <f t="shared" si="32"/>
        <v>prog_char string_467[] PROGMEM = "pa";</v>
      </c>
      <c r="D467" t="str">
        <f t="shared" si="33"/>
        <v>string_467,</v>
      </c>
      <c r="E467">
        <f t="shared" si="30"/>
        <v>2</v>
      </c>
      <c r="H467" t="s">
        <v>466</v>
      </c>
      <c r="I467">
        <f t="shared" si="31"/>
        <v>1</v>
      </c>
      <c r="K467" t="s">
        <v>466</v>
      </c>
    </row>
    <row r="468" spans="1:11">
      <c r="A468">
        <v>468</v>
      </c>
      <c r="B468" t="s">
        <v>712</v>
      </c>
      <c r="C468" t="str">
        <f t="shared" si="32"/>
        <v>prog_char string_468[] PROGMEM = "paper";</v>
      </c>
      <c r="D468" t="str">
        <f t="shared" si="33"/>
        <v>string_468,</v>
      </c>
      <c r="E468">
        <f t="shared" si="30"/>
        <v>5</v>
      </c>
      <c r="H468" t="s">
        <v>467</v>
      </c>
      <c r="I468">
        <f t="shared" si="31"/>
        <v>1</v>
      </c>
      <c r="K468" t="s">
        <v>467</v>
      </c>
    </row>
    <row r="469" spans="1:11">
      <c r="A469">
        <v>469</v>
      </c>
      <c r="B469" t="s">
        <v>1904</v>
      </c>
      <c r="C469" t="str">
        <f t="shared" si="32"/>
        <v>prog_char string_469[] PROGMEM = "par";</v>
      </c>
      <c r="D469" t="str">
        <f t="shared" si="33"/>
        <v>string_469,</v>
      </c>
      <c r="E469">
        <f t="shared" si="30"/>
        <v>3</v>
      </c>
      <c r="H469" t="s">
        <v>468</v>
      </c>
      <c r="I469">
        <f t="shared" si="31"/>
        <v>0</v>
      </c>
      <c r="K469" t="s">
        <v>468</v>
      </c>
    </row>
    <row r="470" spans="1:11">
      <c r="A470">
        <v>470</v>
      </c>
      <c r="B470" t="s">
        <v>386</v>
      </c>
      <c r="C470" t="str">
        <f t="shared" si="32"/>
        <v>prog_char string_470[] PROGMEM = "part";</v>
      </c>
      <c r="D470" t="str">
        <f t="shared" si="33"/>
        <v>string_470,</v>
      </c>
      <c r="E470">
        <f t="shared" si="30"/>
        <v>4</v>
      </c>
      <c r="H470" t="s">
        <v>469</v>
      </c>
      <c r="I470">
        <f t="shared" si="31"/>
        <v>0</v>
      </c>
      <c r="K470" t="s">
        <v>469</v>
      </c>
    </row>
    <row r="471" spans="1:11">
      <c r="A471">
        <v>471</v>
      </c>
      <c r="B471" t="s">
        <v>779</v>
      </c>
      <c r="C471" t="str">
        <f t="shared" si="32"/>
        <v>prog_char string_471[] PROGMEM = "pass";</v>
      </c>
      <c r="D471" t="str">
        <f t="shared" si="33"/>
        <v>string_471,</v>
      </c>
      <c r="E471">
        <f t="shared" si="30"/>
        <v>4</v>
      </c>
      <c r="H471" t="s">
        <v>470</v>
      </c>
      <c r="I471">
        <f t="shared" si="31"/>
        <v>1</v>
      </c>
      <c r="K471" t="s">
        <v>470</v>
      </c>
    </row>
    <row r="472" spans="1:11">
      <c r="A472">
        <v>472</v>
      </c>
      <c r="B472" t="s">
        <v>387</v>
      </c>
      <c r="C472" t="str">
        <f t="shared" si="32"/>
        <v>prog_char string_472[] PROGMEM = "pe";</v>
      </c>
      <c r="D472" t="str">
        <f t="shared" si="33"/>
        <v>string_472,</v>
      </c>
      <c r="E472">
        <f t="shared" si="30"/>
        <v>2</v>
      </c>
      <c r="H472" t="s">
        <v>471</v>
      </c>
      <c r="I472">
        <f t="shared" si="31"/>
        <v>0</v>
      </c>
      <c r="K472" t="s">
        <v>471</v>
      </c>
    </row>
    <row r="473" spans="1:11">
      <c r="A473">
        <v>473</v>
      </c>
      <c r="B473" t="s">
        <v>388</v>
      </c>
      <c r="C473" t="str">
        <f t="shared" si="32"/>
        <v>prog_char string_473[] PROGMEM = "people";</v>
      </c>
      <c r="D473" t="str">
        <f t="shared" si="33"/>
        <v>string_473,</v>
      </c>
      <c r="E473">
        <f t="shared" si="30"/>
        <v>6</v>
      </c>
      <c r="H473" t="s">
        <v>472</v>
      </c>
      <c r="I473">
        <f t="shared" si="31"/>
        <v>0</v>
      </c>
      <c r="K473" t="s">
        <v>472</v>
      </c>
    </row>
    <row r="474" spans="1:11">
      <c r="A474">
        <v>474</v>
      </c>
      <c r="B474" t="s">
        <v>389</v>
      </c>
      <c r="C474" t="str">
        <f t="shared" si="32"/>
        <v>prog_char string_474[] PROGMEM = "per";</v>
      </c>
      <c r="D474" t="str">
        <f t="shared" si="33"/>
        <v>string_474,</v>
      </c>
      <c r="E474">
        <f t="shared" si="30"/>
        <v>3</v>
      </c>
      <c r="H474" t="s">
        <v>473</v>
      </c>
      <c r="I474">
        <f t="shared" si="31"/>
        <v>0</v>
      </c>
      <c r="K474" t="s">
        <v>473</v>
      </c>
    </row>
    <row r="475" spans="1:11">
      <c r="A475">
        <v>475</v>
      </c>
      <c r="B475" t="s">
        <v>942</v>
      </c>
      <c r="C475" t="str">
        <f t="shared" si="32"/>
        <v>prog_char string_475[] PROGMEM = "perhaps";</v>
      </c>
      <c r="D475" t="str">
        <f t="shared" si="33"/>
        <v>string_475,</v>
      </c>
      <c r="E475">
        <f t="shared" si="30"/>
        <v>7</v>
      </c>
      <c r="H475" t="s">
        <v>474</v>
      </c>
      <c r="I475">
        <f t="shared" si="31"/>
        <v>0</v>
      </c>
      <c r="K475" t="s">
        <v>474</v>
      </c>
    </row>
    <row r="476" spans="1:11">
      <c r="A476">
        <v>476</v>
      </c>
      <c r="B476" t="s">
        <v>815</v>
      </c>
      <c r="C476" t="str">
        <f t="shared" si="32"/>
        <v>prog_char string_476[] PROGMEM = "person";</v>
      </c>
      <c r="D476" t="str">
        <f t="shared" si="33"/>
        <v>string_476,</v>
      </c>
      <c r="E476">
        <f t="shared" si="30"/>
        <v>6</v>
      </c>
      <c r="H476" t="s">
        <v>475</v>
      </c>
      <c r="I476">
        <f t="shared" si="31"/>
        <v>1</v>
      </c>
      <c r="K476" t="s">
        <v>475</v>
      </c>
    </row>
    <row r="477" spans="1:11">
      <c r="A477">
        <v>477</v>
      </c>
      <c r="B477" t="s">
        <v>776</v>
      </c>
      <c r="C477" t="str">
        <f t="shared" si="32"/>
        <v>prog_char string_477[] PROGMEM = "piece";</v>
      </c>
      <c r="D477" t="str">
        <f t="shared" si="33"/>
        <v>string_477,</v>
      </c>
      <c r="E477">
        <f t="shared" si="30"/>
        <v>5</v>
      </c>
      <c r="H477" t="s">
        <v>476</v>
      </c>
      <c r="I477">
        <f t="shared" si="31"/>
        <v>1</v>
      </c>
      <c r="K477" t="s">
        <v>476</v>
      </c>
    </row>
    <row r="478" spans="1:11">
      <c r="A478">
        <v>478</v>
      </c>
      <c r="B478" t="s">
        <v>395</v>
      </c>
      <c r="C478" t="str">
        <f t="shared" si="32"/>
        <v>prog_char string_478[] PROGMEM = "pl";</v>
      </c>
      <c r="D478" t="str">
        <f t="shared" si="33"/>
        <v>string_478,</v>
      </c>
      <c r="E478">
        <f t="shared" si="30"/>
        <v>2</v>
      </c>
      <c r="H478" t="s">
        <v>477</v>
      </c>
      <c r="I478">
        <f t="shared" si="31"/>
        <v>2</v>
      </c>
      <c r="K478" t="s">
        <v>477</v>
      </c>
    </row>
    <row r="479" spans="1:11">
      <c r="A479">
        <v>479</v>
      </c>
      <c r="B479" t="s">
        <v>1966</v>
      </c>
      <c r="C479" t="str">
        <f t="shared" si="32"/>
        <v>prog_char string_479[] PROGMEM = "pla";</v>
      </c>
      <c r="D479" t="str">
        <f t="shared" si="33"/>
        <v>string_479,</v>
      </c>
      <c r="E479">
        <f t="shared" si="30"/>
        <v>3</v>
      </c>
      <c r="H479" t="s">
        <v>478</v>
      </c>
      <c r="I479">
        <f t="shared" si="31"/>
        <v>1</v>
      </c>
      <c r="K479" t="s">
        <v>478</v>
      </c>
    </row>
    <row r="480" spans="1:11">
      <c r="A480">
        <v>480</v>
      </c>
      <c r="B480" t="s">
        <v>396</v>
      </c>
      <c r="C480" t="str">
        <f t="shared" si="32"/>
        <v>prog_char string_480[] PROGMEM = "place";</v>
      </c>
      <c r="D480" t="str">
        <f t="shared" si="33"/>
        <v>string_480,</v>
      </c>
      <c r="E480">
        <f t="shared" si="30"/>
        <v>5</v>
      </c>
      <c r="H480" t="s">
        <v>479</v>
      </c>
      <c r="I480">
        <f t="shared" si="31"/>
        <v>1</v>
      </c>
      <c r="K480" t="s">
        <v>479</v>
      </c>
    </row>
    <row r="481" spans="1:11">
      <c r="A481">
        <v>481</v>
      </c>
      <c r="B481" t="s">
        <v>838</v>
      </c>
      <c r="C481" t="str">
        <f t="shared" si="32"/>
        <v>prog_char string_481[] PROGMEM = "plan";</v>
      </c>
      <c r="D481" t="str">
        <f t="shared" si="33"/>
        <v>string_481,</v>
      </c>
      <c r="E481">
        <f t="shared" si="30"/>
        <v>4</v>
      </c>
      <c r="H481" t="s">
        <v>480</v>
      </c>
      <c r="I481">
        <f t="shared" si="31"/>
        <v>1</v>
      </c>
      <c r="K481" t="s">
        <v>480</v>
      </c>
    </row>
    <row r="482" spans="1:11">
      <c r="A482">
        <v>482</v>
      </c>
      <c r="B482" t="s">
        <v>674</v>
      </c>
      <c r="C482" t="str">
        <f t="shared" si="32"/>
        <v>prog_char string_482[] PROGMEM = "plant";</v>
      </c>
      <c r="D482" t="str">
        <f t="shared" si="33"/>
        <v>string_482,</v>
      </c>
      <c r="E482">
        <f t="shared" si="30"/>
        <v>5</v>
      </c>
      <c r="H482" t="s">
        <v>481</v>
      </c>
      <c r="I482">
        <f t="shared" si="31"/>
        <v>0</v>
      </c>
      <c r="K482" t="s">
        <v>481</v>
      </c>
    </row>
    <row r="483" spans="1:11">
      <c r="A483">
        <v>483</v>
      </c>
      <c r="B483" t="s">
        <v>644</v>
      </c>
      <c r="C483" t="str">
        <f t="shared" si="32"/>
        <v>prog_char string_483[] PROGMEM = "play";</v>
      </c>
      <c r="D483" t="str">
        <f t="shared" si="33"/>
        <v>string_483,</v>
      </c>
      <c r="E483">
        <f t="shared" si="30"/>
        <v>4</v>
      </c>
      <c r="H483" t="s">
        <v>482</v>
      </c>
      <c r="I483">
        <f t="shared" si="31"/>
        <v>0</v>
      </c>
      <c r="K483" t="s">
        <v>482</v>
      </c>
    </row>
    <row r="484" spans="1:11">
      <c r="A484">
        <v>484</v>
      </c>
      <c r="B484" t="s">
        <v>1967</v>
      </c>
      <c r="C484" t="str">
        <f t="shared" si="32"/>
        <v>prog_char string_484[] PROGMEM = "ple";</v>
      </c>
      <c r="D484" t="str">
        <f t="shared" si="33"/>
        <v>string_484,</v>
      </c>
      <c r="E484">
        <f t="shared" si="30"/>
        <v>3</v>
      </c>
      <c r="H484" t="s">
        <v>483</v>
      </c>
      <c r="I484">
        <f t="shared" si="31"/>
        <v>1</v>
      </c>
      <c r="K484" t="s">
        <v>483</v>
      </c>
    </row>
    <row r="485" spans="1:11">
      <c r="A485">
        <v>485</v>
      </c>
      <c r="B485" t="s">
        <v>399</v>
      </c>
      <c r="C485" t="str">
        <f t="shared" si="32"/>
        <v>prog_char string_485[] PROGMEM = "po";</v>
      </c>
      <c r="D485" t="str">
        <f t="shared" si="33"/>
        <v>string_485,</v>
      </c>
      <c r="E485">
        <f t="shared" si="30"/>
        <v>2</v>
      </c>
      <c r="H485" t="s">
        <v>484</v>
      </c>
      <c r="I485">
        <f t="shared" si="31"/>
        <v>1</v>
      </c>
      <c r="K485" t="s">
        <v>484</v>
      </c>
    </row>
    <row r="486" spans="1:11">
      <c r="A486">
        <v>486</v>
      </c>
      <c r="B486" t="s">
        <v>660</v>
      </c>
      <c r="C486" t="str">
        <f t="shared" si="32"/>
        <v>prog_char string_486[] PROGMEM = "point";</v>
      </c>
      <c r="D486" t="str">
        <f t="shared" si="33"/>
        <v>string_486,</v>
      </c>
      <c r="E486">
        <f t="shared" si="30"/>
        <v>5</v>
      </c>
      <c r="H486" t="s">
        <v>485</v>
      </c>
      <c r="I486">
        <f t="shared" si="31"/>
        <v>0</v>
      </c>
      <c r="K486" t="s">
        <v>485</v>
      </c>
    </row>
    <row r="487" spans="1:11">
      <c r="A487">
        <v>487</v>
      </c>
      <c r="B487" t="s">
        <v>1898</v>
      </c>
      <c r="C487" t="str">
        <f t="shared" si="32"/>
        <v>prog_char string_487[] PROGMEM = "por";</v>
      </c>
      <c r="D487" t="str">
        <f t="shared" si="33"/>
        <v>string_487,</v>
      </c>
      <c r="E487">
        <f t="shared" si="30"/>
        <v>3</v>
      </c>
      <c r="H487" t="s">
        <v>486</v>
      </c>
      <c r="I487">
        <f t="shared" si="31"/>
        <v>0</v>
      </c>
      <c r="K487" t="s">
        <v>486</v>
      </c>
    </row>
    <row r="488" spans="1:11">
      <c r="A488">
        <v>488</v>
      </c>
      <c r="B488" t="s">
        <v>1994</v>
      </c>
      <c r="C488" t="str">
        <f t="shared" si="32"/>
        <v>prog_char string_488[] PROGMEM = "pos";</v>
      </c>
      <c r="D488" t="str">
        <f t="shared" si="33"/>
        <v>string_488,</v>
      </c>
      <c r="E488">
        <f t="shared" si="30"/>
        <v>3</v>
      </c>
      <c r="H488" t="s">
        <v>487</v>
      </c>
      <c r="I488">
        <f t="shared" si="31"/>
        <v>1</v>
      </c>
      <c r="K488" t="s">
        <v>487</v>
      </c>
    </row>
    <row r="489" spans="1:11">
      <c r="A489">
        <v>489</v>
      </c>
      <c r="B489" t="s">
        <v>404</v>
      </c>
      <c r="C489" t="str">
        <f t="shared" si="32"/>
        <v>prog_char string_489[] PROGMEM = "power";</v>
      </c>
      <c r="D489" t="str">
        <f t="shared" si="33"/>
        <v>string_489,</v>
      </c>
      <c r="E489">
        <f t="shared" si="30"/>
        <v>5</v>
      </c>
      <c r="H489" t="s">
        <v>488</v>
      </c>
      <c r="I489">
        <f t="shared" si="31"/>
        <v>0</v>
      </c>
      <c r="K489" t="s">
        <v>488</v>
      </c>
    </row>
    <row r="490" spans="1:11">
      <c r="A490">
        <v>490</v>
      </c>
      <c r="B490" t="s">
        <v>406</v>
      </c>
      <c r="C490" t="str">
        <f t="shared" si="32"/>
        <v>prog_char string_490[] PROGMEM = "pr";</v>
      </c>
      <c r="D490" t="str">
        <f t="shared" si="33"/>
        <v>string_490,</v>
      </c>
      <c r="E490">
        <f t="shared" si="30"/>
        <v>2</v>
      </c>
      <c r="H490" t="s">
        <v>489</v>
      </c>
      <c r="I490">
        <f t="shared" si="31"/>
        <v>0</v>
      </c>
      <c r="K490" t="s">
        <v>489</v>
      </c>
    </row>
    <row r="491" spans="1:11">
      <c r="A491">
        <v>491</v>
      </c>
      <c r="B491" t="s">
        <v>1927</v>
      </c>
      <c r="C491" t="str">
        <f t="shared" si="32"/>
        <v>prog_char string_491[] PROGMEM = "pre";</v>
      </c>
      <c r="D491" t="str">
        <f t="shared" si="33"/>
        <v>string_491,</v>
      </c>
      <c r="E491">
        <f t="shared" si="30"/>
        <v>3</v>
      </c>
      <c r="H491" t="s">
        <v>490</v>
      </c>
      <c r="I491">
        <f t="shared" si="31"/>
        <v>0</v>
      </c>
      <c r="K491" t="s">
        <v>490</v>
      </c>
    </row>
    <row r="492" spans="1:11">
      <c r="A492">
        <v>492</v>
      </c>
      <c r="B492" t="s">
        <v>1892</v>
      </c>
      <c r="C492" t="str">
        <f t="shared" si="32"/>
        <v>prog_char string_492[] PROGMEM = "pri";</v>
      </c>
      <c r="D492" t="str">
        <f t="shared" si="33"/>
        <v>string_492,</v>
      </c>
      <c r="E492">
        <f t="shared" si="30"/>
        <v>3</v>
      </c>
      <c r="H492" t="s">
        <v>491</v>
      </c>
      <c r="I492">
        <f t="shared" si="31"/>
        <v>0</v>
      </c>
      <c r="K492" t="s">
        <v>491</v>
      </c>
    </row>
    <row r="493" spans="1:11">
      <c r="A493">
        <v>493</v>
      </c>
      <c r="B493" t="s">
        <v>410</v>
      </c>
      <c r="C493" t="str">
        <f t="shared" si="32"/>
        <v>prog_char string_493[] PROGMEM = "pro";</v>
      </c>
      <c r="D493" t="str">
        <f t="shared" si="33"/>
        <v>string_493,</v>
      </c>
      <c r="E493">
        <f t="shared" si="30"/>
        <v>3</v>
      </c>
      <c r="H493" t="s">
        <v>492</v>
      </c>
      <c r="I493">
        <f t="shared" si="31"/>
        <v>1</v>
      </c>
      <c r="K493" t="s">
        <v>492</v>
      </c>
    </row>
    <row r="494" spans="1:11">
      <c r="A494">
        <v>494</v>
      </c>
      <c r="B494" t="s">
        <v>775</v>
      </c>
      <c r="C494" t="str">
        <f t="shared" si="32"/>
        <v>prog_char string_494[] PROGMEM = "problem";</v>
      </c>
      <c r="D494" t="str">
        <f t="shared" si="33"/>
        <v>string_494,</v>
      </c>
      <c r="E494">
        <f t="shared" si="30"/>
        <v>7</v>
      </c>
      <c r="H494" t="s">
        <v>493</v>
      </c>
      <c r="I494">
        <f t="shared" si="31"/>
        <v>1</v>
      </c>
      <c r="K494" t="s">
        <v>493</v>
      </c>
    </row>
    <row r="495" spans="1:11">
      <c r="A495">
        <v>495</v>
      </c>
      <c r="B495" t="s">
        <v>1349</v>
      </c>
      <c r="C495" t="str">
        <f t="shared" si="32"/>
        <v>prog_char string_495[] PROGMEM = "proper";</v>
      </c>
      <c r="D495" t="str">
        <f t="shared" si="33"/>
        <v>string_495,</v>
      </c>
      <c r="E495">
        <f t="shared" si="30"/>
        <v>6</v>
      </c>
      <c r="H495" t="s">
        <v>494</v>
      </c>
      <c r="I495">
        <f t="shared" si="31"/>
        <v>1</v>
      </c>
      <c r="K495" t="s">
        <v>494</v>
      </c>
    </row>
    <row r="496" spans="1:11">
      <c r="A496">
        <v>496</v>
      </c>
      <c r="B496" t="s">
        <v>1696</v>
      </c>
      <c r="C496" t="str">
        <f t="shared" si="32"/>
        <v>prog_char string_496[] PROGMEM = "propose";</v>
      </c>
      <c r="D496" t="str">
        <f t="shared" si="33"/>
        <v>string_496,</v>
      </c>
      <c r="E496">
        <f t="shared" si="30"/>
        <v>7</v>
      </c>
      <c r="H496" t="s">
        <v>495</v>
      </c>
      <c r="I496">
        <f t="shared" si="31"/>
        <v>0</v>
      </c>
      <c r="K496" t="s">
        <v>495</v>
      </c>
    </row>
    <row r="497" spans="1:11">
      <c r="A497">
        <v>497</v>
      </c>
      <c r="B497" t="s">
        <v>645</v>
      </c>
      <c r="C497" t="str">
        <f t="shared" si="32"/>
        <v>prog_char string_497[] PROGMEM = "put";</v>
      </c>
      <c r="D497" t="str">
        <f t="shared" si="33"/>
        <v>string_497,</v>
      </c>
      <c r="E497">
        <f t="shared" si="30"/>
        <v>3</v>
      </c>
      <c r="H497" t="s">
        <v>496</v>
      </c>
      <c r="I497">
        <f t="shared" si="31"/>
        <v>0</v>
      </c>
      <c r="K497" t="s">
        <v>496</v>
      </c>
    </row>
    <row r="498" spans="1:11">
      <c r="A498">
        <v>498</v>
      </c>
      <c r="B498" t="s">
        <v>419</v>
      </c>
      <c r="C498" t="str">
        <f t="shared" si="32"/>
        <v>prog_char string_498[] PROGMEM = "ra";</v>
      </c>
      <c r="D498" t="str">
        <f t="shared" si="33"/>
        <v>string_498,</v>
      </c>
      <c r="E498">
        <f t="shared" si="30"/>
        <v>2</v>
      </c>
      <c r="H498" t="s">
        <v>497</v>
      </c>
      <c r="I498">
        <f t="shared" si="31"/>
        <v>0</v>
      </c>
      <c r="K498" t="s">
        <v>497</v>
      </c>
    </row>
    <row r="499" spans="1:11">
      <c r="A499">
        <v>499</v>
      </c>
      <c r="B499" t="s">
        <v>420</v>
      </c>
      <c r="C499" t="str">
        <f t="shared" si="32"/>
        <v>prog_char string_499[] PROGMEM = "ran";</v>
      </c>
      <c r="D499" t="str">
        <f t="shared" si="33"/>
        <v>string_499,</v>
      </c>
      <c r="E499">
        <f t="shared" si="30"/>
        <v>3</v>
      </c>
      <c r="H499" t="s">
        <v>498</v>
      </c>
      <c r="I499">
        <f t="shared" si="31"/>
        <v>1</v>
      </c>
      <c r="K499" t="s">
        <v>498</v>
      </c>
    </row>
    <row r="500" spans="1:11">
      <c r="A500">
        <v>500</v>
      </c>
      <c r="B500" t="s">
        <v>421</v>
      </c>
      <c r="C500" t="str">
        <f t="shared" si="32"/>
        <v>prog_char string_500[] PROGMEM = "rat";</v>
      </c>
      <c r="D500" t="str">
        <f t="shared" si="33"/>
        <v>string_500,</v>
      </c>
      <c r="E500">
        <f t="shared" si="30"/>
        <v>3</v>
      </c>
      <c r="H500" t="s">
        <v>499</v>
      </c>
      <c r="I500">
        <f t="shared" si="31"/>
        <v>0</v>
      </c>
      <c r="K500" t="s">
        <v>499</v>
      </c>
    </row>
    <row r="501" spans="1:11">
      <c r="A501">
        <v>501</v>
      </c>
      <c r="B501" t="s">
        <v>423</v>
      </c>
      <c r="C501" t="str">
        <f t="shared" si="32"/>
        <v>prog_char string_501[] PROGMEM = "rc";</v>
      </c>
      <c r="D501" t="str">
        <f t="shared" si="33"/>
        <v>string_501,</v>
      </c>
      <c r="E501">
        <f t="shared" si="30"/>
        <v>2</v>
      </c>
      <c r="H501" t="s">
        <v>500</v>
      </c>
      <c r="I501">
        <f t="shared" si="31"/>
        <v>0</v>
      </c>
      <c r="K501" t="s">
        <v>500</v>
      </c>
    </row>
    <row r="502" spans="1:11">
      <c r="A502">
        <v>502</v>
      </c>
      <c r="B502" t="s">
        <v>1940</v>
      </c>
      <c r="C502" t="str">
        <f t="shared" si="32"/>
        <v>prog_char string_502[] PROGMEM = "rch";</v>
      </c>
      <c r="D502" t="str">
        <f t="shared" si="33"/>
        <v>string_502,</v>
      </c>
      <c r="E502">
        <f t="shared" si="30"/>
        <v>3</v>
      </c>
      <c r="H502" t="s">
        <v>501</v>
      </c>
      <c r="I502">
        <f t="shared" si="31"/>
        <v>1</v>
      </c>
      <c r="K502" t="s">
        <v>501</v>
      </c>
    </row>
    <row r="503" spans="1:11">
      <c r="A503">
        <v>503</v>
      </c>
      <c r="B503" t="s">
        <v>424</v>
      </c>
      <c r="C503" t="str">
        <f t="shared" si="32"/>
        <v>prog_char string_503[] PROGMEM = "rd";</v>
      </c>
      <c r="D503" t="str">
        <f t="shared" si="33"/>
        <v>string_503,</v>
      </c>
      <c r="E503">
        <f t="shared" si="30"/>
        <v>2</v>
      </c>
      <c r="H503" t="s">
        <v>502</v>
      </c>
      <c r="I503">
        <f t="shared" si="31"/>
        <v>0</v>
      </c>
      <c r="K503" t="s">
        <v>502</v>
      </c>
    </row>
    <row r="504" spans="1:11">
      <c r="A504">
        <v>504</v>
      </c>
      <c r="B504" t="s">
        <v>425</v>
      </c>
      <c r="C504" t="str">
        <f t="shared" si="32"/>
        <v>prog_char string_504[] PROGMEM = "re";</v>
      </c>
      <c r="D504" t="str">
        <f t="shared" si="33"/>
        <v>string_504,</v>
      </c>
      <c r="E504">
        <f t="shared" si="30"/>
        <v>2</v>
      </c>
      <c r="H504" t="s">
        <v>503</v>
      </c>
      <c r="I504">
        <f t="shared" si="31"/>
        <v>0</v>
      </c>
      <c r="K504" t="s">
        <v>503</v>
      </c>
    </row>
    <row r="505" spans="1:11">
      <c r="A505">
        <v>505</v>
      </c>
      <c r="B505" t="s">
        <v>426</v>
      </c>
      <c r="C505" t="str">
        <f t="shared" si="32"/>
        <v>prog_char string_505[] PROGMEM = "rea";</v>
      </c>
      <c r="D505" t="str">
        <f t="shared" si="33"/>
        <v>string_505,</v>
      </c>
      <c r="E505">
        <f t="shared" si="30"/>
        <v>3</v>
      </c>
      <c r="H505" t="s">
        <v>504</v>
      </c>
      <c r="I505">
        <f t="shared" si="31"/>
        <v>1</v>
      </c>
      <c r="K505" t="s">
        <v>504</v>
      </c>
    </row>
    <row r="506" spans="1:11">
      <c r="A506">
        <v>506</v>
      </c>
      <c r="B506" t="s">
        <v>795</v>
      </c>
      <c r="C506" t="str">
        <f t="shared" si="32"/>
        <v>prog_char string_506[] PROGMEM = "reach";</v>
      </c>
      <c r="D506" t="str">
        <f t="shared" si="33"/>
        <v>string_506,</v>
      </c>
      <c r="E506">
        <f t="shared" si="30"/>
        <v>5</v>
      </c>
      <c r="H506" t="s">
        <v>505</v>
      </c>
      <c r="I506">
        <f t="shared" si="31"/>
        <v>1</v>
      </c>
      <c r="K506" t="s">
        <v>505</v>
      </c>
    </row>
    <row r="507" spans="1:11">
      <c r="A507">
        <v>507</v>
      </c>
      <c r="B507" t="s">
        <v>427</v>
      </c>
      <c r="C507" t="str">
        <f t="shared" si="32"/>
        <v>prog_char string_507[] PROGMEM = "read";</v>
      </c>
      <c r="D507" t="str">
        <f t="shared" si="33"/>
        <v>string_507,</v>
      </c>
      <c r="E507">
        <f t="shared" si="30"/>
        <v>4</v>
      </c>
      <c r="H507" t="s">
        <v>506</v>
      </c>
      <c r="I507">
        <f t="shared" si="31"/>
        <v>0</v>
      </c>
      <c r="K507" t="s">
        <v>506</v>
      </c>
    </row>
    <row r="508" spans="1:11">
      <c r="A508">
        <v>508</v>
      </c>
      <c r="B508" t="s">
        <v>749</v>
      </c>
      <c r="C508" t="str">
        <f t="shared" si="32"/>
        <v>prog_char string_508[] PROGMEM = "ready";</v>
      </c>
      <c r="D508" t="str">
        <f t="shared" si="33"/>
        <v>string_508,</v>
      </c>
      <c r="E508">
        <f t="shared" si="30"/>
        <v>5</v>
      </c>
      <c r="H508" t="s">
        <v>507</v>
      </c>
      <c r="I508">
        <f t="shared" si="31"/>
        <v>1</v>
      </c>
      <c r="K508" t="s">
        <v>507</v>
      </c>
    </row>
    <row r="509" spans="1:11">
      <c r="A509">
        <v>509</v>
      </c>
      <c r="B509" t="s">
        <v>428</v>
      </c>
      <c r="C509" t="str">
        <f t="shared" si="32"/>
        <v>prog_char string_509[] PROGMEM = "real";</v>
      </c>
      <c r="D509" t="str">
        <f t="shared" si="33"/>
        <v>string_509,</v>
      </c>
      <c r="E509">
        <f t="shared" si="30"/>
        <v>4</v>
      </c>
      <c r="H509" t="s">
        <v>508</v>
      </c>
      <c r="I509">
        <f t="shared" si="31"/>
        <v>1</v>
      </c>
      <c r="K509" t="s">
        <v>508</v>
      </c>
    </row>
    <row r="510" spans="1:11">
      <c r="A510">
        <v>510</v>
      </c>
      <c r="B510" t="s">
        <v>1908</v>
      </c>
      <c r="C510" t="str">
        <f t="shared" si="32"/>
        <v>prog_char string_510[] PROGMEM = "rec";</v>
      </c>
      <c r="D510" t="str">
        <f t="shared" si="33"/>
        <v>string_510,</v>
      </c>
      <c r="E510">
        <f t="shared" si="30"/>
        <v>3</v>
      </c>
      <c r="H510" t="s">
        <v>509</v>
      </c>
      <c r="I510">
        <f t="shared" si="31"/>
        <v>2</v>
      </c>
      <c r="K510" t="s">
        <v>509</v>
      </c>
    </row>
    <row r="511" spans="1:11">
      <c r="A511">
        <v>511</v>
      </c>
      <c r="B511" t="s">
        <v>890</v>
      </c>
      <c r="C511" t="str">
        <f t="shared" si="32"/>
        <v>prog_char string_511[] PROGMEM = "record";</v>
      </c>
      <c r="D511" t="str">
        <f t="shared" si="33"/>
        <v>string_511,</v>
      </c>
      <c r="E511">
        <f t="shared" si="30"/>
        <v>6</v>
      </c>
      <c r="H511" t="s">
        <v>510</v>
      </c>
      <c r="I511">
        <f t="shared" si="31"/>
        <v>1</v>
      </c>
      <c r="K511" t="s">
        <v>510</v>
      </c>
    </row>
    <row r="512" spans="1:11">
      <c r="A512">
        <v>512</v>
      </c>
      <c r="B512" t="s">
        <v>751</v>
      </c>
      <c r="C512" t="str">
        <f t="shared" si="32"/>
        <v>prog_char string_512[] PROGMEM = "red";</v>
      </c>
      <c r="D512" t="str">
        <f t="shared" si="33"/>
        <v>string_512,</v>
      </c>
      <c r="E512">
        <f t="shared" si="30"/>
        <v>3</v>
      </c>
      <c r="H512" t="s">
        <v>511</v>
      </c>
      <c r="I512">
        <f t="shared" si="31"/>
        <v>1</v>
      </c>
      <c r="K512" t="s">
        <v>511</v>
      </c>
    </row>
    <row r="513" spans="1:11">
      <c r="A513">
        <v>513</v>
      </c>
      <c r="B513" t="s">
        <v>1893</v>
      </c>
      <c r="C513" t="str">
        <f t="shared" si="32"/>
        <v>prog_char string_513[] PROGMEM = "ree";</v>
      </c>
      <c r="D513" t="str">
        <f t="shared" si="33"/>
        <v>string_513,</v>
      </c>
      <c r="E513">
        <f t="shared" ref="E513:E576" si="34">LEN(B513)</f>
        <v>3</v>
      </c>
      <c r="H513" t="s">
        <v>512</v>
      </c>
      <c r="I513">
        <f t="shared" ref="I513:I576" si="35">IF(ISNUMBER(FIND("e",H513)),1,0)+IF(ISNUMBER(FIND("n",H513)),1,0)</f>
        <v>1</v>
      </c>
      <c r="K513" t="s">
        <v>512</v>
      </c>
    </row>
    <row r="514" spans="1:11">
      <c r="A514">
        <v>514</v>
      </c>
      <c r="B514" t="s">
        <v>1929</v>
      </c>
      <c r="C514" t="str">
        <f t="shared" si="32"/>
        <v>prog_char string_514[] PROGMEM = "ren";</v>
      </c>
      <c r="D514" t="str">
        <f t="shared" si="33"/>
        <v>string_514,</v>
      </c>
      <c r="E514">
        <f t="shared" si="34"/>
        <v>3</v>
      </c>
      <c r="H514" t="s">
        <v>513</v>
      </c>
      <c r="I514">
        <f t="shared" si="35"/>
        <v>1</v>
      </c>
      <c r="K514" t="s">
        <v>513</v>
      </c>
    </row>
    <row r="515" spans="1:11">
      <c r="A515">
        <v>515</v>
      </c>
      <c r="B515" t="s">
        <v>432</v>
      </c>
      <c r="C515" t="str">
        <f t="shared" si="32"/>
        <v>prog_char string_515[] PROGMEM = "res";</v>
      </c>
      <c r="D515" t="str">
        <f t="shared" si="33"/>
        <v>string_515,</v>
      </c>
      <c r="E515">
        <f t="shared" si="34"/>
        <v>3</v>
      </c>
      <c r="H515" t="s">
        <v>514</v>
      </c>
      <c r="I515">
        <f t="shared" si="35"/>
        <v>0</v>
      </c>
      <c r="K515" t="s">
        <v>514</v>
      </c>
    </row>
    <row r="516" spans="1:11">
      <c r="A516">
        <v>516</v>
      </c>
      <c r="B516" t="s">
        <v>844</v>
      </c>
      <c r="C516" t="str">
        <f t="shared" si="32"/>
        <v>prog_char string_516[] PROGMEM = "rest";</v>
      </c>
      <c r="D516" t="str">
        <f t="shared" si="33"/>
        <v>string_516,</v>
      </c>
      <c r="E516">
        <f t="shared" si="34"/>
        <v>4</v>
      </c>
      <c r="H516" t="s">
        <v>515</v>
      </c>
      <c r="I516">
        <f t="shared" si="35"/>
        <v>0</v>
      </c>
      <c r="K516" t="s">
        <v>515</v>
      </c>
    </row>
    <row r="517" spans="1:11">
      <c r="A517">
        <v>517</v>
      </c>
      <c r="B517" t="s">
        <v>440</v>
      </c>
      <c r="C517" t="str">
        <f t="shared" si="32"/>
        <v>prog_char string_517[] PROGMEM = "ri";</v>
      </c>
      <c r="D517" t="str">
        <f t="shared" si="33"/>
        <v>string_517,</v>
      </c>
      <c r="E517">
        <f t="shared" si="34"/>
        <v>2</v>
      </c>
      <c r="H517" t="s">
        <v>516</v>
      </c>
      <c r="I517">
        <f t="shared" si="35"/>
        <v>1</v>
      </c>
      <c r="K517" t="s">
        <v>516</v>
      </c>
    </row>
    <row r="518" spans="1:11">
      <c r="A518">
        <v>518</v>
      </c>
      <c r="B518" t="s">
        <v>1932</v>
      </c>
      <c r="C518" t="str">
        <f t="shared" si="32"/>
        <v>prog_char string_518[] PROGMEM = "ric";</v>
      </c>
      <c r="D518" t="str">
        <f t="shared" si="33"/>
        <v>string_518,</v>
      </c>
      <c r="E518">
        <f t="shared" si="34"/>
        <v>3</v>
      </c>
      <c r="H518" t="s">
        <v>517</v>
      </c>
      <c r="I518">
        <f t="shared" si="35"/>
        <v>0</v>
      </c>
      <c r="K518" t="s">
        <v>517</v>
      </c>
    </row>
    <row r="519" spans="1:11">
      <c r="A519">
        <v>519</v>
      </c>
      <c r="B519" t="s">
        <v>1969</v>
      </c>
      <c r="C519" t="str">
        <f t="shared" ref="C519:C582" si="36">"prog_char string_"&amp;A519&amp;"[] PROGMEM = """&amp;B519&amp;""";"</f>
        <v>prog_char string_519[] PROGMEM = "rie";</v>
      </c>
      <c r="D519" t="str">
        <f t="shared" ref="D519:D582" si="37">"string_" &amp; A519 &amp; ","</f>
        <v>string_519,</v>
      </c>
      <c r="E519">
        <f t="shared" si="34"/>
        <v>3</v>
      </c>
      <c r="H519" t="s">
        <v>518</v>
      </c>
      <c r="I519">
        <f t="shared" si="35"/>
        <v>1</v>
      </c>
      <c r="K519" t="s">
        <v>518</v>
      </c>
    </row>
    <row r="520" spans="1:11">
      <c r="A520">
        <v>520</v>
      </c>
      <c r="B520" t="s">
        <v>441</v>
      </c>
      <c r="C520" t="str">
        <f t="shared" si="36"/>
        <v>prog_char string_520[] PROGMEM = "right";</v>
      </c>
      <c r="D520" t="str">
        <f t="shared" si="37"/>
        <v>string_520,</v>
      </c>
      <c r="E520">
        <f t="shared" si="34"/>
        <v>5</v>
      </c>
      <c r="H520" t="s">
        <v>519</v>
      </c>
      <c r="I520">
        <f t="shared" si="35"/>
        <v>1</v>
      </c>
      <c r="K520" t="s">
        <v>519</v>
      </c>
    </row>
    <row r="521" spans="1:11">
      <c r="A521">
        <v>521</v>
      </c>
      <c r="B521" t="s">
        <v>443</v>
      </c>
      <c r="C521" t="str">
        <f t="shared" si="36"/>
        <v>prog_char string_521[] PROGMEM = "rin";</v>
      </c>
      <c r="D521" t="str">
        <f t="shared" si="37"/>
        <v>string_521,</v>
      </c>
      <c r="E521">
        <f t="shared" si="34"/>
        <v>3</v>
      </c>
      <c r="H521" t="s">
        <v>520</v>
      </c>
      <c r="I521">
        <f t="shared" si="35"/>
        <v>1</v>
      </c>
      <c r="K521" t="s">
        <v>520</v>
      </c>
    </row>
    <row r="522" spans="1:11">
      <c r="A522">
        <v>522</v>
      </c>
      <c r="B522" t="s">
        <v>444</v>
      </c>
      <c r="C522" t="str">
        <f t="shared" si="36"/>
        <v>prog_char string_522[] PROGMEM = "rm";</v>
      </c>
      <c r="D522" t="str">
        <f t="shared" si="37"/>
        <v>string_522,</v>
      </c>
      <c r="E522">
        <f t="shared" si="34"/>
        <v>2</v>
      </c>
      <c r="H522" t="s">
        <v>521</v>
      </c>
      <c r="I522">
        <f t="shared" si="35"/>
        <v>2</v>
      </c>
      <c r="K522" t="s">
        <v>521</v>
      </c>
    </row>
    <row r="523" spans="1:11">
      <c r="A523">
        <v>523</v>
      </c>
      <c r="B523" t="s">
        <v>1963</v>
      </c>
      <c r="C523" t="str">
        <f t="shared" si="36"/>
        <v>prog_char string_523[] PROGMEM = "rma";</v>
      </c>
      <c r="D523" t="str">
        <f t="shared" si="37"/>
        <v>string_523,</v>
      </c>
      <c r="E523">
        <f t="shared" si="34"/>
        <v>3</v>
      </c>
      <c r="H523" t="s">
        <v>522</v>
      </c>
      <c r="I523">
        <f t="shared" si="35"/>
        <v>1</v>
      </c>
      <c r="K523" t="s">
        <v>522</v>
      </c>
    </row>
    <row r="524" spans="1:11">
      <c r="A524">
        <v>524</v>
      </c>
      <c r="B524" t="s">
        <v>445</v>
      </c>
      <c r="C524" t="str">
        <f t="shared" si="36"/>
        <v>prog_char string_524[] PROGMEM = "rn";</v>
      </c>
      <c r="D524" t="str">
        <f t="shared" si="37"/>
        <v>string_524,</v>
      </c>
      <c r="E524">
        <f t="shared" si="34"/>
        <v>2</v>
      </c>
      <c r="H524" t="s">
        <v>523</v>
      </c>
      <c r="I524">
        <f t="shared" si="35"/>
        <v>1</v>
      </c>
      <c r="K524" t="s">
        <v>523</v>
      </c>
    </row>
    <row r="525" spans="1:11">
      <c r="A525">
        <v>525</v>
      </c>
      <c r="B525" t="s">
        <v>446</v>
      </c>
      <c r="C525" t="str">
        <f t="shared" si="36"/>
        <v>prog_char string_525[] PROGMEM = "ro";</v>
      </c>
      <c r="D525" t="str">
        <f t="shared" si="37"/>
        <v>string_525,</v>
      </c>
      <c r="E525">
        <f t="shared" si="34"/>
        <v>2</v>
      </c>
      <c r="H525" t="s">
        <v>524</v>
      </c>
      <c r="I525">
        <f t="shared" si="35"/>
        <v>1</v>
      </c>
      <c r="K525" t="s">
        <v>524</v>
      </c>
    </row>
    <row r="526" spans="1:11">
      <c r="A526">
        <v>526</v>
      </c>
      <c r="B526" t="s">
        <v>818</v>
      </c>
      <c r="C526" t="str">
        <f t="shared" si="36"/>
        <v>prog_char string_526[] PROGMEM = "road";</v>
      </c>
      <c r="D526" t="str">
        <f t="shared" si="37"/>
        <v>string_526,</v>
      </c>
      <c r="E526">
        <f t="shared" si="34"/>
        <v>4</v>
      </c>
      <c r="H526" t="s">
        <v>525</v>
      </c>
      <c r="I526">
        <f t="shared" si="35"/>
        <v>1</v>
      </c>
      <c r="K526" t="s">
        <v>525</v>
      </c>
    </row>
    <row r="527" spans="1:11">
      <c r="A527">
        <v>527</v>
      </c>
      <c r="B527" t="s">
        <v>1907</v>
      </c>
      <c r="C527" t="str">
        <f t="shared" si="36"/>
        <v>prog_char string_527[] PROGMEM = "rom";</v>
      </c>
      <c r="D527" t="str">
        <f t="shared" si="37"/>
        <v>string_527,</v>
      </c>
      <c r="E527">
        <f t="shared" si="34"/>
        <v>3</v>
      </c>
      <c r="H527" t="s">
        <v>526</v>
      </c>
      <c r="I527">
        <f t="shared" si="35"/>
        <v>0</v>
      </c>
      <c r="K527" t="s">
        <v>526</v>
      </c>
    </row>
    <row r="528" spans="1:11">
      <c r="A528">
        <v>528</v>
      </c>
      <c r="B528" t="s">
        <v>727</v>
      </c>
      <c r="C528" t="str">
        <f t="shared" si="36"/>
        <v>prog_char string_528[] PROGMEM = "room";</v>
      </c>
      <c r="D528" t="str">
        <f t="shared" si="37"/>
        <v>string_528,</v>
      </c>
      <c r="E528">
        <f t="shared" si="34"/>
        <v>4</v>
      </c>
      <c r="H528" t="s">
        <v>527</v>
      </c>
      <c r="I528">
        <f t="shared" si="35"/>
        <v>1</v>
      </c>
      <c r="K528" t="s">
        <v>527</v>
      </c>
    </row>
    <row r="529" spans="1:11">
      <c r="A529">
        <v>529</v>
      </c>
      <c r="B529" t="s">
        <v>448</v>
      </c>
      <c r="C529" t="str">
        <f t="shared" si="36"/>
        <v>prog_char string_529[] PROGMEM = "rs";</v>
      </c>
      <c r="D529" t="str">
        <f t="shared" si="37"/>
        <v>string_529,</v>
      </c>
      <c r="E529">
        <f t="shared" si="34"/>
        <v>2</v>
      </c>
      <c r="H529" t="s">
        <v>528</v>
      </c>
      <c r="I529">
        <f t="shared" si="35"/>
        <v>1</v>
      </c>
      <c r="K529" t="s">
        <v>528</v>
      </c>
    </row>
    <row r="530" spans="1:11">
      <c r="A530">
        <v>530</v>
      </c>
      <c r="B530" t="s">
        <v>449</v>
      </c>
      <c r="C530" t="str">
        <f t="shared" si="36"/>
        <v>prog_char string_530[] PROGMEM = "rt";</v>
      </c>
      <c r="D530" t="str">
        <f t="shared" si="37"/>
        <v>string_530,</v>
      </c>
      <c r="E530">
        <f t="shared" si="34"/>
        <v>2</v>
      </c>
      <c r="H530" t="s">
        <v>529</v>
      </c>
      <c r="I530">
        <f t="shared" si="35"/>
        <v>0</v>
      </c>
      <c r="K530" t="s">
        <v>529</v>
      </c>
    </row>
    <row r="531" spans="1:11">
      <c r="A531">
        <v>531</v>
      </c>
      <c r="B531" t="s">
        <v>1935</v>
      </c>
      <c r="C531" t="str">
        <f t="shared" si="36"/>
        <v>prog_char string_531[] PROGMEM = "rth";</v>
      </c>
      <c r="D531" t="str">
        <f t="shared" si="37"/>
        <v>string_531,</v>
      </c>
      <c r="E531">
        <f t="shared" si="34"/>
        <v>3</v>
      </c>
      <c r="H531" t="s">
        <v>530</v>
      </c>
      <c r="I531">
        <f t="shared" si="35"/>
        <v>1</v>
      </c>
      <c r="K531" t="s">
        <v>530</v>
      </c>
    </row>
    <row r="532" spans="1:11">
      <c r="A532">
        <v>532</v>
      </c>
      <c r="B532" t="s">
        <v>697</v>
      </c>
      <c r="C532" t="str">
        <f t="shared" si="36"/>
        <v>prog_char string_532[] PROGMEM = "run";</v>
      </c>
      <c r="D532" t="str">
        <f t="shared" si="37"/>
        <v>string_532,</v>
      </c>
      <c r="E532">
        <f t="shared" si="34"/>
        <v>3</v>
      </c>
      <c r="H532" t="s">
        <v>531</v>
      </c>
      <c r="I532">
        <f t="shared" si="35"/>
        <v>1</v>
      </c>
      <c r="K532" t="s">
        <v>531</v>
      </c>
    </row>
    <row r="533" spans="1:11">
      <c r="A533">
        <v>533</v>
      </c>
      <c r="B533" t="s">
        <v>451</v>
      </c>
      <c r="C533" t="str">
        <f t="shared" si="36"/>
        <v>prog_char string_533[] PROGMEM = "ry";</v>
      </c>
      <c r="D533" t="str">
        <f t="shared" si="37"/>
        <v>string_533,</v>
      </c>
      <c r="E533">
        <f t="shared" si="34"/>
        <v>2</v>
      </c>
      <c r="H533" t="s">
        <v>532</v>
      </c>
      <c r="I533">
        <f t="shared" si="35"/>
        <v>0</v>
      </c>
      <c r="K533" t="s">
        <v>532</v>
      </c>
    </row>
    <row r="534" spans="1:11">
      <c r="A534">
        <v>534</v>
      </c>
      <c r="B534" t="s">
        <v>452</v>
      </c>
      <c r="C534" t="str">
        <f t="shared" si="36"/>
        <v>prog_char string_534[] PROGMEM = "sa";</v>
      </c>
      <c r="D534" t="str">
        <f t="shared" si="37"/>
        <v>string_534,</v>
      </c>
      <c r="E534">
        <f t="shared" si="34"/>
        <v>2</v>
      </c>
      <c r="H534" t="s">
        <v>533</v>
      </c>
      <c r="I534">
        <f t="shared" si="35"/>
        <v>0</v>
      </c>
      <c r="K534" t="s">
        <v>533</v>
      </c>
    </row>
    <row r="535" spans="1:11">
      <c r="A535">
        <v>535</v>
      </c>
      <c r="B535" t="s">
        <v>454</v>
      </c>
      <c r="C535" t="str">
        <f t="shared" si="36"/>
        <v>prog_char string_535[] PROGMEM = "same";</v>
      </c>
      <c r="D535" t="str">
        <f t="shared" si="37"/>
        <v>string_535,</v>
      </c>
      <c r="E535">
        <f t="shared" si="34"/>
        <v>4</v>
      </c>
      <c r="H535" t="s">
        <v>534</v>
      </c>
      <c r="I535">
        <f t="shared" si="35"/>
        <v>1</v>
      </c>
      <c r="K535" t="s">
        <v>534</v>
      </c>
    </row>
    <row r="536" spans="1:11">
      <c r="A536">
        <v>536</v>
      </c>
      <c r="B536" t="s">
        <v>455</v>
      </c>
      <c r="C536" t="str">
        <f t="shared" si="36"/>
        <v>prog_char string_536[] PROGMEM = "san";</v>
      </c>
      <c r="D536" t="str">
        <f t="shared" si="37"/>
        <v>string_536,</v>
      </c>
      <c r="E536">
        <f t="shared" si="34"/>
        <v>3</v>
      </c>
      <c r="H536" t="s">
        <v>535</v>
      </c>
      <c r="I536">
        <f t="shared" si="35"/>
        <v>1</v>
      </c>
      <c r="K536" t="s">
        <v>535</v>
      </c>
    </row>
    <row r="537" spans="1:11">
      <c r="A537">
        <v>537</v>
      </c>
      <c r="B537" t="s">
        <v>634</v>
      </c>
      <c r="C537" t="str">
        <f t="shared" si="36"/>
        <v>prog_char string_537[] PROGMEM = "say";</v>
      </c>
      <c r="D537" t="str">
        <f t="shared" si="37"/>
        <v>string_537,</v>
      </c>
      <c r="E537">
        <f t="shared" si="34"/>
        <v>3</v>
      </c>
      <c r="H537" t="s">
        <v>536</v>
      </c>
      <c r="I537">
        <f t="shared" si="35"/>
        <v>1</v>
      </c>
      <c r="K537" t="s">
        <v>536</v>
      </c>
    </row>
    <row r="538" spans="1:11">
      <c r="A538">
        <v>538</v>
      </c>
      <c r="B538" t="s">
        <v>457</v>
      </c>
      <c r="C538" t="str">
        <f t="shared" si="36"/>
        <v>prog_char string_538[] PROGMEM = "sc";</v>
      </c>
      <c r="D538" t="str">
        <f t="shared" si="37"/>
        <v>string_538,</v>
      </c>
      <c r="E538">
        <f t="shared" si="34"/>
        <v>2</v>
      </c>
      <c r="H538" t="s">
        <v>537</v>
      </c>
      <c r="I538">
        <f t="shared" si="35"/>
        <v>0</v>
      </c>
      <c r="K538" t="s">
        <v>537</v>
      </c>
    </row>
    <row r="539" spans="1:11">
      <c r="A539">
        <v>539</v>
      </c>
      <c r="B539" t="s">
        <v>458</v>
      </c>
      <c r="C539" t="str">
        <f t="shared" si="36"/>
        <v>prog_char string_539[] PROGMEM = "school";</v>
      </c>
      <c r="D539" t="str">
        <f t="shared" si="37"/>
        <v>string_539,</v>
      </c>
      <c r="E539">
        <f t="shared" si="34"/>
        <v>6</v>
      </c>
      <c r="H539" t="s">
        <v>538</v>
      </c>
      <c r="I539">
        <f t="shared" si="35"/>
        <v>1</v>
      </c>
      <c r="K539" t="s">
        <v>538</v>
      </c>
    </row>
    <row r="540" spans="1:11">
      <c r="A540">
        <v>540</v>
      </c>
      <c r="B540" t="s">
        <v>459</v>
      </c>
      <c r="C540" t="str">
        <f t="shared" si="36"/>
        <v>prog_char string_540[] PROGMEM = "se";</v>
      </c>
      <c r="D540" t="str">
        <f t="shared" si="37"/>
        <v>string_540,</v>
      </c>
      <c r="E540">
        <f t="shared" si="34"/>
        <v>2</v>
      </c>
      <c r="H540" t="s">
        <v>539</v>
      </c>
      <c r="I540">
        <f t="shared" si="35"/>
        <v>1</v>
      </c>
      <c r="K540" t="s">
        <v>539</v>
      </c>
    </row>
    <row r="541" spans="1:11">
      <c r="A541">
        <v>541</v>
      </c>
      <c r="B541" t="s">
        <v>693</v>
      </c>
      <c r="C541" t="str">
        <f t="shared" si="36"/>
        <v>prog_char string_541[] PROGMEM = "sea";</v>
      </c>
      <c r="D541" t="str">
        <f t="shared" si="37"/>
        <v>string_541,</v>
      </c>
      <c r="E541">
        <f t="shared" si="34"/>
        <v>3</v>
      </c>
      <c r="H541" t="s">
        <v>540</v>
      </c>
      <c r="I541">
        <f t="shared" si="35"/>
        <v>0</v>
      </c>
      <c r="K541" t="s">
        <v>540</v>
      </c>
    </row>
    <row r="542" spans="1:11">
      <c r="A542">
        <v>542</v>
      </c>
      <c r="B542" t="s">
        <v>722</v>
      </c>
      <c r="C542" t="str">
        <f t="shared" si="36"/>
        <v>prog_char string_542[] PROGMEM = "second";</v>
      </c>
      <c r="D542" t="str">
        <f t="shared" si="37"/>
        <v>string_542,</v>
      </c>
      <c r="E542">
        <f t="shared" si="34"/>
        <v>6</v>
      </c>
      <c r="H542" t="s">
        <v>541</v>
      </c>
      <c r="I542">
        <f t="shared" si="35"/>
        <v>0</v>
      </c>
      <c r="K542" t="s">
        <v>541</v>
      </c>
    </row>
    <row r="543" spans="1:11">
      <c r="A543">
        <v>543</v>
      </c>
      <c r="B543" t="s">
        <v>461</v>
      </c>
      <c r="C543" t="str">
        <f t="shared" si="36"/>
        <v>prog_char string_543[] PROGMEM = "section";</v>
      </c>
      <c r="D543" t="str">
        <f t="shared" si="37"/>
        <v>string_543,</v>
      </c>
      <c r="E543">
        <f t="shared" si="34"/>
        <v>7</v>
      </c>
      <c r="H543" t="s">
        <v>542</v>
      </c>
      <c r="I543">
        <f t="shared" si="35"/>
        <v>0</v>
      </c>
      <c r="K543" t="s">
        <v>542</v>
      </c>
    </row>
    <row r="544" spans="1:11">
      <c r="A544">
        <v>544</v>
      </c>
      <c r="B544" t="s">
        <v>462</v>
      </c>
      <c r="C544" t="str">
        <f t="shared" si="36"/>
        <v>prog_char string_544[] PROGMEM = "see";</v>
      </c>
      <c r="D544" t="str">
        <f t="shared" si="37"/>
        <v>string_544,</v>
      </c>
      <c r="E544">
        <f t="shared" si="34"/>
        <v>3</v>
      </c>
      <c r="H544" t="s">
        <v>543</v>
      </c>
      <c r="I544">
        <f t="shared" si="35"/>
        <v>0</v>
      </c>
      <c r="K544" t="s">
        <v>543</v>
      </c>
    </row>
    <row r="545" spans="1:11">
      <c r="A545">
        <v>545</v>
      </c>
      <c r="B545" t="s">
        <v>704</v>
      </c>
      <c r="C545" t="str">
        <f t="shared" si="36"/>
        <v>prog_char string_545[] PROGMEM = "seem";</v>
      </c>
      <c r="D545" t="str">
        <f t="shared" si="37"/>
        <v>string_545,</v>
      </c>
      <c r="E545">
        <f t="shared" si="34"/>
        <v>4</v>
      </c>
      <c r="H545" t="s">
        <v>544</v>
      </c>
      <c r="I545">
        <f t="shared" si="35"/>
        <v>0</v>
      </c>
      <c r="K545" t="s">
        <v>544</v>
      </c>
    </row>
    <row r="546" spans="1:11">
      <c r="A546">
        <v>546</v>
      </c>
      <c r="B546" t="s">
        <v>464</v>
      </c>
      <c r="C546" t="str">
        <f t="shared" si="36"/>
        <v>prog_char string_546[] PROGMEM = "ser";</v>
      </c>
      <c r="D546" t="str">
        <f t="shared" si="37"/>
        <v>string_546,</v>
      </c>
      <c r="E546">
        <f t="shared" si="34"/>
        <v>3</v>
      </c>
      <c r="H546" t="s">
        <v>545</v>
      </c>
      <c r="I546">
        <f t="shared" si="35"/>
        <v>0</v>
      </c>
      <c r="K546" t="s">
        <v>545</v>
      </c>
    </row>
    <row r="547" spans="1:11">
      <c r="A547">
        <v>547</v>
      </c>
      <c r="B547" t="s">
        <v>816</v>
      </c>
      <c r="C547" t="str">
        <f t="shared" si="36"/>
        <v>prog_char string_547[] PROGMEM = "serve";</v>
      </c>
      <c r="D547" t="str">
        <f t="shared" si="37"/>
        <v>string_547,</v>
      </c>
      <c r="E547">
        <f t="shared" si="34"/>
        <v>5</v>
      </c>
      <c r="H547" t="s">
        <v>546</v>
      </c>
      <c r="I547">
        <f t="shared" si="35"/>
        <v>0</v>
      </c>
      <c r="K547" t="s">
        <v>546</v>
      </c>
    </row>
    <row r="548" spans="1:11">
      <c r="A548">
        <v>548</v>
      </c>
      <c r="B548" t="s">
        <v>466</v>
      </c>
      <c r="C548" t="str">
        <f t="shared" si="36"/>
        <v>prog_char string_548[] PROGMEM = "set";</v>
      </c>
      <c r="D548" t="str">
        <f t="shared" si="37"/>
        <v>string_548,</v>
      </c>
      <c r="E548">
        <f t="shared" si="34"/>
        <v>3</v>
      </c>
      <c r="H548" t="s">
        <v>547</v>
      </c>
      <c r="I548">
        <f t="shared" si="35"/>
        <v>0</v>
      </c>
      <c r="K548" t="s">
        <v>547</v>
      </c>
    </row>
    <row r="549" spans="1:11">
      <c r="A549">
        <v>549</v>
      </c>
      <c r="B549" t="s">
        <v>806</v>
      </c>
      <c r="C549" t="str">
        <f t="shared" si="36"/>
        <v>prog_char string_549[] PROGMEM = "several";</v>
      </c>
      <c r="D549" t="str">
        <f t="shared" si="37"/>
        <v>string_549,</v>
      </c>
      <c r="E549">
        <f t="shared" si="34"/>
        <v>7</v>
      </c>
      <c r="H549" t="s">
        <v>548</v>
      </c>
      <c r="I549">
        <f t="shared" si="35"/>
        <v>1</v>
      </c>
      <c r="K549" t="s">
        <v>548</v>
      </c>
    </row>
    <row r="550" spans="1:11">
      <c r="A550">
        <v>550</v>
      </c>
      <c r="B550" t="s">
        <v>468</v>
      </c>
      <c r="C550" t="str">
        <f t="shared" si="36"/>
        <v>prog_char string_550[] PROGMEM = "sh";</v>
      </c>
      <c r="D550" t="str">
        <f t="shared" si="37"/>
        <v>string_550,</v>
      </c>
      <c r="E550">
        <f t="shared" si="34"/>
        <v>2</v>
      </c>
      <c r="H550" t="s">
        <v>549</v>
      </c>
      <c r="I550">
        <f t="shared" si="35"/>
        <v>0</v>
      </c>
      <c r="K550" t="s">
        <v>549</v>
      </c>
    </row>
    <row r="551" spans="1:11">
      <c r="A551">
        <v>551</v>
      </c>
      <c r="B551" t="s">
        <v>469</v>
      </c>
      <c r="C551" t="str">
        <f t="shared" si="36"/>
        <v>prog_char string_551[] PROGMEM = "shall";</v>
      </c>
      <c r="D551" t="str">
        <f t="shared" si="37"/>
        <v>string_551,</v>
      </c>
      <c r="E551">
        <f t="shared" si="34"/>
        <v>5</v>
      </c>
      <c r="H551" t="s">
        <v>550</v>
      </c>
      <c r="I551">
        <f t="shared" si="35"/>
        <v>0</v>
      </c>
      <c r="K551" t="s">
        <v>550</v>
      </c>
    </row>
    <row r="552" spans="1:11">
      <c r="A552">
        <v>552</v>
      </c>
      <c r="B552" t="s">
        <v>470</v>
      </c>
      <c r="C552" t="str">
        <f t="shared" si="36"/>
        <v>prog_char string_552[] PROGMEM = "she";</v>
      </c>
      <c r="D552" t="str">
        <f t="shared" si="37"/>
        <v>string_552,</v>
      </c>
      <c r="E552">
        <f t="shared" si="34"/>
        <v>3</v>
      </c>
      <c r="H552" t="s">
        <v>551</v>
      </c>
      <c r="I552">
        <f t="shared" si="35"/>
        <v>0</v>
      </c>
      <c r="K552" t="s">
        <v>551</v>
      </c>
    </row>
    <row r="553" spans="1:11">
      <c r="A553">
        <v>553</v>
      </c>
      <c r="B553" t="s">
        <v>1928</v>
      </c>
      <c r="C553" t="str">
        <f t="shared" si="36"/>
        <v>prog_char string_553[] PROGMEM = "sho";</v>
      </c>
      <c r="D553" t="str">
        <f t="shared" si="37"/>
        <v>string_553,</v>
      </c>
      <c r="E553">
        <f t="shared" si="34"/>
        <v>3</v>
      </c>
      <c r="H553" t="s">
        <v>552</v>
      </c>
      <c r="I553">
        <f t="shared" si="35"/>
        <v>0</v>
      </c>
      <c r="K553" t="s">
        <v>552</v>
      </c>
    </row>
    <row r="554" spans="1:11">
      <c r="A554">
        <v>554</v>
      </c>
      <c r="B554" t="s">
        <v>765</v>
      </c>
      <c r="C554" t="str">
        <f t="shared" si="36"/>
        <v>prog_char string_554[] PROGMEM = "short";</v>
      </c>
      <c r="D554" t="str">
        <f t="shared" si="37"/>
        <v>string_554,</v>
      </c>
      <c r="E554">
        <f t="shared" si="34"/>
        <v>5</v>
      </c>
      <c r="H554" t="s">
        <v>553</v>
      </c>
      <c r="I554">
        <f t="shared" si="35"/>
        <v>0</v>
      </c>
      <c r="K554" t="s">
        <v>553</v>
      </c>
    </row>
    <row r="555" spans="1:11">
      <c r="A555">
        <v>555</v>
      </c>
      <c r="B555" t="s">
        <v>472</v>
      </c>
      <c r="C555" t="str">
        <f t="shared" si="36"/>
        <v>prog_char string_555[] PROGMEM = "should";</v>
      </c>
      <c r="D555" t="str">
        <f t="shared" si="37"/>
        <v>string_555,</v>
      </c>
      <c r="E555">
        <f t="shared" si="34"/>
        <v>6</v>
      </c>
      <c r="H555" t="s">
        <v>554</v>
      </c>
      <c r="I555">
        <f t="shared" si="35"/>
        <v>0</v>
      </c>
      <c r="K555" t="s">
        <v>554</v>
      </c>
    </row>
    <row r="556" spans="1:11">
      <c r="A556">
        <v>556</v>
      </c>
      <c r="B556" t="s">
        <v>473</v>
      </c>
      <c r="C556" t="str">
        <f t="shared" si="36"/>
        <v>prog_char string_556[] PROGMEM = "show";</v>
      </c>
      <c r="D556" t="str">
        <f t="shared" si="37"/>
        <v>string_556,</v>
      </c>
      <c r="E556">
        <f t="shared" si="34"/>
        <v>4</v>
      </c>
      <c r="H556" t="s">
        <v>555</v>
      </c>
      <c r="I556">
        <f t="shared" si="35"/>
        <v>1</v>
      </c>
      <c r="K556" t="s">
        <v>555</v>
      </c>
    </row>
    <row r="557" spans="1:11">
      <c r="A557">
        <v>557</v>
      </c>
      <c r="B557" t="s">
        <v>474</v>
      </c>
      <c r="C557" t="str">
        <f t="shared" si="36"/>
        <v>prog_char string_557[] PROGMEM = "si";</v>
      </c>
      <c r="D557" t="str">
        <f t="shared" si="37"/>
        <v>string_557,</v>
      </c>
      <c r="E557">
        <f t="shared" si="34"/>
        <v>2</v>
      </c>
      <c r="H557" t="s">
        <v>556</v>
      </c>
      <c r="I557">
        <f t="shared" si="35"/>
        <v>0</v>
      </c>
      <c r="K557" t="s">
        <v>556</v>
      </c>
    </row>
    <row r="558" spans="1:11">
      <c r="A558">
        <v>558</v>
      </c>
      <c r="B558" t="s">
        <v>627</v>
      </c>
      <c r="C558" t="str">
        <f t="shared" si="36"/>
        <v>prog_char string_558[] PROGMEM = "side";</v>
      </c>
      <c r="D558" t="str">
        <f t="shared" si="37"/>
        <v>string_558,</v>
      </c>
      <c r="E558">
        <f t="shared" si="34"/>
        <v>4</v>
      </c>
      <c r="H558" t="s">
        <v>557</v>
      </c>
      <c r="I558">
        <f t="shared" si="35"/>
        <v>0</v>
      </c>
      <c r="K558" t="s">
        <v>557</v>
      </c>
    </row>
    <row r="559" spans="1:11">
      <c r="A559">
        <v>559</v>
      </c>
      <c r="B559" t="s">
        <v>805</v>
      </c>
      <c r="C559" t="str">
        <f t="shared" si="36"/>
        <v>prog_char string_559[] PROGMEM = "simple";</v>
      </c>
      <c r="D559" t="str">
        <f t="shared" si="37"/>
        <v>string_559,</v>
      </c>
      <c r="E559">
        <f t="shared" si="34"/>
        <v>6</v>
      </c>
      <c r="H559" t="s">
        <v>558</v>
      </c>
      <c r="I559">
        <f t="shared" si="35"/>
        <v>1</v>
      </c>
      <c r="K559" t="s">
        <v>558</v>
      </c>
    </row>
    <row r="560" spans="1:11">
      <c r="A560">
        <v>560</v>
      </c>
      <c r="B560" t="s">
        <v>476</v>
      </c>
      <c r="C560" t="str">
        <f t="shared" si="36"/>
        <v>prog_char string_560[] PROGMEM = "sin";</v>
      </c>
      <c r="D560" t="str">
        <f t="shared" si="37"/>
        <v>string_560,</v>
      </c>
      <c r="E560">
        <f t="shared" si="34"/>
        <v>3</v>
      </c>
      <c r="H560" t="s">
        <v>559</v>
      </c>
      <c r="I560">
        <f t="shared" si="35"/>
        <v>0</v>
      </c>
      <c r="K560" t="s">
        <v>559</v>
      </c>
    </row>
    <row r="561" spans="1:11">
      <c r="A561">
        <v>561</v>
      </c>
      <c r="B561" t="s">
        <v>477</v>
      </c>
      <c r="C561" t="str">
        <f t="shared" si="36"/>
        <v>prog_char string_561[] PROGMEM = "since";</v>
      </c>
      <c r="D561" t="str">
        <f t="shared" si="37"/>
        <v>string_561,</v>
      </c>
      <c r="E561">
        <f t="shared" si="34"/>
        <v>5</v>
      </c>
      <c r="H561" t="s">
        <v>560</v>
      </c>
      <c r="I561">
        <f t="shared" si="35"/>
        <v>0</v>
      </c>
      <c r="K561" t="s">
        <v>560</v>
      </c>
    </row>
    <row r="562" spans="1:11">
      <c r="A562">
        <v>562</v>
      </c>
      <c r="B562" t="s">
        <v>962</v>
      </c>
      <c r="C562" t="str">
        <f t="shared" si="36"/>
        <v>prog_char string_562[] PROGMEM = "sit";</v>
      </c>
      <c r="D562" t="str">
        <f t="shared" si="37"/>
        <v>string_562,</v>
      </c>
      <c r="E562">
        <f t="shared" si="34"/>
        <v>3</v>
      </c>
      <c r="H562" t="s">
        <v>561</v>
      </c>
      <c r="I562">
        <f t="shared" si="35"/>
        <v>0</v>
      </c>
      <c r="K562" t="s">
        <v>561</v>
      </c>
    </row>
    <row r="563" spans="1:11">
      <c r="A563">
        <v>563</v>
      </c>
      <c r="B563" t="s">
        <v>800</v>
      </c>
      <c r="C563" t="str">
        <f t="shared" si="36"/>
        <v>prog_char string_563[] PROGMEM = "six";</v>
      </c>
      <c r="D563" t="str">
        <f t="shared" si="37"/>
        <v>string_563,</v>
      </c>
      <c r="E563">
        <f t="shared" si="34"/>
        <v>3</v>
      </c>
      <c r="H563" t="s">
        <v>562</v>
      </c>
      <c r="I563">
        <f t="shared" si="35"/>
        <v>1</v>
      </c>
      <c r="K563" t="s">
        <v>562</v>
      </c>
    </row>
    <row r="564" spans="1:11">
      <c r="A564">
        <v>564</v>
      </c>
      <c r="B564" t="s">
        <v>480</v>
      </c>
      <c r="C564" t="str">
        <f t="shared" si="36"/>
        <v>prog_char string_564[] PROGMEM = "size";</v>
      </c>
      <c r="D564" t="str">
        <f t="shared" si="37"/>
        <v>string_564,</v>
      </c>
      <c r="E564">
        <f t="shared" si="34"/>
        <v>4</v>
      </c>
      <c r="H564" t="s">
        <v>563</v>
      </c>
      <c r="I564">
        <f t="shared" si="35"/>
        <v>2</v>
      </c>
      <c r="K564" t="s">
        <v>563</v>
      </c>
    </row>
    <row r="565" spans="1:11">
      <c r="A565">
        <v>565</v>
      </c>
      <c r="B565" t="s">
        <v>481</v>
      </c>
      <c r="C565" t="str">
        <f t="shared" si="36"/>
        <v>prog_char string_565[] PROGMEM = "small";</v>
      </c>
      <c r="D565" t="str">
        <f t="shared" si="37"/>
        <v>string_565,</v>
      </c>
      <c r="E565">
        <f t="shared" si="34"/>
        <v>5</v>
      </c>
      <c r="H565" t="s">
        <v>564</v>
      </c>
      <c r="I565">
        <f t="shared" si="35"/>
        <v>2</v>
      </c>
      <c r="K565" t="s">
        <v>564</v>
      </c>
    </row>
    <row r="566" spans="1:11">
      <c r="A566">
        <v>566</v>
      </c>
      <c r="B566" t="s">
        <v>482</v>
      </c>
      <c r="C566" t="str">
        <f t="shared" si="36"/>
        <v>prog_char string_566[] PROGMEM = "so";</v>
      </c>
      <c r="D566" t="str">
        <f t="shared" si="37"/>
        <v>string_566,</v>
      </c>
      <c r="E566">
        <f t="shared" si="34"/>
        <v>2</v>
      </c>
      <c r="H566" t="s">
        <v>565</v>
      </c>
      <c r="I566">
        <f t="shared" si="35"/>
        <v>0</v>
      </c>
      <c r="K566" t="s">
        <v>565</v>
      </c>
    </row>
    <row r="567" spans="1:11">
      <c r="A567">
        <v>567</v>
      </c>
      <c r="B567" t="s">
        <v>1912</v>
      </c>
      <c r="C567" t="str">
        <f t="shared" si="36"/>
        <v>prog_char string_567[] PROGMEM = "sof";</v>
      </c>
      <c r="D567" t="str">
        <f t="shared" si="37"/>
        <v>string_567,</v>
      </c>
      <c r="E567">
        <f t="shared" si="34"/>
        <v>3</v>
      </c>
      <c r="H567" t="s">
        <v>566</v>
      </c>
      <c r="I567">
        <f t="shared" si="35"/>
        <v>0</v>
      </c>
      <c r="K567" t="s">
        <v>566</v>
      </c>
    </row>
    <row r="568" spans="1:11">
      <c r="A568">
        <v>568</v>
      </c>
      <c r="B568" t="s">
        <v>484</v>
      </c>
      <c r="C568" t="str">
        <f t="shared" si="36"/>
        <v>prog_char string_568[] PROGMEM = "some";</v>
      </c>
      <c r="D568" t="str">
        <f t="shared" si="37"/>
        <v>string_568,</v>
      </c>
      <c r="E568">
        <f t="shared" si="34"/>
        <v>4</v>
      </c>
      <c r="H568" t="s">
        <v>567</v>
      </c>
      <c r="I568">
        <f t="shared" si="35"/>
        <v>1</v>
      </c>
      <c r="K568" t="s">
        <v>567</v>
      </c>
    </row>
    <row r="569" spans="1:11">
      <c r="A569">
        <v>569</v>
      </c>
      <c r="B569" t="s">
        <v>1057</v>
      </c>
      <c r="C569" t="str">
        <f t="shared" si="36"/>
        <v>prog_char string_569[] PROGMEM = "son";</v>
      </c>
      <c r="D569" t="str">
        <f t="shared" si="37"/>
        <v>string_569,</v>
      </c>
      <c r="E569">
        <f t="shared" si="34"/>
        <v>3</v>
      </c>
      <c r="H569" t="s">
        <v>568</v>
      </c>
      <c r="I569">
        <f t="shared" si="35"/>
        <v>0</v>
      </c>
      <c r="K569" t="s">
        <v>568</v>
      </c>
    </row>
    <row r="570" spans="1:11">
      <c r="A570">
        <v>570</v>
      </c>
      <c r="B570" t="s">
        <v>756</v>
      </c>
      <c r="C570" t="str">
        <f t="shared" si="36"/>
        <v>prog_char string_570[] PROGMEM = "soon";</v>
      </c>
      <c r="D570" t="str">
        <f t="shared" si="37"/>
        <v>string_570,</v>
      </c>
      <c r="E570">
        <f t="shared" si="34"/>
        <v>4</v>
      </c>
      <c r="H570" t="s">
        <v>569</v>
      </c>
      <c r="I570">
        <f t="shared" si="35"/>
        <v>0</v>
      </c>
      <c r="K570" t="s">
        <v>569</v>
      </c>
    </row>
    <row r="571" spans="1:11">
      <c r="A571">
        <v>571</v>
      </c>
      <c r="B571" t="s">
        <v>626</v>
      </c>
      <c r="C571" t="str">
        <f t="shared" si="36"/>
        <v>prog_char string_571[] PROGMEM = "sound";</v>
      </c>
      <c r="D571" t="str">
        <f t="shared" si="37"/>
        <v>string_571,</v>
      </c>
      <c r="E571">
        <f t="shared" si="34"/>
        <v>5</v>
      </c>
      <c r="H571" t="s">
        <v>570</v>
      </c>
      <c r="I571">
        <f t="shared" si="35"/>
        <v>1</v>
      </c>
      <c r="K571" t="s">
        <v>570</v>
      </c>
    </row>
    <row r="572" spans="1:11">
      <c r="A572">
        <v>572</v>
      </c>
      <c r="B572" t="s">
        <v>485</v>
      </c>
      <c r="C572" t="str">
        <f t="shared" si="36"/>
        <v>prog_char string_572[] PROGMEM = "south";</v>
      </c>
      <c r="D572" t="str">
        <f t="shared" si="37"/>
        <v>string_572,</v>
      </c>
      <c r="E572">
        <f t="shared" si="34"/>
        <v>5</v>
      </c>
      <c r="H572" t="s">
        <v>571</v>
      </c>
      <c r="I572">
        <f t="shared" si="35"/>
        <v>1</v>
      </c>
      <c r="K572" t="s">
        <v>571</v>
      </c>
    </row>
    <row r="573" spans="1:11">
      <c r="A573">
        <v>573</v>
      </c>
      <c r="B573" t="s">
        <v>486</v>
      </c>
      <c r="C573" t="str">
        <f t="shared" si="36"/>
        <v>prog_char string_573[] PROGMEM = "sp";</v>
      </c>
      <c r="D573" t="str">
        <f t="shared" si="37"/>
        <v>string_573,</v>
      </c>
      <c r="E573">
        <f t="shared" si="34"/>
        <v>2</v>
      </c>
      <c r="H573" t="s">
        <v>572</v>
      </c>
      <c r="I573">
        <f t="shared" si="35"/>
        <v>1</v>
      </c>
      <c r="K573" t="s">
        <v>572</v>
      </c>
    </row>
    <row r="574" spans="1:11">
      <c r="A574">
        <v>574</v>
      </c>
      <c r="B574" t="s">
        <v>487</v>
      </c>
      <c r="C574" t="str">
        <f t="shared" si="36"/>
        <v>prog_char string_574[] PROGMEM = "special";</v>
      </c>
      <c r="D574" t="str">
        <f t="shared" si="37"/>
        <v>string_574,</v>
      </c>
      <c r="E574">
        <f t="shared" si="34"/>
        <v>7</v>
      </c>
      <c r="H574" t="s">
        <v>573</v>
      </c>
      <c r="I574">
        <f t="shared" si="35"/>
        <v>1</v>
      </c>
      <c r="K574" t="s">
        <v>573</v>
      </c>
    </row>
    <row r="575" spans="1:11">
      <c r="A575">
        <v>575</v>
      </c>
      <c r="B575" t="s">
        <v>489</v>
      </c>
      <c r="C575" t="str">
        <f t="shared" si="36"/>
        <v>prog_char string_575[] PROGMEM = "ss";</v>
      </c>
      <c r="D575" t="str">
        <f t="shared" si="37"/>
        <v>string_575,</v>
      </c>
      <c r="E575">
        <f t="shared" si="34"/>
        <v>2</v>
      </c>
      <c r="H575" t="s">
        <v>574</v>
      </c>
      <c r="I575">
        <f t="shared" si="35"/>
        <v>0</v>
      </c>
      <c r="K575" t="s">
        <v>574</v>
      </c>
    </row>
    <row r="576" spans="1:11">
      <c r="A576">
        <v>576</v>
      </c>
      <c r="B576" t="s">
        <v>1944</v>
      </c>
      <c r="C576" t="str">
        <f t="shared" si="36"/>
        <v>prog_char string_576[] PROGMEM = "ssi";</v>
      </c>
      <c r="D576" t="str">
        <f t="shared" si="37"/>
        <v>string_576,</v>
      </c>
      <c r="E576">
        <f t="shared" si="34"/>
        <v>3</v>
      </c>
      <c r="H576" t="s">
        <v>575</v>
      </c>
      <c r="I576">
        <f t="shared" si="35"/>
        <v>0</v>
      </c>
      <c r="K576" t="s">
        <v>575</v>
      </c>
    </row>
    <row r="577" spans="1:11">
      <c r="A577">
        <v>577</v>
      </c>
      <c r="B577" t="s">
        <v>490</v>
      </c>
      <c r="C577" t="str">
        <f t="shared" si="36"/>
        <v>prog_char string_577[] PROGMEM = "st";</v>
      </c>
      <c r="D577" t="str">
        <f t="shared" si="37"/>
        <v>string_577,</v>
      </c>
      <c r="E577">
        <f t="shared" ref="E577:E640" si="38">LEN(B577)</f>
        <v>2</v>
      </c>
      <c r="H577" t="s">
        <v>576</v>
      </c>
      <c r="I577">
        <f t="shared" ref="I577:I620" si="39">IF(ISNUMBER(FIND("e",H577)),1,0)+IF(ISNUMBER(FIND("n",H577)),1,0)</f>
        <v>1</v>
      </c>
      <c r="K577" t="s">
        <v>576</v>
      </c>
    </row>
    <row r="578" spans="1:11">
      <c r="A578">
        <v>578</v>
      </c>
      <c r="B578" t="s">
        <v>491</v>
      </c>
      <c r="C578" t="str">
        <f t="shared" si="36"/>
        <v>prog_char string_578[] PROGMEM = "sta";</v>
      </c>
      <c r="D578" t="str">
        <f t="shared" si="37"/>
        <v>string_578,</v>
      </c>
      <c r="E578">
        <f t="shared" si="38"/>
        <v>3</v>
      </c>
      <c r="H578" t="s">
        <v>577</v>
      </c>
      <c r="I578">
        <f t="shared" si="39"/>
        <v>1</v>
      </c>
      <c r="K578" t="s">
        <v>577</v>
      </c>
    </row>
    <row r="579" spans="1:11">
      <c r="A579">
        <v>579</v>
      </c>
      <c r="B579" t="s">
        <v>668</v>
      </c>
      <c r="C579" t="str">
        <f t="shared" si="36"/>
        <v>prog_char string_579[] PROGMEM = "stand";</v>
      </c>
      <c r="D579" t="str">
        <f t="shared" si="37"/>
        <v>string_579,</v>
      </c>
      <c r="E579">
        <f t="shared" si="38"/>
        <v>5</v>
      </c>
      <c r="H579" t="s">
        <v>578</v>
      </c>
      <c r="I579">
        <f t="shared" si="39"/>
        <v>1</v>
      </c>
      <c r="K579" t="s">
        <v>578</v>
      </c>
    </row>
    <row r="580" spans="1:11">
      <c r="A580">
        <v>580</v>
      </c>
      <c r="B580" t="s">
        <v>688</v>
      </c>
      <c r="C580" t="str">
        <f t="shared" si="36"/>
        <v>prog_char string_580[] PROGMEM = "start";</v>
      </c>
      <c r="D580" t="str">
        <f t="shared" si="37"/>
        <v>string_580,</v>
      </c>
      <c r="E580">
        <f t="shared" si="38"/>
        <v>5</v>
      </c>
      <c r="H580" t="s">
        <v>579</v>
      </c>
      <c r="I580">
        <f t="shared" si="39"/>
        <v>0</v>
      </c>
      <c r="K580" t="s">
        <v>579</v>
      </c>
    </row>
    <row r="581" spans="1:11">
      <c r="A581">
        <v>581</v>
      </c>
      <c r="B581" t="s">
        <v>492</v>
      </c>
      <c r="C581" t="str">
        <f t="shared" si="36"/>
        <v>prog_char string_581[] PROGMEM = "state";</v>
      </c>
      <c r="D581" t="str">
        <f t="shared" si="37"/>
        <v>string_581,</v>
      </c>
      <c r="E581">
        <f t="shared" si="38"/>
        <v>5</v>
      </c>
      <c r="H581" t="s">
        <v>580</v>
      </c>
      <c r="I581">
        <f t="shared" si="39"/>
        <v>1</v>
      </c>
      <c r="K581" t="s">
        <v>580</v>
      </c>
    </row>
    <row r="582" spans="1:11">
      <c r="A582">
        <v>582</v>
      </c>
      <c r="B582" t="s">
        <v>877</v>
      </c>
      <c r="C582" t="str">
        <f t="shared" si="36"/>
        <v>prog_char string_582[] PROGMEM = "stay";</v>
      </c>
      <c r="D582" t="str">
        <f t="shared" si="37"/>
        <v>string_582,</v>
      </c>
      <c r="E582">
        <f t="shared" si="38"/>
        <v>4</v>
      </c>
      <c r="H582" t="s">
        <v>581</v>
      </c>
      <c r="I582">
        <f t="shared" si="39"/>
        <v>1</v>
      </c>
      <c r="K582" t="s">
        <v>581</v>
      </c>
    </row>
    <row r="583" spans="1:11">
      <c r="A583">
        <v>583</v>
      </c>
      <c r="B583" t="s">
        <v>494</v>
      </c>
      <c r="C583" t="str">
        <f t="shared" ref="C583:C646" si="40">"prog_char string_"&amp;A583&amp;"[] PROGMEM = """&amp;B583&amp;""";"</f>
        <v>prog_char string_583[] PROGMEM = "ste";</v>
      </c>
      <c r="D583" t="str">
        <f t="shared" ref="D583:D646" si="41">"string_" &amp; A583 &amp; ","</f>
        <v>string_583,</v>
      </c>
      <c r="E583">
        <f t="shared" si="38"/>
        <v>3</v>
      </c>
      <c r="H583" t="s">
        <v>582</v>
      </c>
      <c r="I583">
        <f t="shared" si="39"/>
        <v>0</v>
      </c>
      <c r="K583" t="s">
        <v>582</v>
      </c>
    </row>
    <row r="584" spans="1:11">
      <c r="A584">
        <v>584</v>
      </c>
      <c r="B584" t="s">
        <v>789</v>
      </c>
      <c r="C584" t="str">
        <f t="shared" si="40"/>
        <v>prog_char string_584[] PROGMEM = "step";</v>
      </c>
      <c r="D584" t="str">
        <f t="shared" si="41"/>
        <v>string_584,</v>
      </c>
      <c r="E584">
        <f t="shared" si="38"/>
        <v>4</v>
      </c>
      <c r="H584" t="s">
        <v>583</v>
      </c>
      <c r="I584">
        <f t="shared" si="39"/>
        <v>0</v>
      </c>
      <c r="K584" t="s">
        <v>583</v>
      </c>
    </row>
    <row r="585" spans="1:11">
      <c r="A585">
        <v>585</v>
      </c>
      <c r="B585" t="s">
        <v>1961</v>
      </c>
      <c r="C585" t="str">
        <f t="shared" si="40"/>
        <v>prog_char string_585[] PROGMEM = "sth";</v>
      </c>
      <c r="D585" t="str">
        <f t="shared" si="41"/>
        <v>string_585,</v>
      </c>
      <c r="E585">
        <f t="shared" si="38"/>
        <v>3</v>
      </c>
      <c r="H585" t="s">
        <v>584</v>
      </c>
      <c r="I585">
        <f t="shared" si="39"/>
        <v>1</v>
      </c>
      <c r="K585" t="s">
        <v>584</v>
      </c>
    </row>
    <row r="586" spans="1:11">
      <c r="A586">
        <v>586</v>
      </c>
      <c r="B586" t="s">
        <v>495</v>
      </c>
      <c r="C586" t="str">
        <f t="shared" si="40"/>
        <v>prog_char string_586[] PROGMEM = "sti";</v>
      </c>
      <c r="D586" t="str">
        <f t="shared" si="41"/>
        <v>string_586,</v>
      </c>
      <c r="E586">
        <f t="shared" si="38"/>
        <v>3</v>
      </c>
      <c r="H586" t="s">
        <v>585</v>
      </c>
      <c r="I586">
        <f t="shared" si="39"/>
        <v>0</v>
      </c>
      <c r="K586" t="s">
        <v>585</v>
      </c>
    </row>
    <row r="587" spans="1:11">
      <c r="A587">
        <v>587</v>
      </c>
      <c r="B587" t="s">
        <v>496</v>
      </c>
      <c r="C587" t="str">
        <f t="shared" si="40"/>
        <v>prog_char string_587[] PROGMEM = "still";</v>
      </c>
      <c r="D587" t="str">
        <f t="shared" si="41"/>
        <v>string_587,</v>
      </c>
      <c r="E587">
        <f t="shared" si="38"/>
        <v>5</v>
      </c>
      <c r="H587" t="s">
        <v>586</v>
      </c>
      <c r="I587">
        <f t="shared" si="39"/>
        <v>1</v>
      </c>
      <c r="K587" t="s">
        <v>586</v>
      </c>
    </row>
    <row r="588" spans="1:11">
      <c r="A588">
        <v>588</v>
      </c>
      <c r="B588" t="s">
        <v>497</v>
      </c>
      <c r="C588" t="str">
        <f t="shared" si="40"/>
        <v>prog_char string_588[] PROGMEM = "sto";</v>
      </c>
      <c r="D588" t="str">
        <f t="shared" si="41"/>
        <v>string_588,</v>
      </c>
      <c r="E588">
        <f t="shared" si="38"/>
        <v>3</v>
      </c>
      <c r="H588" t="s">
        <v>587</v>
      </c>
      <c r="I588">
        <f t="shared" si="39"/>
        <v>0</v>
      </c>
      <c r="K588" t="s">
        <v>587</v>
      </c>
    </row>
    <row r="589" spans="1:11">
      <c r="A589">
        <v>589</v>
      </c>
      <c r="B589" t="s">
        <v>733</v>
      </c>
      <c r="C589" t="str">
        <f t="shared" si="40"/>
        <v>prog_char string_589[] PROGMEM = "stop";</v>
      </c>
      <c r="D589" t="str">
        <f t="shared" si="41"/>
        <v>string_589,</v>
      </c>
      <c r="E589">
        <f t="shared" si="38"/>
        <v>4</v>
      </c>
      <c r="H589" t="s">
        <v>588</v>
      </c>
      <c r="I589">
        <f t="shared" si="39"/>
        <v>1</v>
      </c>
      <c r="K589" t="s">
        <v>588</v>
      </c>
    </row>
    <row r="590" spans="1:11">
      <c r="A590">
        <v>590</v>
      </c>
      <c r="B590" t="s">
        <v>690</v>
      </c>
      <c r="C590" t="str">
        <f t="shared" si="40"/>
        <v>prog_char string_590[] PROGMEM = "story";</v>
      </c>
      <c r="D590" t="str">
        <f t="shared" si="41"/>
        <v>string_590,</v>
      </c>
      <c r="E590">
        <f t="shared" si="38"/>
        <v>5</v>
      </c>
      <c r="H590" t="s">
        <v>589</v>
      </c>
      <c r="I590">
        <f t="shared" si="39"/>
        <v>1</v>
      </c>
      <c r="K590" t="s">
        <v>589</v>
      </c>
    </row>
    <row r="591" spans="1:11">
      <c r="A591">
        <v>591</v>
      </c>
      <c r="B591" t="s">
        <v>499</v>
      </c>
      <c r="C591" t="str">
        <f t="shared" si="40"/>
        <v>prog_char string_591[] PROGMEM = "str";</v>
      </c>
      <c r="D591" t="str">
        <f t="shared" si="41"/>
        <v>string_591,</v>
      </c>
      <c r="E591">
        <f t="shared" si="38"/>
        <v>3</v>
      </c>
      <c r="H591" t="s">
        <v>590</v>
      </c>
      <c r="I591">
        <f t="shared" si="39"/>
        <v>1</v>
      </c>
      <c r="K591" t="s">
        <v>590</v>
      </c>
    </row>
    <row r="592" spans="1:11">
      <c r="A592">
        <v>592</v>
      </c>
      <c r="B592" t="s">
        <v>865</v>
      </c>
      <c r="C592" t="str">
        <f t="shared" si="40"/>
        <v>prog_char string_592[] PROGMEM = "strong";</v>
      </c>
      <c r="D592" t="str">
        <f t="shared" si="41"/>
        <v>string_592,</v>
      </c>
      <c r="E592">
        <f t="shared" si="38"/>
        <v>6</v>
      </c>
      <c r="H592" t="s">
        <v>591</v>
      </c>
      <c r="I592">
        <f t="shared" si="39"/>
        <v>1</v>
      </c>
      <c r="K592" t="s">
        <v>591</v>
      </c>
    </row>
    <row r="593" spans="1:11">
      <c r="A593">
        <v>593</v>
      </c>
      <c r="B593" t="s">
        <v>672</v>
      </c>
      <c r="C593" t="str">
        <f t="shared" si="40"/>
        <v>prog_char string_593[] PROGMEM = "study";</v>
      </c>
      <c r="D593" t="str">
        <f t="shared" si="41"/>
        <v>string_593,</v>
      </c>
      <c r="E593">
        <f t="shared" si="38"/>
        <v>5</v>
      </c>
      <c r="H593" t="s">
        <v>592</v>
      </c>
      <c r="I593">
        <f t="shared" si="39"/>
        <v>0</v>
      </c>
      <c r="K593" t="s">
        <v>592</v>
      </c>
    </row>
    <row r="594" spans="1:11">
      <c r="A594">
        <v>594</v>
      </c>
      <c r="B594" t="s">
        <v>500</v>
      </c>
      <c r="C594" t="str">
        <f t="shared" si="40"/>
        <v>prog_char string_594[] PROGMEM = "su";</v>
      </c>
      <c r="D594" t="str">
        <f t="shared" si="41"/>
        <v>string_594,</v>
      </c>
      <c r="E594">
        <f t="shared" si="38"/>
        <v>2</v>
      </c>
      <c r="H594" t="s">
        <v>593</v>
      </c>
      <c r="I594">
        <f t="shared" si="39"/>
        <v>0</v>
      </c>
      <c r="K594" t="s">
        <v>593</v>
      </c>
    </row>
    <row r="595" spans="1:11">
      <c r="A595">
        <v>595</v>
      </c>
      <c r="B595" t="s">
        <v>502</v>
      </c>
      <c r="C595" t="str">
        <f t="shared" si="40"/>
        <v>prog_char string_595[] PROGMEM = "such";</v>
      </c>
      <c r="D595" t="str">
        <f t="shared" si="41"/>
        <v>string_595,</v>
      </c>
      <c r="E595">
        <f t="shared" si="38"/>
        <v>4</v>
      </c>
      <c r="H595" t="s">
        <v>594</v>
      </c>
      <c r="I595">
        <f t="shared" si="39"/>
        <v>2</v>
      </c>
      <c r="K595" t="s">
        <v>594</v>
      </c>
    </row>
    <row r="596" spans="1:11">
      <c r="A596">
        <v>596</v>
      </c>
      <c r="B596" t="s">
        <v>1661</v>
      </c>
      <c r="C596" t="str">
        <f t="shared" si="40"/>
        <v>prog_char string_596[] PROGMEM = "suppose";</v>
      </c>
      <c r="D596" t="str">
        <f t="shared" si="41"/>
        <v>string_596,</v>
      </c>
      <c r="E596">
        <f t="shared" si="38"/>
        <v>7</v>
      </c>
      <c r="H596" t="s">
        <v>595</v>
      </c>
      <c r="I596">
        <f t="shared" si="39"/>
        <v>1</v>
      </c>
      <c r="K596" t="s">
        <v>595</v>
      </c>
    </row>
    <row r="597" spans="1:11">
      <c r="A597">
        <v>597</v>
      </c>
      <c r="B597" t="s">
        <v>739</v>
      </c>
      <c r="C597" t="str">
        <f t="shared" si="40"/>
        <v>prog_char string_597[] PROGMEM = "sure";</v>
      </c>
      <c r="D597" t="str">
        <f t="shared" si="41"/>
        <v>string_597,</v>
      </c>
      <c r="E597">
        <f t="shared" si="38"/>
        <v>4</v>
      </c>
      <c r="H597" t="s">
        <v>596</v>
      </c>
      <c r="I597">
        <f t="shared" si="39"/>
        <v>0</v>
      </c>
      <c r="K597" t="s">
        <v>596</v>
      </c>
    </row>
    <row r="598" spans="1:11">
      <c r="A598">
        <v>598</v>
      </c>
      <c r="B598" t="s">
        <v>504</v>
      </c>
      <c r="C598" t="str">
        <f t="shared" si="40"/>
        <v>prog_char string_598[] PROGMEM = "system";</v>
      </c>
      <c r="D598" t="str">
        <f t="shared" si="41"/>
        <v>string_598,</v>
      </c>
      <c r="E598">
        <f t="shared" si="38"/>
        <v>6</v>
      </c>
      <c r="H598" t="s">
        <v>597</v>
      </c>
      <c r="I598">
        <f t="shared" si="39"/>
        <v>0</v>
      </c>
      <c r="K598" t="s">
        <v>597</v>
      </c>
    </row>
    <row r="599" spans="1:11">
      <c r="A599">
        <v>599</v>
      </c>
      <c r="B599" t="s">
        <v>506</v>
      </c>
      <c r="C599" t="str">
        <f t="shared" si="40"/>
        <v>prog_char string_599[] PROGMEM = "ta";</v>
      </c>
      <c r="D599" t="str">
        <f t="shared" si="41"/>
        <v>string_599,</v>
      </c>
      <c r="E599">
        <f t="shared" si="38"/>
        <v>2</v>
      </c>
      <c r="H599" t="s">
        <v>598</v>
      </c>
      <c r="I599">
        <f t="shared" si="39"/>
        <v>1</v>
      </c>
      <c r="K599" t="s">
        <v>598</v>
      </c>
    </row>
    <row r="600" spans="1:11">
      <c r="A600">
        <v>600</v>
      </c>
      <c r="B600" t="s">
        <v>801</v>
      </c>
      <c r="C600" t="str">
        <f t="shared" si="40"/>
        <v>prog_char string_600[] PROGMEM = "table";</v>
      </c>
      <c r="D600" t="str">
        <f t="shared" si="41"/>
        <v>string_600,</v>
      </c>
      <c r="E600">
        <f t="shared" si="38"/>
        <v>5</v>
      </c>
      <c r="H600" t="s">
        <v>599</v>
      </c>
      <c r="I600">
        <f t="shared" si="39"/>
        <v>1</v>
      </c>
      <c r="K600" t="s">
        <v>599</v>
      </c>
    </row>
    <row r="601" spans="1:11">
      <c r="A601">
        <v>601</v>
      </c>
      <c r="B601" t="s">
        <v>507</v>
      </c>
      <c r="C601" t="str">
        <f t="shared" si="40"/>
        <v>prog_char string_601[] PROGMEM = "take";</v>
      </c>
      <c r="D601" t="str">
        <f t="shared" si="41"/>
        <v>string_601,</v>
      </c>
      <c r="E601">
        <f t="shared" si="38"/>
        <v>4</v>
      </c>
      <c r="H601" t="s">
        <v>600</v>
      </c>
      <c r="I601">
        <f t="shared" si="39"/>
        <v>0</v>
      </c>
      <c r="K601" t="s">
        <v>600</v>
      </c>
    </row>
    <row r="602" spans="1:11">
      <c r="A602">
        <v>602</v>
      </c>
      <c r="B602" t="s">
        <v>1953</v>
      </c>
      <c r="C602" t="str">
        <f t="shared" si="40"/>
        <v>prog_char string_602[] PROGMEM = "tal";</v>
      </c>
      <c r="D602" t="str">
        <f t="shared" si="41"/>
        <v>string_602,</v>
      </c>
      <c r="E602">
        <f t="shared" si="38"/>
        <v>3</v>
      </c>
      <c r="H602" t="s">
        <v>601</v>
      </c>
      <c r="I602">
        <f t="shared" si="39"/>
        <v>0</v>
      </c>
      <c r="K602" t="s">
        <v>601</v>
      </c>
    </row>
    <row r="603" spans="1:11">
      <c r="A603">
        <v>603</v>
      </c>
      <c r="B603" t="s">
        <v>754</v>
      </c>
      <c r="C603" t="str">
        <f t="shared" si="40"/>
        <v>prog_char string_603[] PROGMEM = "talk";</v>
      </c>
      <c r="D603" t="str">
        <f t="shared" si="41"/>
        <v>string_603,</v>
      </c>
      <c r="E603">
        <f t="shared" si="38"/>
        <v>4</v>
      </c>
      <c r="H603" t="s">
        <v>602</v>
      </c>
      <c r="I603">
        <f t="shared" si="39"/>
        <v>0</v>
      </c>
      <c r="K603" t="s">
        <v>602</v>
      </c>
    </row>
    <row r="604" spans="1:11">
      <c r="A604">
        <v>604</v>
      </c>
      <c r="B604" t="s">
        <v>1943</v>
      </c>
      <c r="C604" t="str">
        <f t="shared" si="40"/>
        <v>prog_char string_604[] PROGMEM = "tan";</v>
      </c>
      <c r="D604" t="str">
        <f t="shared" si="41"/>
        <v>string_604,</v>
      </c>
      <c r="E604">
        <f t="shared" si="38"/>
        <v>3</v>
      </c>
      <c r="H604" t="s">
        <v>603</v>
      </c>
      <c r="I604">
        <f t="shared" si="39"/>
        <v>0</v>
      </c>
      <c r="K604" t="s">
        <v>603</v>
      </c>
    </row>
    <row r="605" spans="1:11">
      <c r="A605">
        <v>605</v>
      </c>
      <c r="B605" t="s">
        <v>1924</v>
      </c>
      <c r="C605" t="str">
        <f t="shared" si="40"/>
        <v>prog_char string_605[] PROGMEM = "tat";</v>
      </c>
      <c r="D605" t="str">
        <f t="shared" si="41"/>
        <v>string_605,</v>
      </c>
      <c r="E605">
        <f t="shared" si="38"/>
        <v>3</v>
      </c>
      <c r="H605" t="s">
        <v>604</v>
      </c>
      <c r="I605">
        <f t="shared" si="39"/>
        <v>0</v>
      </c>
      <c r="K605" t="s">
        <v>604</v>
      </c>
    </row>
    <row r="606" spans="1:11">
      <c r="A606">
        <v>606</v>
      </c>
      <c r="B606" t="s">
        <v>508</v>
      </c>
      <c r="C606" t="str">
        <f t="shared" si="40"/>
        <v>prog_char string_606[] PROGMEM = "te";</v>
      </c>
      <c r="D606" t="str">
        <f t="shared" si="41"/>
        <v>string_606,</v>
      </c>
      <c r="E606">
        <f t="shared" si="38"/>
        <v>2</v>
      </c>
      <c r="H606" t="s">
        <v>605</v>
      </c>
      <c r="I606">
        <f t="shared" si="39"/>
        <v>0</v>
      </c>
      <c r="K606" t="s">
        <v>605</v>
      </c>
    </row>
    <row r="607" spans="1:11">
      <c r="A607">
        <v>607</v>
      </c>
      <c r="B607" t="s">
        <v>510</v>
      </c>
      <c r="C607" t="str">
        <f t="shared" si="40"/>
        <v>prog_char string_607[] PROGMEM = "ted";</v>
      </c>
      <c r="D607" t="str">
        <f t="shared" si="41"/>
        <v>string_607,</v>
      </c>
      <c r="E607">
        <f t="shared" si="38"/>
        <v>3</v>
      </c>
      <c r="H607" t="s">
        <v>606</v>
      </c>
      <c r="I607">
        <f t="shared" si="39"/>
        <v>1</v>
      </c>
      <c r="K607" t="s">
        <v>606</v>
      </c>
    </row>
    <row r="608" spans="1:11">
      <c r="A608">
        <v>608</v>
      </c>
      <c r="B608" t="s">
        <v>642</v>
      </c>
      <c r="C608" t="str">
        <f t="shared" si="40"/>
        <v>prog_char string_608[] PROGMEM = "tell";</v>
      </c>
      <c r="D608" t="str">
        <f t="shared" si="41"/>
        <v>string_608,</v>
      </c>
      <c r="E608">
        <f t="shared" si="38"/>
        <v>4</v>
      </c>
      <c r="H608" t="s">
        <v>607</v>
      </c>
      <c r="I608">
        <f t="shared" si="39"/>
        <v>0</v>
      </c>
      <c r="K608" t="s">
        <v>607</v>
      </c>
    </row>
    <row r="609" spans="1:11">
      <c r="A609">
        <v>609</v>
      </c>
      <c r="B609" t="s">
        <v>1962</v>
      </c>
      <c r="C609" t="str">
        <f t="shared" si="40"/>
        <v>prog_char string_609[] PROGMEM = "tem";</v>
      </c>
      <c r="D609" t="str">
        <f t="shared" si="41"/>
        <v>string_609,</v>
      </c>
      <c r="E609">
        <f t="shared" si="38"/>
        <v>3</v>
      </c>
      <c r="H609" t="s">
        <v>608</v>
      </c>
      <c r="I609">
        <f t="shared" si="39"/>
        <v>0</v>
      </c>
      <c r="K609" t="s">
        <v>608</v>
      </c>
    </row>
    <row r="610" spans="1:11">
      <c r="A610">
        <v>610</v>
      </c>
      <c r="B610" t="s">
        <v>804</v>
      </c>
      <c r="C610" t="str">
        <f t="shared" si="40"/>
        <v>prog_char string_610[] PROGMEM = "ten";</v>
      </c>
      <c r="D610" t="str">
        <f t="shared" si="41"/>
        <v>string_610,</v>
      </c>
      <c r="E610">
        <f t="shared" si="38"/>
        <v>3</v>
      </c>
      <c r="H610" t="s">
        <v>609</v>
      </c>
      <c r="I610">
        <f t="shared" si="39"/>
        <v>2</v>
      </c>
      <c r="K610" t="s">
        <v>609</v>
      </c>
    </row>
    <row r="611" spans="1:11">
      <c r="A611">
        <v>611</v>
      </c>
      <c r="B611" t="s">
        <v>511</v>
      </c>
      <c r="C611" t="str">
        <f t="shared" si="40"/>
        <v>prog_char string_611[] PROGMEM = "ter";</v>
      </c>
      <c r="D611" t="str">
        <f t="shared" si="41"/>
        <v>string_611,</v>
      </c>
      <c r="E611">
        <f t="shared" si="38"/>
        <v>3</v>
      </c>
      <c r="H611" t="s">
        <v>610</v>
      </c>
      <c r="I611">
        <f t="shared" si="39"/>
        <v>0</v>
      </c>
      <c r="K611" t="s">
        <v>610</v>
      </c>
    </row>
    <row r="612" spans="1:11">
      <c r="A612">
        <v>612</v>
      </c>
      <c r="B612" t="s">
        <v>1914</v>
      </c>
      <c r="C612" t="str">
        <f t="shared" si="40"/>
        <v>prog_char string_612[] PROGMEM = "tes";</v>
      </c>
      <c r="D612" t="str">
        <f t="shared" si="41"/>
        <v>string_612,</v>
      </c>
      <c r="E612">
        <f t="shared" si="38"/>
        <v>3</v>
      </c>
      <c r="H612" t="s">
        <v>611</v>
      </c>
      <c r="I612">
        <f t="shared" si="39"/>
        <v>0</v>
      </c>
      <c r="K612" t="s">
        <v>611</v>
      </c>
    </row>
    <row r="613" spans="1:11">
      <c r="A613">
        <v>613</v>
      </c>
      <c r="B613" t="s">
        <v>889</v>
      </c>
      <c r="C613" t="str">
        <f t="shared" si="40"/>
        <v>prog_char string_613[] PROGMEM = "test";</v>
      </c>
      <c r="D613" t="str">
        <f t="shared" si="41"/>
        <v>string_613,</v>
      </c>
      <c r="E613">
        <f t="shared" si="38"/>
        <v>4</v>
      </c>
      <c r="H613" t="s">
        <v>612</v>
      </c>
      <c r="I613">
        <f t="shared" si="39"/>
        <v>0</v>
      </c>
      <c r="K613" t="s">
        <v>612</v>
      </c>
    </row>
    <row r="614" spans="1:11">
      <c r="A614">
        <v>614</v>
      </c>
      <c r="B614" t="s">
        <v>514</v>
      </c>
      <c r="C614" t="str">
        <f t="shared" si="40"/>
        <v>prog_char string_614[] PROGMEM = "th";</v>
      </c>
      <c r="D614" t="str">
        <f t="shared" si="41"/>
        <v>string_614,</v>
      </c>
      <c r="E614">
        <f t="shared" si="38"/>
        <v>2</v>
      </c>
      <c r="H614" t="s">
        <v>613</v>
      </c>
      <c r="I614">
        <f t="shared" si="39"/>
        <v>1</v>
      </c>
      <c r="K614" t="s">
        <v>613</v>
      </c>
    </row>
    <row r="615" spans="1:11">
      <c r="A615">
        <v>615</v>
      </c>
      <c r="B615" t="s">
        <v>515</v>
      </c>
      <c r="C615" t="str">
        <f t="shared" si="40"/>
        <v>prog_char string_615[] PROGMEM = "tha";</v>
      </c>
      <c r="D615" t="str">
        <f t="shared" si="41"/>
        <v>string_615,</v>
      </c>
      <c r="E615">
        <f t="shared" si="38"/>
        <v>3</v>
      </c>
      <c r="H615" t="s">
        <v>614</v>
      </c>
      <c r="I615">
        <f t="shared" si="39"/>
        <v>1</v>
      </c>
      <c r="K615" t="s">
        <v>614</v>
      </c>
    </row>
    <row r="616" spans="1:11">
      <c r="A616">
        <v>616</v>
      </c>
      <c r="B616" t="s">
        <v>516</v>
      </c>
      <c r="C616" t="str">
        <f t="shared" si="40"/>
        <v>prog_char string_616[] PROGMEM = "than";</v>
      </c>
      <c r="D616" t="str">
        <f t="shared" si="41"/>
        <v>string_616,</v>
      </c>
      <c r="E616">
        <f t="shared" si="38"/>
        <v>4</v>
      </c>
      <c r="H616" t="s">
        <v>615</v>
      </c>
      <c r="I616">
        <f t="shared" si="39"/>
        <v>0</v>
      </c>
      <c r="K616" t="s">
        <v>615</v>
      </c>
    </row>
    <row r="617" spans="1:11">
      <c r="A617">
        <v>617</v>
      </c>
      <c r="B617" t="s">
        <v>517</v>
      </c>
      <c r="C617" t="str">
        <f t="shared" si="40"/>
        <v>prog_char string_617[] PROGMEM = "that";</v>
      </c>
      <c r="D617" t="str">
        <f t="shared" si="41"/>
        <v>string_617,</v>
      </c>
      <c r="E617">
        <f t="shared" si="38"/>
        <v>4</v>
      </c>
      <c r="H617" t="s">
        <v>616</v>
      </c>
      <c r="I617">
        <f t="shared" si="39"/>
        <v>0</v>
      </c>
      <c r="K617" t="s">
        <v>616</v>
      </c>
    </row>
    <row r="618" spans="1:11">
      <c r="A618">
        <v>618</v>
      </c>
      <c r="B618" t="s">
        <v>518</v>
      </c>
      <c r="C618" t="str">
        <f t="shared" si="40"/>
        <v>prog_char string_618[] PROGMEM = "the";</v>
      </c>
      <c r="D618" t="str">
        <f t="shared" si="41"/>
        <v>string_618,</v>
      </c>
      <c r="E618">
        <f t="shared" si="38"/>
        <v>3</v>
      </c>
      <c r="H618" t="s">
        <v>617</v>
      </c>
      <c r="I618">
        <f t="shared" si="39"/>
        <v>0</v>
      </c>
      <c r="K618" t="s">
        <v>617</v>
      </c>
    </row>
    <row r="619" spans="1:11">
      <c r="A619">
        <v>619</v>
      </c>
      <c r="B619" t="s">
        <v>519</v>
      </c>
      <c r="C619" t="str">
        <f t="shared" si="40"/>
        <v>prog_char string_619[] PROGMEM = "their";</v>
      </c>
      <c r="D619" t="str">
        <f t="shared" si="41"/>
        <v>string_619,</v>
      </c>
      <c r="E619">
        <f t="shared" si="38"/>
        <v>5</v>
      </c>
      <c r="H619" t="s">
        <v>618</v>
      </c>
      <c r="I619">
        <f t="shared" si="39"/>
        <v>0</v>
      </c>
      <c r="K619" t="s">
        <v>618</v>
      </c>
    </row>
    <row r="620" spans="1:11">
      <c r="A620">
        <v>620</v>
      </c>
      <c r="B620" t="s">
        <v>520</v>
      </c>
      <c r="C620" t="str">
        <f t="shared" si="40"/>
        <v>prog_char string_620[] PROGMEM = "them";</v>
      </c>
      <c r="D620" t="str">
        <f t="shared" si="41"/>
        <v>string_620,</v>
      </c>
      <c r="E620">
        <f t="shared" si="38"/>
        <v>4</v>
      </c>
      <c r="I620">
        <f t="shared" si="39"/>
        <v>0</v>
      </c>
    </row>
    <row r="621" spans="1:11">
      <c r="A621">
        <v>621</v>
      </c>
      <c r="B621" t="s">
        <v>521</v>
      </c>
      <c r="C621" t="str">
        <f t="shared" si="40"/>
        <v>prog_char string_621[] PROGMEM = "then";</v>
      </c>
      <c r="D621" t="str">
        <f t="shared" si="41"/>
        <v>string_621,</v>
      </c>
      <c r="E621">
        <f t="shared" si="38"/>
        <v>4</v>
      </c>
    </row>
    <row r="622" spans="1:11">
      <c r="A622">
        <v>622</v>
      </c>
      <c r="B622" t="s">
        <v>523</v>
      </c>
      <c r="C622" t="str">
        <f t="shared" si="40"/>
        <v>prog_char string_622[] PROGMEM = "there";</v>
      </c>
      <c r="D622" t="str">
        <f t="shared" si="41"/>
        <v>string_622,</v>
      </c>
      <c r="E622">
        <f t="shared" si="38"/>
        <v>5</v>
      </c>
    </row>
    <row r="623" spans="1:11">
      <c r="A623">
        <v>623</v>
      </c>
      <c r="B623" t="s">
        <v>524</v>
      </c>
      <c r="C623" t="str">
        <f t="shared" si="40"/>
        <v>prog_char string_623[] PROGMEM = "these";</v>
      </c>
      <c r="D623" t="str">
        <f t="shared" si="41"/>
        <v>string_623,</v>
      </c>
      <c r="E623">
        <f t="shared" si="38"/>
        <v>5</v>
      </c>
    </row>
    <row r="624" spans="1:11">
      <c r="A624">
        <v>624</v>
      </c>
      <c r="B624" t="s">
        <v>525</v>
      </c>
      <c r="C624" t="str">
        <f t="shared" si="40"/>
        <v>prog_char string_624[] PROGMEM = "they";</v>
      </c>
      <c r="D624" t="str">
        <f t="shared" si="41"/>
        <v>string_624,</v>
      </c>
      <c r="E624">
        <f t="shared" si="38"/>
        <v>4</v>
      </c>
    </row>
    <row r="625" spans="1:5">
      <c r="A625">
        <v>625</v>
      </c>
      <c r="B625" t="s">
        <v>526</v>
      </c>
      <c r="C625" t="str">
        <f t="shared" si="40"/>
        <v>prog_char string_625[] PROGMEM = "thi";</v>
      </c>
      <c r="D625" t="str">
        <f t="shared" si="41"/>
        <v>string_625,</v>
      </c>
      <c r="E625">
        <f t="shared" si="38"/>
        <v>3</v>
      </c>
    </row>
    <row r="626" spans="1:5">
      <c r="A626">
        <v>626</v>
      </c>
      <c r="B626" t="s">
        <v>623</v>
      </c>
      <c r="C626" t="str">
        <f t="shared" si="40"/>
        <v>prog_char string_626[] PROGMEM = "thing";</v>
      </c>
      <c r="D626" t="str">
        <f t="shared" si="41"/>
        <v>string_626,</v>
      </c>
      <c r="E626">
        <f t="shared" si="38"/>
        <v>5</v>
      </c>
    </row>
    <row r="627" spans="1:5">
      <c r="A627">
        <v>627</v>
      </c>
      <c r="B627" t="s">
        <v>528</v>
      </c>
      <c r="C627" t="str">
        <f t="shared" si="40"/>
        <v>prog_char string_627[] PROGMEM = "think";</v>
      </c>
      <c r="D627" t="str">
        <f t="shared" si="41"/>
        <v>string_627,</v>
      </c>
      <c r="E627">
        <f t="shared" si="38"/>
        <v>5</v>
      </c>
    </row>
    <row r="628" spans="1:5">
      <c r="A628">
        <v>628</v>
      </c>
      <c r="B628" t="s">
        <v>529</v>
      </c>
      <c r="C628" t="str">
        <f t="shared" si="40"/>
        <v>prog_char string_628[] PROGMEM = "this";</v>
      </c>
      <c r="D628" t="str">
        <f t="shared" si="41"/>
        <v>string_628,</v>
      </c>
      <c r="E628">
        <f t="shared" si="38"/>
        <v>4</v>
      </c>
    </row>
    <row r="629" spans="1:5">
      <c r="A629">
        <v>629</v>
      </c>
      <c r="B629" t="s">
        <v>1981</v>
      </c>
      <c r="C629" t="str">
        <f t="shared" si="40"/>
        <v>prog_char string_629[] PROGMEM = "tho";</v>
      </c>
      <c r="D629" t="str">
        <f t="shared" si="41"/>
        <v>string_629,</v>
      </c>
      <c r="E629">
        <f t="shared" si="38"/>
        <v>3</v>
      </c>
    </row>
    <row r="630" spans="1:5">
      <c r="A630">
        <v>630</v>
      </c>
      <c r="B630" t="s">
        <v>530</v>
      </c>
      <c r="C630" t="str">
        <f t="shared" si="40"/>
        <v>prog_char string_630[] PROGMEM = "those";</v>
      </c>
      <c r="D630" t="str">
        <f t="shared" si="41"/>
        <v>string_630,</v>
      </c>
      <c r="E630">
        <f t="shared" si="38"/>
        <v>5</v>
      </c>
    </row>
    <row r="631" spans="1:5">
      <c r="A631">
        <v>631</v>
      </c>
      <c r="B631" t="s">
        <v>752</v>
      </c>
      <c r="C631" t="str">
        <f t="shared" si="40"/>
        <v>prog_char string_631[] PROGMEM = "though";</v>
      </c>
      <c r="D631" t="str">
        <f t="shared" si="41"/>
        <v>string_631,</v>
      </c>
      <c r="E631">
        <f t="shared" si="38"/>
        <v>6</v>
      </c>
    </row>
    <row r="632" spans="1:5">
      <c r="A632">
        <v>632</v>
      </c>
      <c r="B632" t="s">
        <v>683</v>
      </c>
      <c r="C632" t="str">
        <f t="shared" si="40"/>
        <v>prog_char string_632[] PROGMEM = "thought";</v>
      </c>
      <c r="D632" t="str">
        <f t="shared" si="41"/>
        <v>string_632,</v>
      </c>
      <c r="E632">
        <f t="shared" si="38"/>
        <v>7</v>
      </c>
    </row>
    <row r="633" spans="1:5">
      <c r="A633">
        <v>633</v>
      </c>
      <c r="B633" t="s">
        <v>531</v>
      </c>
      <c r="C633" t="str">
        <f t="shared" si="40"/>
        <v>prog_char string_633[] PROGMEM = "three";</v>
      </c>
      <c r="D633" t="str">
        <f t="shared" si="41"/>
        <v>string_633,</v>
      </c>
      <c r="E633">
        <f t="shared" si="38"/>
        <v>5</v>
      </c>
    </row>
    <row r="634" spans="1:5">
      <c r="A634">
        <v>634</v>
      </c>
      <c r="B634" t="s">
        <v>532</v>
      </c>
      <c r="C634" t="str">
        <f t="shared" si="40"/>
        <v>prog_char string_634[] PROGMEM = "through";</v>
      </c>
      <c r="D634" t="str">
        <f t="shared" si="41"/>
        <v>string_634,</v>
      </c>
      <c r="E634">
        <f t="shared" si="38"/>
        <v>7</v>
      </c>
    </row>
    <row r="635" spans="1:5">
      <c r="A635">
        <v>635</v>
      </c>
      <c r="B635" t="s">
        <v>533</v>
      </c>
      <c r="C635" t="str">
        <f t="shared" si="40"/>
        <v>prog_char string_635[] PROGMEM = "ti";</v>
      </c>
      <c r="D635" t="str">
        <f t="shared" si="41"/>
        <v>string_635,</v>
      </c>
      <c r="E635">
        <f t="shared" si="38"/>
        <v>2</v>
      </c>
    </row>
    <row r="636" spans="1:5">
      <c r="A636">
        <v>636</v>
      </c>
      <c r="B636" t="s">
        <v>1916</v>
      </c>
      <c r="C636" t="str">
        <f t="shared" si="40"/>
        <v>prog_char string_636[] PROGMEM = "tic";</v>
      </c>
      <c r="D636" t="str">
        <f t="shared" si="41"/>
        <v>string_636,</v>
      </c>
      <c r="E636">
        <f t="shared" si="38"/>
        <v>3</v>
      </c>
    </row>
    <row r="637" spans="1:5">
      <c r="A637">
        <v>637</v>
      </c>
      <c r="B637" t="s">
        <v>534</v>
      </c>
      <c r="C637" t="str">
        <f t="shared" si="40"/>
        <v>prog_char string_637[] PROGMEM = "time";</v>
      </c>
      <c r="D637" t="str">
        <f t="shared" si="41"/>
        <v>string_637,</v>
      </c>
      <c r="E637">
        <f t="shared" si="38"/>
        <v>4</v>
      </c>
    </row>
    <row r="638" spans="1:5">
      <c r="A638">
        <v>638</v>
      </c>
      <c r="B638" t="s">
        <v>536</v>
      </c>
      <c r="C638" t="str">
        <f t="shared" si="40"/>
        <v>prog_char string_638[] PROGMEM = "tin";</v>
      </c>
      <c r="D638" t="str">
        <f t="shared" si="41"/>
        <v>string_638,</v>
      </c>
      <c r="E638">
        <f t="shared" si="38"/>
        <v>3</v>
      </c>
    </row>
    <row r="639" spans="1:5">
      <c r="A639">
        <v>639</v>
      </c>
      <c r="B639" t="s">
        <v>537</v>
      </c>
      <c r="C639" t="str">
        <f t="shared" si="40"/>
        <v>prog_char string_639[] PROGMEM = "tio";</v>
      </c>
      <c r="D639" t="str">
        <f t="shared" si="41"/>
        <v>string_639,</v>
      </c>
      <c r="E639">
        <f t="shared" si="38"/>
        <v>3</v>
      </c>
    </row>
    <row r="640" spans="1:5">
      <c r="A640">
        <v>640</v>
      </c>
      <c r="B640" t="s">
        <v>540</v>
      </c>
      <c r="C640" t="str">
        <f t="shared" si="40"/>
        <v>prog_char string_640[] PROGMEM = "to";</v>
      </c>
      <c r="D640" t="str">
        <f t="shared" si="41"/>
        <v>string_640,</v>
      </c>
      <c r="E640">
        <f t="shared" si="38"/>
        <v>2</v>
      </c>
    </row>
    <row r="641" spans="1:5">
      <c r="A641">
        <v>641</v>
      </c>
      <c r="B641" t="s">
        <v>777</v>
      </c>
      <c r="C641" t="str">
        <f t="shared" si="40"/>
        <v>prog_char string_641[] PROGMEM = "told";</v>
      </c>
      <c r="D641" t="str">
        <f t="shared" si="41"/>
        <v>string_641,</v>
      </c>
      <c r="E641">
        <f t="shared" ref="E641:E704" si="42">LEN(B641)</f>
        <v>4</v>
      </c>
    </row>
    <row r="642" spans="1:5">
      <c r="A642">
        <v>642</v>
      </c>
      <c r="B642" t="s">
        <v>641</v>
      </c>
      <c r="C642" t="str">
        <f t="shared" si="40"/>
        <v>prog_char string_642[] PROGMEM = "too";</v>
      </c>
      <c r="D642" t="str">
        <f t="shared" si="41"/>
        <v>string_642,</v>
      </c>
      <c r="E642">
        <f t="shared" si="42"/>
        <v>3</v>
      </c>
    </row>
    <row r="643" spans="1:5">
      <c r="A643">
        <v>643</v>
      </c>
      <c r="B643" t="s">
        <v>543</v>
      </c>
      <c r="C643" t="str">
        <f t="shared" si="40"/>
        <v>prog_char string_643[] PROGMEM = "top";</v>
      </c>
      <c r="D643" t="str">
        <f t="shared" si="41"/>
        <v>string_643,</v>
      </c>
      <c r="E643">
        <f t="shared" si="42"/>
        <v>3</v>
      </c>
    </row>
    <row r="644" spans="1:5">
      <c r="A644">
        <v>644</v>
      </c>
      <c r="B644" t="s">
        <v>544</v>
      </c>
      <c r="C644" t="str">
        <f t="shared" si="40"/>
        <v>prog_char string_644[] PROGMEM = "tor";</v>
      </c>
      <c r="D644" t="str">
        <f t="shared" si="41"/>
        <v>string_644,</v>
      </c>
      <c r="E644">
        <f t="shared" si="42"/>
        <v>3</v>
      </c>
    </row>
    <row r="645" spans="1:5">
      <c r="A645">
        <v>645</v>
      </c>
      <c r="B645" t="s">
        <v>808</v>
      </c>
      <c r="C645" t="str">
        <f t="shared" si="40"/>
        <v>prog_char string_645[] PROGMEM = "toward";</v>
      </c>
      <c r="D645" t="str">
        <f t="shared" si="41"/>
        <v>string_645,</v>
      </c>
      <c r="E645">
        <f t="shared" si="42"/>
        <v>6</v>
      </c>
    </row>
    <row r="646" spans="1:5">
      <c r="A646">
        <v>646</v>
      </c>
      <c r="B646" t="s">
        <v>827</v>
      </c>
      <c r="C646" t="str">
        <f t="shared" si="40"/>
        <v>prog_char string_646[] PROGMEM = "town";</v>
      </c>
      <c r="D646" t="str">
        <f t="shared" si="41"/>
        <v>string_646,</v>
      </c>
      <c r="E646">
        <f t="shared" si="42"/>
        <v>4</v>
      </c>
    </row>
    <row r="647" spans="1:5">
      <c r="A647">
        <v>647</v>
      </c>
      <c r="B647" t="s">
        <v>546</v>
      </c>
      <c r="C647" t="str">
        <f t="shared" ref="C647:C710" si="43">"prog_char string_"&amp;A647&amp;"[] PROGMEM = """&amp;B647&amp;""";"</f>
        <v>prog_char string_647[] PROGMEM = "tr";</v>
      </c>
      <c r="D647" t="str">
        <f t="shared" ref="D647:D710" si="44">"string_" &amp; A647 &amp; ","</f>
        <v>string_647,</v>
      </c>
      <c r="E647">
        <f t="shared" si="42"/>
        <v>2</v>
      </c>
    </row>
    <row r="648" spans="1:5">
      <c r="A648">
        <v>648</v>
      </c>
      <c r="B648" t="s">
        <v>547</v>
      </c>
      <c r="C648" t="str">
        <f t="shared" si="43"/>
        <v>prog_char string_648[] PROGMEM = "tra";</v>
      </c>
      <c r="D648" t="str">
        <f t="shared" si="44"/>
        <v>string_648,</v>
      </c>
      <c r="E648">
        <f t="shared" si="42"/>
        <v>3</v>
      </c>
    </row>
    <row r="649" spans="1:5">
      <c r="A649">
        <v>649</v>
      </c>
      <c r="B649" t="s">
        <v>657</v>
      </c>
      <c r="C649" t="str">
        <f t="shared" si="43"/>
        <v>prog_char string_649[] PROGMEM = "try";</v>
      </c>
      <c r="D649" t="str">
        <f t="shared" si="44"/>
        <v>string_649,</v>
      </c>
      <c r="E649">
        <f t="shared" si="42"/>
        <v>3</v>
      </c>
    </row>
    <row r="650" spans="1:5">
      <c r="A650">
        <v>650</v>
      </c>
      <c r="B650" t="s">
        <v>549</v>
      </c>
      <c r="C650" t="str">
        <f t="shared" si="43"/>
        <v>prog_char string_650[] PROGMEM = "ts";</v>
      </c>
      <c r="D650" t="str">
        <f t="shared" si="44"/>
        <v>string_650,</v>
      </c>
      <c r="E650">
        <f t="shared" si="42"/>
        <v>2</v>
      </c>
    </row>
    <row r="651" spans="1:5">
      <c r="A651">
        <v>651</v>
      </c>
      <c r="B651" t="s">
        <v>550</v>
      </c>
      <c r="C651" t="str">
        <f t="shared" si="43"/>
        <v>prog_char string_651[] PROGMEM = "tt";</v>
      </c>
      <c r="D651" t="str">
        <f t="shared" si="44"/>
        <v>string_651,</v>
      </c>
      <c r="E651">
        <f t="shared" si="42"/>
        <v>2</v>
      </c>
    </row>
    <row r="652" spans="1:5">
      <c r="A652">
        <v>652</v>
      </c>
      <c r="B652" t="s">
        <v>1956</v>
      </c>
      <c r="C652" t="str">
        <f t="shared" si="43"/>
        <v>prog_char string_652[] PROGMEM = "tth";</v>
      </c>
      <c r="D652" t="str">
        <f t="shared" si="44"/>
        <v>string_652,</v>
      </c>
      <c r="E652">
        <f t="shared" si="42"/>
        <v>3</v>
      </c>
    </row>
    <row r="653" spans="1:5">
      <c r="A653">
        <v>653</v>
      </c>
      <c r="B653" t="s">
        <v>551</v>
      </c>
      <c r="C653" t="str">
        <f t="shared" si="43"/>
        <v>prog_char string_653[] PROGMEM = "tu";</v>
      </c>
      <c r="D653" t="str">
        <f t="shared" si="44"/>
        <v>string_653,</v>
      </c>
      <c r="E653">
        <f t="shared" si="42"/>
        <v>2</v>
      </c>
    </row>
    <row r="654" spans="1:5">
      <c r="A654">
        <v>654</v>
      </c>
      <c r="B654" t="s">
        <v>1897</v>
      </c>
      <c r="C654" t="str">
        <f t="shared" si="43"/>
        <v>prog_char string_654[] PROGMEM = "tur";</v>
      </c>
      <c r="D654" t="str">
        <f t="shared" si="44"/>
        <v>string_654,</v>
      </c>
      <c r="E654">
        <f t="shared" si="42"/>
        <v>3</v>
      </c>
    </row>
    <row r="655" spans="1:5">
      <c r="A655">
        <v>655</v>
      </c>
      <c r="B655" t="s">
        <v>636</v>
      </c>
      <c r="C655" t="str">
        <f t="shared" si="43"/>
        <v>prog_char string_655[] PROGMEM = "turn";</v>
      </c>
      <c r="D655" t="str">
        <f t="shared" si="44"/>
        <v>string_655,</v>
      </c>
      <c r="E655">
        <f t="shared" si="42"/>
        <v>4</v>
      </c>
    </row>
    <row r="656" spans="1:5">
      <c r="A656">
        <v>656</v>
      </c>
      <c r="B656" t="s">
        <v>553</v>
      </c>
      <c r="C656" t="str">
        <f t="shared" si="43"/>
        <v>prog_char string_656[] PROGMEM = "two";</v>
      </c>
      <c r="D656" t="str">
        <f t="shared" si="44"/>
        <v>string_656,</v>
      </c>
      <c r="E656">
        <f t="shared" si="42"/>
        <v>3</v>
      </c>
    </row>
    <row r="657" spans="1:5">
      <c r="A657">
        <v>657</v>
      </c>
      <c r="B657" t="s">
        <v>554</v>
      </c>
      <c r="C657" t="str">
        <f t="shared" si="43"/>
        <v>prog_char string_657[] PROGMEM = "ty";</v>
      </c>
      <c r="D657" t="str">
        <f t="shared" si="44"/>
        <v>string_657,</v>
      </c>
      <c r="E657">
        <f t="shared" si="42"/>
        <v>2</v>
      </c>
    </row>
    <row r="658" spans="1:5">
      <c r="A658">
        <v>658</v>
      </c>
      <c r="B658" t="s">
        <v>557</v>
      </c>
      <c r="C658" t="str">
        <f t="shared" si="43"/>
        <v>prog_char string_658[] PROGMEM = "uc";</v>
      </c>
      <c r="D658" t="str">
        <f t="shared" si="44"/>
        <v>string_658,</v>
      </c>
      <c r="E658">
        <f t="shared" si="42"/>
        <v>2</v>
      </c>
    </row>
    <row r="659" spans="1:5">
      <c r="A659">
        <v>659</v>
      </c>
      <c r="B659" t="s">
        <v>560</v>
      </c>
      <c r="C659" t="str">
        <f t="shared" si="43"/>
        <v>prog_char string_659[] PROGMEM = "ul";</v>
      </c>
      <c r="D659" t="str">
        <f t="shared" si="44"/>
        <v>string_659,</v>
      </c>
      <c r="E659">
        <f t="shared" si="42"/>
        <v>2</v>
      </c>
    </row>
    <row r="660" spans="1:5">
      <c r="A660">
        <v>660</v>
      </c>
      <c r="B660" t="s">
        <v>561</v>
      </c>
      <c r="C660" t="str">
        <f t="shared" si="43"/>
        <v>prog_char string_660[] PROGMEM = "um";</v>
      </c>
      <c r="D660" t="str">
        <f t="shared" si="44"/>
        <v>string_660,</v>
      </c>
      <c r="E660">
        <f t="shared" si="42"/>
        <v>2</v>
      </c>
    </row>
    <row r="661" spans="1:5">
      <c r="A661">
        <v>661</v>
      </c>
      <c r="B661" t="s">
        <v>562</v>
      </c>
      <c r="C661" t="str">
        <f t="shared" si="43"/>
        <v>prog_char string_661[] PROGMEM = "un";</v>
      </c>
      <c r="D661" t="str">
        <f t="shared" si="44"/>
        <v>string_661,</v>
      </c>
      <c r="E661">
        <f t="shared" si="42"/>
        <v>2</v>
      </c>
    </row>
    <row r="662" spans="1:5">
      <c r="A662">
        <v>662</v>
      </c>
      <c r="B662" t="s">
        <v>1965</v>
      </c>
      <c r="C662" t="str">
        <f t="shared" si="43"/>
        <v>prog_char string_662[] PROGMEM = "und";</v>
      </c>
      <c r="D662" t="str">
        <f t="shared" si="44"/>
        <v>string_662,</v>
      </c>
      <c r="E662">
        <f t="shared" si="42"/>
        <v>3</v>
      </c>
    </row>
    <row r="663" spans="1:5">
      <c r="A663">
        <v>663</v>
      </c>
      <c r="B663" t="s">
        <v>563</v>
      </c>
      <c r="C663" t="str">
        <f t="shared" si="43"/>
        <v>prog_char string_663[] PROGMEM = "under";</v>
      </c>
      <c r="D663" t="str">
        <f t="shared" si="44"/>
        <v>string_663,</v>
      </c>
      <c r="E663">
        <f t="shared" si="42"/>
        <v>5</v>
      </c>
    </row>
    <row r="664" spans="1:5">
      <c r="A664">
        <v>664</v>
      </c>
      <c r="B664" t="s">
        <v>826</v>
      </c>
      <c r="C664" t="str">
        <f t="shared" si="43"/>
        <v>prog_char string_664[] PROGMEM = "unit";</v>
      </c>
      <c r="D664" t="str">
        <f t="shared" si="44"/>
        <v>string_664,</v>
      </c>
      <c r="E664">
        <f t="shared" si="42"/>
        <v>4</v>
      </c>
    </row>
    <row r="665" spans="1:5">
      <c r="A665">
        <v>665</v>
      </c>
      <c r="B665" t="s">
        <v>718</v>
      </c>
      <c r="C665" t="str">
        <f t="shared" si="43"/>
        <v>prog_char string_665[] PROGMEM = "until";</v>
      </c>
      <c r="D665" t="str">
        <f t="shared" si="44"/>
        <v>string_665,</v>
      </c>
      <c r="E665">
        <f t="shared" si="42"/>
        <v>5</v>
      </c>
    </row>
    <row r="666" spans="1:5">
      <c r="A666">
        <v>666</v>
      </c>
      <c r="B666" t="s">
        <v>565</v>
      </c>
      <c r="C666" t="str">
        <f t="shared" si="43"/>
        <v>prog_char string_666[] PROGMEM = "up";</v>
      </c>
      <c r="D666" t="str">
        <f t="shared" si="44"/>
        <v>string_666,</v>
      </c>
      <c r="E666">
        <f t="shared" si="42"/>
        <v>2</v>
      </c>
    </row>
    <row r="667" spans="1:5">
      <c r="A667">
        <v>667</v>
      </c>
      <c r="B667" t="s">
        <v>566</v>
      </c>
      <c r="C667" t="str">
        <f t="shared" si="43"/>
        <v>prog_char string_667[] PROGMEM = "ur";</v>
      </c>
      <c r="D667" t="str">
        <f t="shared" si="44"/>
        <v>string_667,</v>
      </c>
      <c r="E667">
        <f t="shared" si="42"/>
        <v>2</v>
      </c>
    </row>
    <row r="668" spans="1:5">
      <c r="A668">
        <v>668</v>
      </c>
      <c r="B668" t="s">
        <v>567</v>
      </c>
      <c r="C668" t="str">
        <f t="shared" si="43"/>
        <v>prog_char string_668[] PROGMEM = "ure";</v>
      </c>
      <c r="D668" t="str">
        <f t="shared" si="44"/>
        <v>string_668,</v>
      </c>
      <c r="E668">
        <f t="shared" si="42"/>
        <v>3</v>
      </c>
    </row>
    <row r="669" spans="1:5">
      <c r="A669">
        <v>669</v>
      </c>
      <c r="B669" t="s">
        <v>568</v>
      </c>
      <c r="C669" t="str">
        <f t="shared" si="43"/>
        <v>prog_char string_669[] PROGMEM = "us";</v>
      </c>
      <c r="D669" t="str">
        <f t="shared" si="44"/>
        <v>string_669,</v>
      </c>
      <c r="E669">
        <f t="shared" si="42"/>
        <v>2</v>
      </c>
    </row>
    <row r="670" spans="1:5">
      <c r="A670">
        <v>670</v>
      </c>
      <c r="B670" t="s">
        <v>570</v>
      </c>
      <c r="C670" t="str">
        <f t="shared" si="43"/>
        <v>prog_char string_670[] PROGMEM = "use";</v>
      </c>
      <c r="D670" t="str">
        <f t="shared" si="44"/>
        <v>string_670,</v>
      </c>
      <c r="E670">
        <f t="shared" si="42"/>
        <v>3</v>
      </c>
    </row>
    <row r="671" spans="1:5">
      <c r="A671">
        <v>671</v>
      </c>
      <c r="B671" t="s">
        <v>1933</v>
      </c>
      <c r="C671" t="str">
        <f t="shared" si="43"/>
        <v>prog_char string_671[] PROGMEM = "ust";</v>
      </c>
      <c r="D671" t="str">
        <f t="shared" si="44"/>
        <v>string_671,</v>
      </c>
      <c r="E671">
        <f t="shared" si="42"/>
        <v>3</v>
      </c>
    </row>
    <row r="672" spans="1:5">
      <c r="A672">
        <v>672</v>
      </c>
      <c r="B672" t="s">
        <v>574</v>
      </c>
      <c r="C672" t="str">
        <f t="shared" si="43"/>
        <v>prog_char string_672[] PROGMEM = "ut";</v>
      </c>
      <c r="D672" t="str">
        <f t="shared" si="44"/>
        <v>string_672,</v>
      </c>
      <c r="E672">
        <f t="shared" si="42"/>
        <v>2</v>
      </c>
    </row>
    <row r="673" spans="1:5">
      <c r="A673">
        <v>673</v>
      </c>
      <c r="B673" t="s">
        <v>576</v>
      </c>
      <c r="C673" t="str">
        <f t="shared" si="43"/>
        <v>prog_char string_673[] PROGMEM = "ve";</v>
      </c>
      <c r="D673" t="str">
        <f t="shared" si="44"/>
        <v>string_673,</v>
      </c>
      <c r="E673">
        <f t="shared" si="42"/>
        <v>2</v>
      </c>
    </row>
    <row r="674" spans="1:5">
      <c r="A674">
        <v>674</v>
      </c>
      <c r="B674" t="s">
        <v>577</v>
      </c>
      <c r="C674" t="str">
        <f t="shared" si="43"/>
        <v>prog_char string_674[] PROGMEM = "ver";</v>
      </c>
      <c r="D674" t="str">
        <f t="shared" si="44"/>
        <v>string_674,</v>
      </c>
      <c r="E674">
        <f t="shared" si="42"/>
        <v>3</v>
      </c>
    </row>
    <row r="675" spans="1:5">
      <c r="A675">
        <v>675</v>
      </c>
      <c r="B675" t="s">
        <v>578</v>
      </c>
      <c r="C675" t="str">
        <f t="shared" si="43"/>
        <v>prog_char string_675[] PROGMEM = "very";</v>
      </c>
      <c r="D675" t="str">
        <f t="shared" si="44"/>
        <v>string_675,</v>
      </c>
      <c r="E675">
        <f t="shared" si="42"/>
        <v>4</v>
      </c>
    </row>
    <row r="676" spans="1:5">
      <c r="A676">
        <v>676</v>
      </c>
      <c r="B676" t="s">
        <v>579</v>
      </c>
      <c r="C676" t="str">
        <f t="shared" si="43"/>
        <v>prog_char string_676[] PROGMEM = "vi";</v>
      </c>
      <c r="D676" t="str">
        <f t="shared" si="44"/>
        <v>string_676,</v>
      </c>
      <c r="E676">
        <f t="shared" si="42"/>
        <v>2</v>
      </c>
    </row>
    <row r="677" spans="1:5">
      <c r="A677">
        <v>677</v>
      </c>
      <c r="B677" t="s">
        <v>837</v>
      </c>
      <c r="C677" t="str">
        <f t="shared" si="43"/>
        <v>prog_char string_677[] PROGMEM = "wait";</v>
      </c>
      <c r="D677" t="str">
        <f t="shared" si="44"/>
        <v>string_677,</v>
      </c>
      <c r="E677">
        <f t="shared" si="42"/>
        <v>4</v>
      </c>
    </row>
    <row r="678" spans="1:5">
      <c r="A678">
        <v>678</v>
      </c>
      <c r="B678" t="s">
        <v>709</v>
      </c>
      <c r="C678" t="str">
        <f t="shared" si="43"/>
        <v>prog_char string_678[] PROGMEM = "walk";</v>
      </c>
      <c r="D678" t="str">
        <f t="shared" si="44"/>
        <v>string_678,</v>
      </c>
      <c r="E678">
        <f t="shared" si="42"/>
        <v>4</v>
      </c>
    </row>
    <row r="679" spans="1:5">
      <c r="A679">
        <v>679</v>
      </c>
      <c r="B679" t="s">
        <v>584</v>
      </c>
      <c r="C679" t="str">
        <f t="shared" si="43"/>
        <v>prog_char string_679[] PROGMEM = "want";</v>
      </c>
      <c r="D679" t="str">
        <f t="shared" si="44"/>
        <v>string_679,</v>
      </c>
      <c r="E679">
        <f t="shared" si="42"/>
        <v>4</v>
      </c>
    </row>
    <row r="680" spans="1:5">
      <c r="A680">
        <v>680</v>
      </c>
      <c r="B680" t="s">
        <v>809</v>
      </c>
      <c r="C680" t="str">
        <f t="shared" si="43"/>
        <v>prog_char string_680[] PROGMEM = "war";</v>
      </c>
      <c r="D680" t="str">
        <f t="shared" si="44"/>
        <v>string_680,</v>
      </c>
      <c r="E680">
        <f t="shared" si="42"/>
        <v>3</v>
      </c>
    </row>
    <row r="681" spans="1:5">
      <c r="A681">
        <v>681</v>
      </c>
      <c r="B681" t="s">
        <v>585</v>
      </c>
      <c r="C681" t="str">
        <f t="shared" si="43"/>
        <v>prog_char string_681[] PROGMEM = "was";</v>
      </c>
      <c r="D681" t="str">
        <f t="shared" si="44"/>
        <v>string_681,</v>
      </c>
      <c r="E681">
        <f t="shared" si="42"/>
        <v>3</v>
      </c>
    </row>
    <row r="682" spans="1:5">
      <c r="A682">
        <v>682</v>
      </c>
      <c r="B682" t="s">
        <v>740</v>
      </c>
      <c r="C682" t="str">
        <f t="shared" si="43"/>
        <v>prog_char string_682[] PROGMEM = "watch";</v>
      </c>
      <c r="D682" t="str">
        <f t="shared" si="44"/>
        <v>string_682,</v>
      </c>
      <c r="E682">
        <f t="shared" si="42"/>
        <v>5</v>
      </c>
    </row>
    <row r="683" spans="1:5">
      <c r="A683">
        <v>683</v>
      </c>
      <c r="B683" t="s">
        <v>586</v>
      </c>
      <c r="C683" t="str">
        <f t="shared" si="43"/>
        <v>prog_char string_683[] PROGMEM = "water";</v>
      </c>
      <c r="D683" t="str">
        <f t="shared" si="44"/>
        <v>string_683,</v>
      </c>
      <c r="E683">
        <f t="shared" si="42"/>
        <v>5</v>
      </c>
    </row>
    <row r="684" spans="1:5">
      <c r="A684">
        <v>684</v>
      </c>
      <c r="B684" t="s">
        <v>587</v>
      </c>
      <c r="C684" t="str">
        <f t="shared" si="43"/>
        <v>prog_char string_684[] PROGMEM = "way";</v>
      </c>
      <c r="D684" t="str">
        <f t="shared" si="44"/>
        <v>string_684,</v>
      </c>
      <c r="E684">
        <f t="shared" si="42"/>
        <v>3</v>
      </c>
    </row>
    <row r="685" spans="1:5">
      <c r="A685">
        <v>685</v>
      </c>
      <c r="B685" t="s">
        <v>588</v>
      </c>
      <c r="C685" t="str">
        <f t="shared" si="43"/>
        <v>prog_char string_685[] PROGMEM = "we";</v>
      </c>
      <c r="D685" t="str">
        <f t="shared" si="44"/>
        <v>string_685,</v>
      </c>
      <c r="E685">
        <f t="shared" si="42"/>
        <v>2</v>
      </c>
    </row>
    <row r="686" spans="1:5">
      <c r="A686">
        <v>686</v>
      </c>
      <c r="B686" t="s">
        <v>855</v>
      </c>
      <c r="C686" t="str">
        <f t="shared" si="43"/>
        <v>prog_char string_686[] PROGMEM = "week";</v>
      </c>
      <c r="D686" t="str">
        <f t="shared" si="44"/>
        <v>string_686,</v>
      </c>
      <c r="E686">
        <f t="shared" si="42"/>
        <v>4</v>
      </c>
    </row>
    <row r="687" spans="1:5">
      <c r="A687">
        <v>687</v>
      </c>
      <c r="B687" t="s">
        <v>590</v>
      </c>
      <c r="C687" t="str">
        <f t="shared" si="43"/>
        <v>prog_char string_687[] PROGMEM = "well";</v>
      </c>
      <c r="D687" t="str">
        <f t="shared" si="44"/>
        <v>string_687,</v>
      </c>
      <c r="E687">
        <f t="shared" si="42"/>
        <v>4</v>
      </c>
    </row>
    <row r="688" spans="1:5">
      <c r="A688">
        <v>688</v>
      </c>
      <c r="B688" t="s">
        <v>653</v>
      </c>
      <c r="C688" t="str">
        <f t="shared" si="43"/>
        <v>prog_char string_688[] PROGMEM = "went";</v>
      </c>
      <c r="D688" t="str">
        <f t="shared" si="44"/>
        <v>string_688,</v>
      </c>
      <c r="E688">
        <f t="shared" si="42"/>
        <v>4</v>
      </c>
    </row>
    <row r="689" spans="1:5">
      <c r="A689">
        <v>689</v>
      </c>
      <c r="B689" t="s">
        <v>591</v>
      </c>
      <c r="C689" t="str">
        <f t="shared" si="43"/>
        <v>prog_char string_689[] PROGMEM = "were";</v>
      </c>
      <c r="D689" t="str">
        <f t="shared" si="44"/>
        <v>string_689,</v>
      </c>
      <c r="E689">
        <f t="shared" si="42"/>
        <v>4</v>
      </c>
    </row>
    <row r="690" spans="1:5">
      <c r="A690">
        <v>690</v>
      </c>
      <c r="B690" t="s">
        <v>792</v>
      </c>
      <c r="C690" t="str">
        <f t="shared" si="43"/>
        <v>prog_char string_690[] PROGMEM = "west";</v>
      </c>
      <c r="D690" t="str">
        <f t="shared" si="44"/>
        <v>string_690,</v>
      </c>
      <c r="E690">
        <f t="shared" si="42"/>
        <v>4</v>
      </c>
    </row>
    <row r="691" spans="1:5">
      <c r="A691">
        <v>691</v>
      </c>
      <c r="B691" t="s">
        <v>592</v>
      </c>
      <c r="C691" t="str">
        <f t="shared" si="43"/>
        <v>prog_char string_691[] PROGMEM = "wh";</v>
      </c>
      <c r="D691" t="str">
        <f t="shared" si="44"/>
        <v>string_691,</v>
      </c>
      <c r="E691">
        <f t="shared" si="42"/>
        <v>2</v>
      </c>
    </row>
    <row r="692" spans="1:5">
      <c r="A692">
        <v>692</v>
      </c>
      <c r="B692" t="s">
        <v>593</v>
      </c>
      <c r="C692" t="str">
        <f t="shared" si="43"/>
        <v>prog_char string_692[] PROGMEM = "what";</v>
      </c>
      <c r="D692" t="str">
        <f t="shared" si="44"/>
        <v>string_692,</v>
      </c>
      <c r="E692">
        <f t="shared" si="42"/>
        <v>4</v>
      </c>
    </row>
    <row r="693" spans="1:5">
      <c r="A693">
        <v>693</v>
      </c>
      <c r="B693" t="s">
        <v>594</v>
      </c>
      <c r="C693" t="str">
        <f t="shared" si="43"/>
        <v>prog_char string_693[] PROGMEM = "when";</v>
      </c>
      <c r="D693" t="str">
        <f t="shared" si="44"/>
        <v>string_693,</v>
      </c>
      <c r="E693">
        <f t="shared" si="42"/>
        <v>4</v>
      </c>
    </row>
    <row r="694" spans="1:5">
      <c r="A694">
        <v>694</v>
      </c>
      <c r="B694" t="s">
        <v>595</v>
      </c>
      <c r="C694" t="str">
        <f t="shared" si="43"/>
        <v>prog_char string_694[] PROGMEM = "where";</v>
      </c>
      <c r="D694" t="str">
        <f t="shared" si="44"/>
        <v>string_694,</v>
      </c>
      <c r="E694">
        <f t="shared" si="42"/>
        <v>5</v>
      </c>
    </row>
    <row r="695" spans="1:5">
      <c r="A695">
        <v>695</v>
      </c>
      <c r="B695" t="s">
        <v>1014</v>
      </c>
      <c r="C695" t="str">
        <f t="shared" si="43"/>
        <v>prog_char string_695[] PROGMEM = "whether";</v>
      </c>
      <c r="D695" t="str">
        <f t="shared" si="44"/>
        <v>string_695,</v>
      </c>
      <c r="E695">
        <f t="shared" si="42"/>
        <v>7</v>
      </c>
    </row>
    <row r="696" spans="1:5">
      <c r="A696">
        <v>696</v>
      </c>
      <c r="B696" t="s">
        <v>597</v>
      </c>
      <c r="C696" t="str">
        <f t="shared" si="43"/>
        <v>prog_char string_696[] PROGMEM = "which";</v>
      </c>
      <c r="D696" t="str">
        <f t="shared" si="44"/>
        <v>string_696,</v>
      </c>
      <c r="E696">
        <f t="shared" si="42"/>
        <v>5</v>
      </c>
    </row>
    <row r="697" spans="1:5">
      <c r="A697">
        <v>697</v>
      </c>
      <c r="B697" t="s">
        <v>598</v>
      </c>
      <c r="C697" t="str">
        <f t="shared" si="43"/>
        <v>prog_char string_697[] PROGMEM = "while";</v>
      </c>
      <c r="D697" t="str">
        <f t="shared" si="44"/>
        <v>string_697,</v>
      </c>
      <c r="E697">
        <f t="shared" si="42"/>
        <v>5</v>
      </c>
    </row>
    <row r="698" spans="1:5">
      <c r="A698">
        <v>698</v>
      </c>
      <c r="B698" t="s">
        <v>599</v>
      </c>
      <c r="C698" t="str">
        <f t="shared" si="43"/>
        <v>prog_char string_698[] PROGMEM = "white";</v>
      </c>
      <c r="D698" t="str">
        <f t="shared" si="44"/>
        <v>string_698,</v>
      </c>
      <c r="E698">
        <f t="shared" si="42"/>
        <v>5</v>
      </c>
    </row>
    <row r="699" spans="1:5">
      <c r="A699">
        <v>699</v>
      </c>
      <c r="B699" t="s">
        <v>600</v>
      </c>
      <c r="C699" t="str">
        <f t="shared" si="43"/>
        <v>prog_char string_699[] PROGMEM = "who";</v>
      </c>
      <c r="D699" t="str">
        <f t="shared" si="44"/>
        <v>string_699,</v>
      </c>
      <c r="E699">
        <f t="shared" si="42"/>
        <v>3</v>
      </c>
    </row>
    <row r="700" spans="1:5">
      <c r="A700">
        <v>700</v>
      </c>
      <c r="B700" t="s">
        <v>780</v>
      </c>
      <c r="C700" t="str">
        <f t="shared" si="43"/>
        <v>prog_char string_700[] PROGMEM = "whole";</v>
      </c>
      <c r="D700" t="str">
        <f t="shared" si="44"/>
        <v>string_700,</v>
      </c>
      <c r="E700">
        <f t="shared" si="42"/>
        <v>5</v>
      </c>
    </row>
    <row r="701" spans="1:5">
      <c r="A701">
        <v>701</v>
      </c>
      <c r="B701" t="s">
        <v>601</v>
      </c>
      <c r="C701" t="str">
        <f t="shared" si="43"/>
        <v>prog_char string_701[] PROGMEM = "why";</v>
      </c>
      <c r="D701" t="str">
        <f t="shared" si="44"/>
        <v>string_701,</v>
      </c>
      <c r="E701">
        <f t="shared" si="42"/>
        <v>3</v>
      </c>
    </row>
    <row r="702" spans="1:5">
      <c r="A702">
        <v>702</v>
      </c>
      <c r="B702" t="s">
        <v>602</v>
      </c>
      <c r="C702" t="str">
        <f t="shared" si="43"/>
        <v>prog_char string_702[] PROGMEM = "wi";</v>
      </c>
      <c r="D702" t="str">
        <f t="shared" si="44"/>
        <v>string_702,</v>
      </c>
      <c r="E702">
        <f t="shared" si="42"/>
        <v>2</v>
      </c>
    </row>
    <row r="703" spans="1:5">
      <c r="A703">
        <v>703</v>
      </c>
      <c r="B703" t="s">
        <v>603</v>
      </c>
      <c r="C703" t="str">
        <f t="shared" si="43"/>
        <v>prog_char string_703[] PROGMEM = "will";</v>
      </c>
      <c r="D703" t="str">
        <f t="shared" si="44"/>
        <v>string_703,</v>
      </c>
      <c r="E703">
        <f t="shared" si="42"/>
        <v>4</v>
      </c>
    </row>
    <row r="704" spans="1:5">
      <c r="A704">
        <v>704</v>
      </c>
      <c r="B704" t="s">
        <v>604</v>
      </c>
      <c r="C704" t="str">
        <f t="shared" si="43"/>
        <v>prog_char string_704[] PROGMEM = "wit";</v>
      </c>
      <c r="D704" t="str">
        <f t="shared" si="44"/>
        <v>string_704,</v>
      </c>
      <c r="E704">
        <f t="shared" si="42"/>
        <v>3</v>
      </c>
    </row>
    <row r="705" spans="1:5">
      <c r="A705">
        <v>705</v>
      </c>
      <c r="B705" t="s">
        <v>605</v>
      </c>
      <c r="C705" t="str">
        <f t="shared" si="43"/>
        <v>prog_char string_705[] PROGMEM = "with";</v>
      </c>
      <c r="D705" t="str">
        <f t="shared" si="44"/>
        <v>string_705,</v>
      </c>
      <c r="E705">
        <f t="shared" ref="E705:E719" si="45">LEN(B705)</f>
        <v>4</v>
      </c>
    </row>
    <row r="706" spans="1:5">
      <c r="A706">
        <v>706</v>
      </c>
      <c r="B706" t="s">
        <v>608</v>
      </c>
      <c r="C706" t="str">
        <f t="shared" si="43"/>
        <v>prog_char string_706[] PROGMEM = "wo";</v>
      </c>
      <c r="D706" t="str">
        <f t="shared" si="44"/>
        <v>string_706,</v>
      </c>
      <c r="E706">
        <f t="shared" si="45"/>
        <v>2</v>
      </c>
    </row>
    <row r="707" spans="1:5">
      <c r="A707">
        <v>707</v>
      </c>
      <c r="B707" t="s">
        <v>1919</v>
      </c>
      <c r="C707" t="str">
        <f t="shared" si="43"/>
        <v>prog_char string_707[] PROGMEM = "wor";</v>
      </c>
      <c r="D707" t="str">
        <f t="shared" si="44"/>
        <v>string_707,</v>
      </c>
      <c r="E707">
        <f t="shared" si="45"/>
        <v>3</v>
      </c>
    </row>
    <row r="708" spans="1:5">
      <c r="A708">
        <v>708</v>
      </c>
      <c r="B708" t="s">
        <v>621</v>
      </c>
      <c r="C708" t="str">
        <f t="shared" si="43"/>
        <v>prog_char string_708[] PROGMEM = "word";</v>
      </c>
      <c r="D708" t="str">
        <f t="shared" si="44"/>
        <v>string_708,</v>
      </c>
      <c r="E708">
        <f t="shared" si="45"/>
        <v>4</v>
      </c>
    </row>
    <row r="709" spans="1:5">
      <c r="A709">
        <v>709</v>
      </c>
      <c r="B709" t="s">
        <v>610</v>
      </c>
      <c r="C709" t="str">
        <f t="shared" si="43"/>
        <v>prog_char string_709[] PROGMEM = "work";</v>
      </c>
      <c r="D709" t="str">
        <f t="shared" si="44"/>
        <v>string_709,</v>
      </c>
      <c r="E709">
        <f t="shared" si="45"/>
        <v>4</v>
      </c>
    </row>
    <row r="710" spans="1:5">
      <c r="A710">
        <v>710</v>
      </c>
      <c r="B710" t="s">
        <v>612</v>
      </c>
      <c r="C710" t="str">
        <f t="shared" si="43"/>
        <v>prog_char string_710[] PROGMEM = "would";</v>
      </c>
      <c r="D710" t="str">
        <f t="shared" si="44"/>
        <v>string_710,</v>
      </c>
      <c r="E710">
        <f t="shared" si="45"/>
        <v>5</v>
      </c>
    </row>
    <row r="711" spans="1:5">
      <c r="A711">
        <v>711</v>
      </c>
      <c r="B711" t="s">
        <v>622</v>
      </c>
      <c r="C711" t="str">
        <f t="shared" ref="C711:C719" si="46">"prog_char string_"&amp;A711&amp;"[] PROGMEM = """&amp;B711&amp;""";"</f>
        <v>prog_char string_711[] PROGMEM = "write";</v>
      </c>
      <c r="D711" t="str">
        <f t="shared" ref="D711:D719" si="47">"string_" &amp; A711 &amp; ","</f>
        <v>string_711,</v>
      </c>
      <c r="E711">
        <f t="shared" si="45"/>
        <v>5</v>
      </c>
    </row>
    <row r="712" spans="1:5">
      <c r="A712">
        <v>712</v>
      </c>
      <c r="B712" t="s">
        <v>613</v>
      </c>
      <c r="C712" t="str">
        <f t="shared" si="46"/>
        <v>prog_char string_712[] PROGMEM = "year";</v>
      </c>
      <c r="D712" t="str">
        <f t="shared" si="47"/>
        <v>string_712,</v>
      </c>
      <c r="E712">
        <f t="shared" si="45"/>
        <v>4</v>
      </c>
    </row>
    <row r="713" spans="1:5">
      <c r="A713">
        <v>713</v>
      </c>
      <c r="B713" t="s">
        <v>910</v>
      </c>
      <c r="C713" t="str">
        <f t="shared" si="46"/>
        <v>prog_char string_713[] PROGMEM = "yes";</v>
      </c>
      <c r="D713" t="str">
        <f t="shared" si="47"/>
        <v>string_713,</v>
      </c>
      <c r="E713">
        <f t="shared" si="45"/>
        <v>3</v>
      </c>
    </row>
    <row r="714" spans="1:5">
      <c r="A714">
        <v>714</v>
      </c>
      <c r="B714" t="s">
        <v>919</v>
      </c>
      <c r="C714" t="str">
        <f t="shared" si="46"/>
        <v>prog_char string_714[] PROGMEM = "yet";</v>
      </c>
      <c r="D714" t="str">
        <f t="shared" si="47"/>
        <v>string_714,</v>
      </c>
      <c r="E714">
        <f t="shared" si="45"/>
        <v>3</v>
      </c>
    </row>
    <row r="715" spans="1:5">
      <c r="A715">
        <v>715</v>
      </c>
      <c r="B715" t="s">
        <v>615</v>
      </c>
      <c r="C715" t="str">
        <f t="shared" si="46"/>
        <v>prog_char string_715[] PROGMEM = "yo";</v>
      </c>
      <c r="D715" t="str">
        <f t="shared" si="47"/>
        <v>string_715,</v>
      </c>
      <c r="E715">
        <f t="shared" si="45"/>
        <v>2</v>
      </c>
    </row>
    <row r="716" spans="1:5">
      <c r="A716">
        <v>716</v>
      </c>
      <c r="B716" t="s">
        <v>616</v>
      </c>
      <c r="C716" t="str">
        <f t="shared" si="46"/>
        <v>prog_char string_716[] PROGMEM = "you";</v>
      </c>
      <c r="D716" t="str">
        <f t="shared" si="47"/>
        <v>string_716,</v>
      </c>
      <c r="E716">
        <f t="shared" si="45"/>
        <v>3</v>
      </c>
    </row>
    <row r="717" spans="1:5">
      <c r="A717">
        <v>717</v>
      </c>
      <c r="B717" t="s">
        <v>748</v>
      </c>
      <c r="C717" t="str">
        <f t="shared" si="46"/>
        <v>prog_char string_717[] PROGMEM = "young";</v>
      </c>
      <c r="D717" t="str">
        <f t="shared" si="47"/>
        <v>string_717,</v>
      </c>
      <c r="E717">
        <f t="shared" si="45"/>
        <v>5</v>
      </c>
    </row>
    <row r="718" spans="1:5">
      <c r="A718">
        <v>718</v>
      </c>
      <c r="B718" t="s">
        <v>617</v>
      </c>
      <c r="C718" t="str">
        <f t="shared" si="46"/>
        <v>prog_char string_718[] PROGMEM = "your";</v>
      </c>
      <c r="D718" t="str">
        <f t="shared" si="47"/>
        <v>string_718,</v>
      </c>
      <c r="E718">
        <f t="shared" si="45"/>
        <v>4</v>
      </c>
    </row>
    <row r="719" spans="1:5">
      <c r="A719">
        <v>719</v>
      </c>
      <c r="B719" t="s">
        <v>618</v>
      </c>
      <c r="C719" t="str">
        <f t="shared" si="46"/>
        <v>prog_char string_719[] PROGMEM = "ys";</v>
      </c>
      <c r="D719" t="str">
        <f t="shared" si="47"/>
        <v>string_719,</v>
      </c>
      <c r="E719">
        <f t="shared" si="45"/>
        <v>2</v>
      </c>
    </row>
  </sheetData>
  <sortState ref="B1:B620">
    <sortCondition ref="B1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17577"/>
  <sheetViews>
    <sheetView workbookViewId="0">
      <selection activeCell="X1" sqref="X1:X1048576"/>
    </sheetView>
  </sheetViews>
  <sheetFormatPr defaultRowHeight="15"/>
  <cols>
    <col min="4" max="4" width="15" style="6" customWidth="1"/>
    <col min="10" max="10" width="10.42578125" bestFit="1" customWidth="1"/>
    <col min="16" max="16" width="12" bestFit="1" customWidth="1"/>
  </cols>
  <sheetData>
    <row r="1" spans="1:26">
      <c r="A1" t="s">
        <v>2001</v>
      </c>
      <c r="E1" t="s">
        <v>2002</v>
      </c>
      <c r="J1" t="s">
        <v>2003</v>
      </c>
      <c r="O1" t="s">
        <v>2004</v>
      </c>
      <c r="S1" t="s">
        <v>2005</v>
      </c>
      <c r="X1" t="s">
        <v>1995</v>
      </c>
      <c r="Y1">
        <f t="shared" ref="Y1:Y64" si="0">IF(ISNUMBER(FIND("e",X1)),1,0)+IF(ISNUMBER(FIND("n",X1)),1,0)+IF(ISNUMBER(FIND("t",X1)),1,0)+IF(ISNUMBER(FIND("o",X1)),1,0)+IF(ISNUMBER(FIND("r",X1)),1,0)+IF(ISNUMBER(FIND("s",X1)),1,0)+IF(ISNUMBER(FIND("d",X1)),1,0)+IF(ISNUMBER(FIND("i",X1)),1,0)</f>
        <v>0</v>
      </c>
      <c r="Z1">
        <f t="shared" ref="Z1:Z64" si="1">LEN(X1)</f>
        <v>3</v>
      </c>
    </row>
    <row r="2" spans="1:26" ht="15.75">
      <c r="A2" s="1" t="s">
        <v>518</v>
      </c>
      <c r="B2" s="4" t="s">
        <v>518</v>
      </c>
      <c r="C2" s="4" t="s">
        <v>518</v>
      </c>
      <c r="D2" s="7" t="s">
        <v>518</v>
      </c>
      <c r="E2" t="s">
        <v>1728</v>
      </c>
      <c r="J2" t="s">
        <v>811</v>
      </c>
      <c r="K2">
        <f t="shared" ref="K2:K65" si="2">LEN(J2)</f>
        <v>7</v>
      </c>
      <c r="O2" s="1" t="s">
        <v>236</v>
      </c>
      <c r="P2">
        <v>134812613554</v>
      </c>
      <c r="Q2">
        <f>LOG(P2)</f>
        <v>11.129730528257319</v>
      </c>
      <c r="S2" s="1" t="s">
        <v>518</v>
      </c>
      <c r="T2">
        <v>82103550112</v>
      </c>
      <c r="U2">
        <f>LOG(T2)</f>
        <v>10.914361936178127</v>
      </c>
      <c r="X2" t="s">
        <v>846</v>
      </c>
      <c r="Y2">
        <f t="shared" si="0"/>
        <v>1</v>
      </c>
      <c r="Z2">
        <f t="shared" si="1"/>
        <v>4</v>
      </c>
    </row>
    <row r="3" spans="1:26" ht="15.75">
      <c r="A3" s="1" t="s">
        <v>346</v>
      </c>
      <c r="B3" s="4" t="s">
        <v>346</v>
      </c>
      <c r="C3" s="4" t="s">
        <v>40</v>
      </c>
      <c r="D3" s="7" t="s">
        <v>346</v>
      </c>
      <c r="E3" t="s">
        <v>1298</v>
      </c>
      <c r="J3" t="s">
        <v>46</v>
      </c>
      <c r="K3">
        <f t="shared" si="2"/>
        <v>7</v>
      </c>
      <c r="O3" s="1" t="s">
        <v>514</v>
      </c>
      <c r="P3">
        <v>133210262170</v>
      </c>
      <c r="Q3">
        <f t="shared" ref="Q3:Q66" si="3">LOG(P3)</f>
        <v>11.124537683033447</v>
      </c>
      <c r="S3" s="1" t="s">
        <v>241</v>
      </c>
      <c r="T3">
        <v>43727954927</v>
      </c>
      <c r="U3">
        <f t="shared" ref="U3:U66" si="4">LOG(T3)</f>
        <v>10.640759166695702</v>
      </c>
      <c r="X3" t="s">
        <v>1</v>
      </c>
      <c r="Y3">
        <f t="shared" si="0"/>
        <v>2</v>
      </c>
      <c r="Z3">
        <f t="shared" si="1"/>
        <v>5</v>
      </c>
    </row>
    <row r="4" spans="1:26" ht="15.75">
      <c r="A4" s="1" t="s">
        <v>540</v>
      </c>
      <c r="B4" s="4" t="s">
        <v>19</v>
      </c>
      <c r="C4" s="4" t="s">
        <v>19</v>
      </c>
      <c r="D4" s="7" t="s">
        <v>540</v>
      </c>
      <c r="E4" t="s">
        <v>1180</v>
      </c>
      <c r="J4" t="s">
        <v>829</v>
      </c>
      <c r="K4">
        <f t="shared" si="2"/>
        <v>7</v>
      </c>
      <c r="O4" s="1" t="s">
        <v>142</v>
      </c>
      <c r="P4">
        <v>119214789533</v>
      </c>
      <c r="Q4">
        <f t="shared" si="3"/>
        <v>11.076330136395347</v>
      </c>
      <c r="S4" s="1" t="s">
        <v>19</v>
      </c>
      <c r="T4">
        <v>43452082914</v>
      </c>
      <c r="U4">
        <f t="shared" si="4"/>
        <v>10.638010599573517</v>
      </c>
      <c r="X4" t="s">
        <v>750</v>
      </c>
      <c r="Y4">
        <f t="shared" si="0"/>
        <v>2</v>
      </c>
      <c r="Z4">
        <f t="shared" si="1"/>
        <v>5</v>
      </c>
    </row>
    <row r="5" spans="1:26" ht="15.75">
      <c r="A5" s="1" t="s">
        <v>19</v>
      </c>
      <c r="B5" s="4" t="s">
        <v>619</v>
      </c>
      <c r="C5" s="4" t="s">
        <v>346</v>
      </c>
      <c r="D5" s="7" t="s">
        <v>19</v>
      </c>
      <c r="E5" t="s">
        <v>1228</v>
      </c>
      <c r="J5" t="s">
        <v>861</v>
      </c>
      <c r="K5">
        <f t="shared" si="2"/>
        <v>7</v>
      </c>
      <c r="O5" s="1" t="s">
        <v>425</v>
      </c>
      <c r="P5">
        <v>108669181717</v>
      </c>
      <c r="Q5">
        <f t="shared" si="3"/>
        <v>11.036106396819211</v>
      </c>
      <c r="S5" s="1" t="s">
        <v>245</v>
      </c>
      <c r="T5">
        <v>39907843075</v>
      </c>
      <c r="U5">
        <f t="shared" si="4"/>
        <v>10.601058255823631</v>
      </c>
      <c r="X5" t="s">
        <v>1973</v>
      </c>
      <c r="Y5">
        <f t="shared" si="0"/>
        <v>0</v>
      </c>
      <c r="Z5">
        <f t="shared" si="1"/>
        <v>3</v>
      </c>
    </row>
    <row r="6" spans="1:26" ht="15.75">
      <c r="A6" s="1" t="s">
        <v>619</v>
      </c>
      <c r="B6" s="4" t="s">
        <v>540</v>
      </c>
      <c r="C6" s="4" t="s">
        <v>619</v>
      </c>
      <c r="D6" s="7" t="s">
        <v>619</v>
      </c>
      <c r="E6" t="s">
        <v>1414</v>
      </c>
      <c r="J6" t="s">
        <v>875</v>
      </c>
      <c r="K6">
        <f t="shared" si="2"/>
        <v>7</v>
      </c>
      <c r="O6" s="1" t="s">
        <v>200</v>
      </c>
      <c r="P6">
        <v>106498528786</v>
      </c>
      <c r="Q6">
        <f t="shared" si="3"/>
        <v>11.027343608295553</v>
      </c>
      <c r="S6" s="1" t="s">
        <v>537</v>
      </c>
      <c r="T6">
        <v>32705432538</v>
      </c>
      <c r="U6">
        <f t="shared" si="4"/>
        <v>10.514619897165414</v>
      </c>
      <c r="X6" t="s">
        <v>5</v>
      </c>
      <c r="Y6">
        <f t="shared" si="0"/>
        <v>1</v>
      </c>
      <c r="Z6">
        <f t="shared" si="1"/>
        <v>3</v>
      </c>
    </row>
    <row r="7" spans="1:26" ht="15.75">
      <c r="A7" s="1" t="s">
        <v>236</v>
      </c>
      <c r="B7" s="4" t="s">
        <v>236</v>
      </c>
      <c r="C7" s="4" t="s">
        <v>236</v>
      </c>
      <c r="D7" s="7" t="s">
        <v>236</v>
      </c>
      <c r="E7" t="s">
        <v>1425</v>
      </c>
      <c r="J7" t="s">
        <v>942</v>
      </c>
      <c r="K7">
        <f t="shared" si="2"/>
        <v>7</v>
      </c>
      <c r="O7" s="1" t="s">
        <v>18</v>
      </c>
      <c r="P7">
        <v>105422467512</v>
      </c>
      <c r="Q7">
        <f t="shared" si="3"/>
        <v>11.022933177068698</v>
      </c>
      <c r="S7" s="1" t="s">
        <v>139</v>
      </c>
      <c r="T7">
        <v>31928292897</v>
      </c>
      <c r="U7">
        <f t="shared" si="4"/>
        <v>10.504175698832826</v>
      </c>
      <c r="X7" t="s">
        <v>6</v>
      </c>
      <c r="Y7">
        <f t="shared" si="0"/>
        <v>1</v>
      </c>
      <c r="Z7">
        <f t="shared" si="1"/>
        <v>2</v>
      </c>
    </row>
    <row r="8" spans="1:26" ht="15.75">
      <c r="A8" s="1" t="s">
        <v>248</v>
      </c>
      <c r="B8" s="4" t="s">
        <v>248</v>
      </c>
      <c r="C8" s="4" t="s">
        <v>540</v>
      </c>
      <c r="D8" s="7" t="s">
        <v>248</v>
      </c>
      <c r="E8" t="s">
        <v>882</v>
      </c>
      <c r="J8" t="s">
        <v>775</v>
      </c>
      <c r="K8">
        <f t="shared" si="2"/>
        <v>7</v>
      </c>
      <c r="O8" s="1" t="s">
        <v>355</v>
      </c>
      <c r="P8">
        <v>100461773921</v>
      </c>
      <c r="Q8">
        <f t="shared" si="3"/>
        <v>11.002000842520523</v>
      </c>
      <c r="S8" s="1" t="s">
        <v>172</v>
      </c>
      <c r="T8">
        <v>26276145239</v>
      </c>
      <c r="U8">
        <f t="shared" si="4"/>
        <v>10.419561653725555</v>
      </c>
      <c r="X8" t="s">
        <v>7</v>
      </c>
      <c r="Y8">
        <f t="shared" si="0"/>
        <v>1</v>
      </c>
      <c r="Z8">
        <f t="shared" si="1"/>
        <v>3</v>
      </c>
    </row>
    <row r="9" spans="1:26" ht="15.75">
      <c r="A9" s="1" t="s">
        <v>250</v>
      </c>
      <c r="B9" s="4" t="s">
        <v>40</v>
      </c>
      <c r="C9" s="4" t="s">
        <v>199</v>
      </c>
      <c r="D9" s="7" t="s">
        <v>250</v>
      </c>
      <c r="E9" t="s">
        <v>1412</v>
      </c>
      <c r="J9" t="s">
        <v>1696</v>
      </c>
      <c r="K9">
        <f t="shared" si="2"/>
        <v>7</v>
      </c>
      <c r="O9" s="1" t="s">
        <v>147</v>
      </c>
      <c r="P9">
        <v>97326307798</v>
      </c>
      <c r="Q9">
        <f t="shared" si="3"/>
        <v>10.988230248153249</v>
      </c>
      <c r="S9" s="1" t="s">
        <v>30</v>
      </c>
      <c r="T9">
        <v>25312331919</v>
      </c>
      <c r="U9">
        <f t="shared" si="4"/>
        <v>10.403332156730865</v>
      </c>
      <c r="X9" t="s">
        <v>1298</v>
      </c>
      <c r="Y9">
        <f t="shared" si="0"/>
        <v>3</v>
      </c>
      <c r="Z9">
        <f t="shared" si="1"/>
        <v>6</v>
      </c>
    </row>
    <row r="10" spans="1:26" ht="15.75">
      <c r="A10" s="1" t="s">
        <v>616</v>
      </c>
      <c r="B10" s="4" t="s">
        <v>517</v>
      </c>
      <c r="C10" s="4" t="s">
        <v>540</v>
      </c>
      <c r="D10" s="7" t="s">
        <v>616</v>
      </c>
      <c r="E10" t="s">
        <v>1493</v>
      </c>
      <c r="J10" t="s">
        <v>461</v>
      </c>
      <c r="K10">
        <f t="shared" si="2"/>
        <v>7</v>
      </c>
      <c r="O10" s="1" t="s">
        <v>365</v>
      </c>
      <c r="P10">
        <v>85998433585</v>
      </c>
      <c r="Q10">
        <f t="shared" si="3"/>
        <v>10.934490540876284</v>
      </c>
      <c r="S10" s="1" t="s">
        <v>511</v>
      </c>
      <c r="T10">
        <v>21635845251</v>
      </c>
      <c r="U10">
        <f t="shared" si="4"/>
        <v>10.335173866517618</v>
      </c>
      <c r="X10" t="s">
        <v>9</v>
      </c>
      <c r="Y10">
        <f t="shared" si="0"/>
        <v>3</v>
      </c>
      <c r="Z10">
        <f t="shared" si="1"/>
        <v>5</v>
      </c>
    </row>
    <row r="11" spans="1:26" ht="15.75">
      <c r="A11" s="1" t="s">
        <v>517</v>
      </c>
      <c r="B11" s="4" t="s">
        <v>585</v>
      </c>
      <c r="C11" s="4" t="s">
        <v>250</v>
      </c>
      <c r="D11" s="7" t="s">
        <v>517</v>
      </c>
      <c r="E11" t="s">
        <v>998</v>
      </c>
      <c r="J11" t="s">
        <v>806</v>
      </c>
      <c r="K11">
        <f t="shared" si="2"/>
        <v>7</v>
      </c>
      <c r="O11" s="1" t="s">
        <v>508</v>
      </c>
      <c r="P11">
        <v>80948650956</v>
      </c>
      <c r="Q11">
        <f t="shared" si="3"/>
        <v>10.908209615445822</v>
      </c>
      <c r="S11" s="1" t="s">
        <v>29</v>
      </c>
      <c r="T11">
        <v>19978168727</v>
      </c>
      <c r="U11">
        <f t="shared" si="4"/>
        <v>10.300555676672333</v>
      </c>
      <c r="X11" t="s">
        <v>10</v>
      </c>
      <c r="Y11">
        <f t="shared" si="0"/>
        <v>0</v>
      </c>
      <c r="Z11">
        <f t="shared" si="1"/>
        <v>2</v>
      </c>
    </row>
    <row r="12" spans="1:26" ht="15.75">
      <c r="A12" s="1" t="s">
        <v>200</v>
      </c>
      <c r="B12" s="4" t="s">
        <v>200</v>
      </c>
      <c r="C12" s="4" t="s">
        <v>1856</v>
      </c>
      <c r="D12" s="7" t="s">
        <v>200</v>
      </c>
      <c r="E12" t="s">
        <v>769</v>
      </c>
      <c r="J12" t="s">
        <v>487</v>
      </c>
      <c r="K12">
        <f t="shared" si="2"/>
        <v>7</v>
      </c>
      <c r="O12" s="1" t="s">
        <v>28</v>
      </c>
      <c r="P12">
        <v>80609883139</v>
      </c>
      <c r="Q12">
        <f t="shared" si="3"/>
        <v>10.906388291551984</v>
      </c>
      <c r="S12" s="1" t="s">
        <v>146</v>
      </c>
      <c r="T12">
        <v>18428556963</v>
      </c>
      <c r="U12">
        <f t="shared" si="4"/>
        <v>10.26549132938389</v>
      </c>
      <c r="X12" t="s">
        <v>658</v>
      </c>
      <c r="Y12">
        <f t="shared" si="0"/>
        <v>2</v>
      </c>
      <c r="Z12">
        <f t="shared" si="1"/>
        <v>5</v>
      </c>
    </row>
    <row r="13" spans="1:26" ht="15.75">
      <c r="A13" s="1" t="s">
        <v>585</v>
      </c>
      <c r="B13" s="4" t="s">
        <v>172</v>
      </c>
      <c r="C13" s="4" t="s">
        <v>517</v>
      </c>
      <c r="D13" s="7" t="s">
        <v>585</v>
      </c>
      <c r="E13" t="s">
        <v>1696</v>
      </c>
      <c r="J13" t="s">
        <v>1661</v>
      </c>
      <c r="K13">
        <f t="shared" si="2"/>
        <v>7</v>
      </c>
      <c r="O13" s="1" t="s">
        <v>533</v>
      </c>
      <c r="P13">
        <v>79834588969</v>
      </c>
      <c r="Q13">
        <f t="shared" si="3"/>
        <v>10.902191093653295</v>
      </c>
      <c r="S13" s="1" t="s">
        <v>432</v>
      </c>
      <c r="T13">
        <v>16905804845</v>
      </c>
      <c r="U13">
        <f t="shared" si="4"/>
        <v>10.228035851317214</v>
      </c>
      <c r="X13" t="s">
        <v>811</v>
      </c>
      <c r="Y13">
        <f t="shared" si="0"/>
        <v>4</v>
      </c>
      <c r="Z13">
        <f t="shared" si="1"/>
        <v>7</v>
      </c>
    </row>
    <row r="14" spans="1:26" ht="15.75">
      <c r="A14" s="1" t="s">
        <v>172</v>
      </c>
      <c r="B14" s="4" t="s">
        <v>250</v>
      </c>
      <c r="C14" s="4" t="s">
        <v>172</v>
      </c>
      <c r="D14" s="7" t="s">
        <v>172</v>
      </c>
      <c r="E14" t="s">
        <v>461</v>
      </c>
      <c r="J14" t="s">
        <v>683</v>
      </c>
      <c r="K14">
        <f t="shared" si="2"/>
        <v>7</v>
      </c>
      <c r="O14" s="1" t="s">
        <v>490</v>
      </c>
      <c r="P14">
        <v>78728300226</v>
      </c>
      <c r="Q14">
        <f t="shared" si="3"/>
        <v>10.896130874959896</v>
      </c>
      <c r="S14" s="1" t="s">
        <v>203</v>
      </c>
      <c r="T14">
        <v>16817683835</v>
      </c>
      <c r="U14">
        <f t="shared" si="4"/>
        <v>10.225766183676958</v>
      </c>
      <c r="X14" t="s">
        <v>11</v>
      </c>
      <c r="Y14">
        <f t="shared" si="0"/>
        <v>1</v>
      </c>
      <c r="Z14">
        <f t="shared" si="1"/>
        <v>3</v>
      </c>
    </row>
    <row r="15" spans="1:26" ht="15.75">
      <c r="A15" s="1" t="s">
        <v>355</v>
      </c>
      <c r="B15" s="4" t="s">
        <v>605</v>
      </c>
      <c r="C15" s="4" t="s">
        <v>616</v>
      </c>
      <c r="D15" s="7" t="s">
        <v>355</v>
      </c>
      <c r="E15" t="s">
        <v>1661</v>
      </c>
      <c r="J15" t="s">
        <v>532</v>
      </c>
      <c r="K15">
        <f t="shared" si="2"/>
        <v>7</v>
      </c>
      <c r="O15" s="1" t="s">
        <v>137</v>
      </c>
      <c r="P15">
        <v>77314896004</v>
      </c>
      <c r="Q15">
        <f t="shared" si="3"/>
        <v>10.888263176054094</v>
      </c>
      <c r="S15" s="1" t="s">
        <v>150</v>
      </c>
      <c r="T15">
        <v>16153205958</v>
      </c>
      <c r="U15">
        <f t="shared" si="4"/>
        <v>10.208258730486953</v>
      </c>
      <c r="X15" t="s">
        <v>901</v>
      </c>
      <c r="Y15">
        <f t="shared" si="0"/>
        <v>1</v>
      </c>
      <c r="Z15">
        <f t="shared" si="1"/>
        <v>3</v>
      </c>
    </row>
    <row r="16" spans="1:26" ht="15.75">
      <c r="A16" s="1" t="s">
        <v>24</v>
      </c>
      <c r="B16" s="4" t="s">
        <v>27</v>
      </c>
      <c r="C16" s="4" t="s">
        <v>200</v>
      </c>
      <c r="D16" s="7" t="s">
        <v>24</v>
      </c>
      <c r="E16" t="s">
        <v>504</v>
      </c>
      <c r="J16" t="s">
        <v>1014</v>
      </c>
      <c r="K16">
        <f t="shared" si="2"/>
        <v>7</v>
      </c>
      <c r="O16" s="1" t="s">
        <v>337</v>
      </c>
      <c r="P16">
        <v>71720202984</v>
      </c>
      <c r="Q16">
        <f t="shared" si="3"/>
        <v>10.855641510041098</v>
      </c>
      <c r="S16" s="1" t="s">
        <v>81</v>
      </c>
      <c r="T16">
        <v>16125312457</v>
      </c>
      <c r="U16">
        <f t="shared" si="4"/>
        <v>10.20750813862738</v>
      </c>
      <c r="X16" t="s">
        <v>1180</v>
      </c>
      <c r="Y16">
        <f t="shared" si="0"/>
        <v>2</v>
      </c>
      <c r="Z16">
        <f t="shared" si="1"/>
        <v>5</v>
      </c>
    </row>
    <row r="17" spans="1:26" ht="15.75">
      <c r="A17" s="1" t="s">
        <v>605</v>
      </c>
      <c r="B17" s="4" t="s">
        <v>210</v>
      </c>
      <c r="C17" s="4" t="s">
        <v>605</v>
      </c>
      <c r="D17" s="7" t="s">
        <v>605</v>
      </c>
      <c r="E17" t="s">
        <v>770</v>
      </c>
      <c r="J17" t="s">
        <v>1298</v>
      </c>
      <c r="K17">
        <f t="shared" si="2"/>
        <v>6</v>
      </c>
      <c r="O17" s="1" t="s">
        <v>23</v>
      </c>
      <c r="P17">
        <v>68756067210</v>
      </c>
      <c r="Q17">
        <f t="shared" si="3"/>
        <v>10.837311027441391</v>
      </c>
      <c r="S17" s="1" t="s">
        <v>410</v>
      </c>
      <c r="T17">
        <v>15952570392</v>
      </c>
      <c r="U17">
        <f t="shared" si="4"/>
        <v>10.202830669657992</v>
      </c>
      <c r="X17" t="s">
        <v>12</v>
      </c>
      <c r="Y17">
        <f t="shared" si="0"/>
        <v>1</v>
      </c>
      <c r="Z17">
        <f t="shared" si="1"/>
        <v>2</v>
      </c>
    </row>
    <row r="18" spans="1:26" ht="15.75">
      <c r="A18" s="1" t="s">
        <v>27</v>
      </c>
      <c r="B18" s="4" t="s">
        <v>1856</v>
      </c>
      <c r="C18" s="4" t="s">
        <v>355</v>
      </c>
      <c r="D18" s="7" t="s">
        <v>27</v>
      </c>
      <c r="E18" t="s">
        <v>111</v>
      </c>
      <c r="J18" t="s">
        <v>713</v>
      </c>
      <c r="K18">
        <f t="shared" si="2"/>
        <v>6</v>
      </c>
      <c r="O18" s="1" t="s">
        <v>540</v>
      </c>
      <c r="P18">
        <v>68548751664</v>
      </c>
      <c r="Q18">
        <f t="shared" si="3"/>
        <v>10.835999550294417</v>
      </c>
      <c r="S18" s="1" t="s">
        <v>144</v>
      </c>
      <c r="T18">
        <v>15305553822</v>
      </c>
      <c r="U18">
        <f t="shared" si="4"/>
        <v>10.184849048894931</v>
      </c>
      <c r="X18" t="s">
        <v>1947</v>
      </c>
      <c r="Y18">
        <f t="shared" si="0"/>
        <v>1</v>
      </c>
      <c r="Z18">
        <f t="shared" si="1"/>
        <v>3</v>
      </c>
    </row>
    <row r="19" spans="1:26" ht="15.75">
      <c r="A19" s="1" t="s">
        <v>1856</v>
      </c>
      <c r="B19" s="4" t="s">
        <v>355</v>
      </c>
      <c r="C19" s="4" t="s">
        <v>110</v>
      </c>
      <c r="D19" s="7" t="s">
        <v>1856</v>
      </c>
      <c r="E19" t="s">
        <v>848</v>
      </c>
      <c r="J19" t="s">
        <v>670</v>
      </c>
      <c r="K19">
        <f t="shared" si="2"/>
        <v>6</v>
      </c>
      <c r="O19" s="1" t="s">
        <v>322</v>
      </c>
      <c r="P19">
        <v>68018862077</v>
      </c>
      <c r="Q19">
        <f t="shared" si="3"/>
        <v>10.832629362118704</v>
      </c>
      <c r="S19" s="1" t="s">
        <v>14</v>
      </c>
      <c r="T19">
        <v>15280030691</v>
      </c>
      <c r="U19">
        <f t="shared" si="4"/>
        <v>10.184124226551095</v>
      </c>
      <c r="X19" t="s">
        <v>1900</v>
      </c>
      <c r="Y19">
        <f t="shared" si="0"/>
        <v>2</v>
      </c>
      <c r="Z19">
        <f t="shared" si="1"/>
        <v>3</v>
      </c>
    </row>
    <row r="20" spans="1:26" ht="15.75">
      <c r="A20" s="1" t="s">
        <v>210</v>
      </c>
      <c r="B20" s="4" t="s">
        <v>199</v>
      </c>
      <c r="C20" s="4" t="s">
        <v>634</v>
      </c>
      <c r="D20" s="7" t="s">
        <v>210</v>
      </c>
      <c r="E20" t="s">
        <v>197</v>
      </c>
      <c r="J20" t="s">
        <v>817</v>
      </c>
      <c r="K20">
        <f t="shared" si="2"/>
        <v>6</v>
      </c>
      <c r="O20" s="1" t="s">
        <v>13</v>
      </c>
      <c r="P20">
        <v>64032793037</v>
      </c>
      <c r="Q20">
        <f t="shared" si="3"/>
        <v>10.806402445664581</v>
      </c>
      <c r="S20" s="1" t="s">
        <v>242</v>
      </c>
      <c r="T20">
        <v>15254348969</v>
      </c>
      <c r="U20">
        <f t="shared" si="4"/>
        <v>10.183393677386213</v>
      </c>
      <c r="X20" t="s">
        <v>643</v>
      </c>
      <c r="Y20">
        <f t="shared" si="0"/>
        <v>2</v>
      </c>
      <c r="Z20">
        <f t="shared" si="1"/>
        <v>3</v>
      </c>
    </row>
    <row r="21" spans="1:26" ht="15.75">
      <c r="A21" s="1" t="s">
        <v>525</v>
      </c>
      <c r="B21" s="4" t="s">
        <v>28</v>
      </c>
      <c r="C21" s="4" t="s">
        <v>529</v>
      </c>
      <c r="D21" s="7" t="s">
        <v>525</v>
      </c>
      <c r="E21" t="s">
        <v>196</v>
      </c>
      <c r="J21" t="s">
        <v>43</v>
      </c>
      <c r="K21">
        <f t="shared" si="2"/>
        <v>6</v>
      </c>
      <c r="O21" s="1" t="s">
        <v>250</v>
      </c>
      <c r="P21">
        <v>60786494374</v>
      </c>
      <c r="Q21">
        <f t="shared" si="3"/>
        <v>10.78380709785182</v>
      </c>
      <c r="S21" s="1" t="s">
        <v>303</v>
      </c>
      <c r="T21">
        <v>15240388304</v>
      </c>
      <c r="U21">
        <f t="shared" si="4"/>
        <v>10.182996032366846</v>
      </c>
      <c r="X21" t="s">
        <v>13</v>
      </c>
      <c r="Y21">
        <f t="shared" si="0"/>
        <v>0</v>
      </c>
      <c r="Z21">
        <f t="shared" si="1"/>
        <v>2</v>
      </c>
    </row>
    <row r="22" spans="1:26" ht="15.75">
      <c r="A22" s="1" t="s">
        <v>40</v>
      </c>
      <c r="B22" s="4" t="s">
        <v>59</v>
      </c>
      <c r="C22" s="4" t="s">
        <v>525</v>
      </c>
      <c r="D22" s="7" t="s">
        <v>40</v>
      </c>
      <c r="E22" t="s">
        <v>248</v>
      </c>
      <c r="J22" t="s">
        <v>785</v>
      </c>
      <c r="K22">
        <f t="shared" si="2"/>
        <v>6</v>
      </c>
      <c r="O22" s="1" t="s">
        <v>459</v>
      </c>
      <c r="P22">
        <v>58165976437</v>
      </c>
      <c r="Q22">
        <f t="shared" si="3"/>
        <v>10.764669023027444</v>
      </c>
      <c r="S22" s="1" t="s">
        <v>616</v>
      </c>
      <c r="T22">
        <v>15014247063</v>
      </c>
      <c r="U22">
        <f t="shared" si="4"/>
        <v>10.176503558007973</v>
      </c>
      <c r="X22" t="s">
        <v>1971</v>
      </c>
      <c r="Y22">
        <f t="shared" si="0"/>
        <v>1</v>
      </c>
      <c r="Z22">
        <f t="shared" si="1"/>
        <v>3</v>
      </c>
    </row>
    <row r="23" spans="1:26" ht="15.75">
      <c r="A23" s="1" t="s">
        <v>28</v>
      </c>
      <c r="B23" s="4" t="s">
        <v>334</v>
      </c>
      <c r="C23" s="4" t="s">
        <v>28</v>
      </c>
      <c r="D23" s="7" t="s">
        <v>28</v>
      </c>
      <c r="E23" t="s">
        <v>778</v>
      </c>
      <c r="J23" t="s">
        <v>1425</v>
      </c>
      <c r="K23">
        <f t="shared" si="2"/>
        <v>6</v>
      </c>
      <c r="O23" s="1" t="s">
        <v>128</v>
      </c>
      <c r="P23">
        <v>57514469508</v>
      </c>
      <c r="Q23">
        <f t="shared" si="3"/>
        <v>10.759777118375634</v>
      </c>
      <c r="S23" s="1" t="s">
        <v>360</v>
      </c>
      <c r="T23">
        <v>14765503549</v>
      </c>
      <c r="U23">
        <f t="shared" si="4"/>
        <v>10.169248262328734</v>
      </c>
      <c r="X23" t="s">
        <v>14</v>
      </c>
      <c r="Y23">
        <f t="shared" si="0"/>
        <v>0</v>
      </c>
      <c r="Z23">
        <f t="shared" si="1"/>
        <v>3</v>
      </c>
    </row>
    <row r="24" spans="1:26" ht="15.75">
      <c r="A24" s="1" t="s">
        <v>357</v>
      </c>
      <c r="B24" s="4" t="s">
        <v>525</v>
      </c>
      <c r="C24" s="4" t="s">
        <v>57</v>
      </c>
      <c r="D24" s="7" t="s">
        <v>357</v>
      </c>
      <c r="E24" t="s">
        <v>1349</v>
      </c>
      <c r="J24" t="s">
        <v>67</v>
      </c>
      <c r="K24">
        <f t="shared" si="2"/>
        <v>6</v>
      </c>
      <c r="O24" s="1" t="s">
        <v>248</v>
      </c>
      <c r="P24">
        <v>56531345460</v>
      </c>
      <c r="Q24">
        <f t="shared" si="3"/>
        <v>10.752289321899179</v>
      </c>
      <c r="S24" s="1" t="s">
        <v>377</v>
      </c>
      <c r="T24">
        <v>14731181262</v>
      </c>
      <c r="U24">
        <f t="shared" si="4"/>
        <v>10.168237573387024</v>
      </c>
      <c r="X24" t="s">
        <v>1228</v>
      </c>
      <c r="Y24">
        <f t="shared" si="0"/>
        <v>1</v>
      </c>
      <c r="Z24">
        <f t="shared" si="1"/>
        <v>5</v>
      </c>
    </row>
    <row r="25" spans="1:26" ht="15.75">
      <c r="A25" s="1" t="s">
        <v>199</v>
      </c>
      <c r="B25" s="4" t="s">
        <v>529</v>
      </c>
      <c r="C25" s="4" t="s">
        <v>588</v>
      </c>
      <c r="D25" s="7" t="s">
        <v>199</v>
      </c>
      <c r="E25" t="s">
        <v>469</v>
      </c>
      <c r="J25" t="s">
        <v>70</v>
      </c>
      <c r="K25">
        <f t="shared" si="2"/>
        <v>6</v>
      </c>
      <c r="O25" s="1" t="s">
        <v>120</v>
      </c>
      <c r="P25">
        <v>55939058323</v>
      </c>
      <c r="Q25">
        <f t="shared" si="3"/>
        <v>10.747715151192336</v>
      </c>
      <c r="S25" s="1" t="s">
        <v>86</v>
      </c>
      <c r="T25">
        <v>14345102137</v>
      </c>
      <c r="U25">
        <f t="shared" si="4"/>
        <v>10.156703644765885</v>
      </c>
      <c r="X25" t="s">
        <v>1964</v>
      </c>
      <c r="Y25">
        <f t="shared" si="0"/>
        <v>1</v>
      </c>
      <c r="Z25">
        <f t="shared" si="1"/>
        <v>3</v>
      </c>
    </row>
    <row r="26" spans="1:26" ht="15.75">
      <c r="A26" s="1" t="s">
        <v>529</v>
      </c>
      <c r="B26" s="4" t="s">
        <v>196</v>
      </c>
      <c r="C26" s="4" t="s">
        <v>210</v>
      </c>
      <c r="D26" s="7" t="s">
        <v>529</v>
      </c>
      <c r="E26" t="s">
        <v>777</v>
      </c>
      <c r="J26" t="s">
        <v>892</v>
      </c>
      <c r="K26">
        <f t="shared" si="2"/>
        <v>6</v>
      </c>
      <c r="O26" s="1" t="s">
        <v>330</v>
      </c>
      <c r="P26">
        <v>54671896948</v>
      </c>
      <c r="Q26">
        <f t="shared" si="3"/>
        <v>10.737764142846311</v>
      </c>
      <c r="S26" s="1" t="s">
        <v>24</v>
      </c>
      <c r="T26">
        <v>14170861835</v>
      </c>
      <c r="U26">
        <f t="shared" si="4"/>
        <v>10.151396263712732</v>
      </c>
      <c r="X26" t="s">
        <v>15</v>
      </c>
      <c r="Y26">
        <f t="shared" si="0"/>
        <v>2</v>
      </c>
      <c r="Z26">
        <f t="shared" si="1"/>
        <v>4</v>
      </c>
    </row>
    <row r="27" spans="1:26" ht="15.75">
      <c r="A27" s="1" t="s">
        <v>178</v>
      </c>
      <c r="B27" s="4" t="s">
        <v>24</v>
      </c>
      <c r="C27" s="4" t="s">
        <v>178</v>
      </c>
      <c r="D27" s="7" t="s">
        <v>178</v>
      </c>
      <c r="E27" t="s">
        <v>585</v>
      </c>
      <c r="J27" t="s">
        <v>876</v>
      </c>
      <c r="K27">
        <f t="shared" si="2"/>
        <v>6</v>
      </c>
      <c r="O27" s="1" t="s">
        <v>373</v>
      </c>
      <c r="P27">
        <v>52913816186</v>
      </c>
      <c r="Q27">
        <f t="shared" si="3"/>
        <v>10.723569084320861</v>
      </c>
      <c r="S27" s="1" t="s">
        <v>515</v>
      </c>
      <c r="T27">
        <v>13970309343</v>
      </c>
      <c r="U27">
        <f t="shared" si="4"/>
        <v>10.145206022754877</v>
      </c>
      <c r="X27" t="s">
        <v>713</v>
      </c>
      <c r="Y27">
        <f t="shared" si="0"/>
        <v>1</v>
      </c>
      <c r="Z27">
        <f t="shared" si="1"/>
        <v>6</v>
      </c>
    </row>
    <row r="28" spans="1:26" ht="15.75">
      <c r="A28" s="1" t="s">
        <v>365</v>
      </c>
      <c r="B28" s="4" t="s">
        <v>57</v>
      </c>
      <c r="C28" s="4" t="s">
        <v>517</v>
      </c>
      <c r="D28" s="7" t="s">
        <v>365</v>
      </c>
      <c r="E28" t="s">
        <v>653</v>
      </c>
      <c r="J28" t="s">
        <v>882</v>
      </c>
      <c r="K28">
        <f t="shared" si="2"/>
        <v>6</v>
      </c>
      <c r="O28" s="1" t="s">
        <v>268</v>
      </c>
      <c r="P28">
        <v>52533619401</v>
      </c>
      <c r="Q28">
        <f t="shared" si="3"/>
        <v>10.720437323356542</v>
      </c>
      <c r="S28" s="1" t="s">
        <v>577</v>
      </c>
      <c r="T28">
        <v>13912756928</v>
      </c>
      <c r="U28">
        <f t="shared" si="4"/>
        <v>10.143413197567911</v>
      </c>
      <c r="X28" t="s">
        <v>17</v>
      </c>
      <c r="Y28">
        <f t="shared" si="0"/>
        <v>1</v>
      </c>
      <c r="Z28">
        <f t="shared" si="1"/>
        <v>3</v>
      </c>
    </row>
    <row r="29" spans="1:26" ht="15.75">
      <c r="A29" s="1" t="s">
        <v>196</v>
      </c>
      <c r="B29" s="4" t="s">
        <v>178</v>
      </c>
      <c r="C29" s="4" t="s">
        <v>334</v>
      </c>
      <c r="D29" s="7" t="s">
        <v>196</v>
      </c>
      <c r="E29" t="s">
        <v>591</v>
      </c>
      <c r="J29" t="s">
        <v>118</v>
      </c>
      <c r="K29">
        <f t="shared" si="2"/>
        <v>6</v>
      </c>
      <c r="O29" s="1" t="s">
        <v>78</v>
      </c>
      <c r="P29">
        <v>52490369344</v>
      </c>
      <c r="Q29">
        <f t="shared" si="3"/>
        <v>10.720079628654915</v>
      </c>
      <c r="S29" s="1" t="s">
        <v>149</v>
      </c>
      <c r="T29">
        <v>13754386504</v>
      </c>
      <c r="U29">
        <f t="shared" si="4"/>
        <v>10.138441224033631</v>
      </c>
      <c r="X29" t="s">
        <v>916</v>
      </c>
      <c r="Y29">
        <f t="shared" si="0"/>
        <v>2</v>
      </c>
      <c r="Z29">
        <f t="shared" si="1"/>
        <v>5</v>
      </c>
    </row>
    <row r="30" spans="1:26" ht="15.75">
      <c r="A30" s="1" t="s">
        <v>59</v>
      </c>
      <c r="B30" s="4" t="s">
        <v>365</v>
      </c>
      <c r="C30" s="4" t="s">
        <v>1722</v>
      </c>
      <c r="D30" s="7" t="s">
        <v>59</v>
      </c>
      <c r="E30" t="s">
        <v>1014</v>
      </c>
      <c r="J30" t="s">
        <v>744</v>
      </c>
      <c r="K30">
        <f t="shared" si="2"/>
        <v>6</v>
      </c>
      <c r="O30" s="1" t="s">
        <v>300</v>
      </c>
      <c r="P30">
        <v>50958591639</v>
      </c>
      <c r="Q30">
        <f t="shared" si="3"/>
        <v>10.707217416739718</v>
      </c>
      <c r="S30" s="1" t="s">
        <v>526</v>
      </c>
      <c r="T30">
        <v>13367612267</v>
      </c>
      <c r="U30">
        <f t="shared" si="4"/>
        <v>10.126053840180933</v>
      </c>
      <c r="X30" t="s">
        <v>18</v>
      </c>
      <c r="Y30">
        <f t="shared" si="0"/>
        <v>1</v>
      </c>
      <c r="Z30">
        <f t="shared" si="1"/>
        <v>2</v>
      </c>
    </row>
    <row r="31" spans="1:26" ht="15.75">
      <c r="A31" s="1" t="s">
        <v>620</v>
      </c>
      <c r="B31" s="4" t="s">
        <v>470</v>
      </c>
      <c r="C31" s="4" t="s">
        <v>1722</v>
      </c>
      <c r="D31" s="7" t="s">
        <v>620</v>
      </c>
      <c r="J31" t="s">
        <v>1493</v>
      </c>
      <c r="K31">
        <f t="shared" si="2"/>
        <v>6</v>
      </c>
      <c r="O31" s="1" t="s">
        <v>323</v>
      </c>
      <c r="P31">
        <v>48426255131</v>
      </c>
      <c r="Q31">
        <f t="shared" si="3"/>
        <v>10.685080885754665</v>
      </c>
      <c r="S31" s="1" t="s">
        <v>426</v>
      </c>
      <c r="T31">
        <v>13285735421</v>
      </c>
      <c r="U31">
        <f t="shared" si="4"/>
        <v>10.123385599426932</v>
      </c>
      <c r="X31" t="s">
        <v>1977</v>
      </c>
      <c r="Y31">
        <f t="shared" si="0"/>
        <v>1</v>
      </c>
      <c r="Z31">
        <f t="shared" si="1"/>
        <v>3</v>
      </c>
    </row>
    <row r="32" spans="1:26" ht="15.75">
      <c r="A32" s="1" t="s">
        <v>621</v>
      </c>
      <c r="B32" s="4" t="s">
        <v>18</v>
      </c>
      <c r="C32" s="4" t="s">
        <v>59</v>
      </c>
      <c r="D32" s="7" t="s">
        <v>57</v>
      </c>
      <c r="J32" t="s">
        <v>839</v>
      </c>
      <c r="K32">
        <f t="shared" si="2"/>
        <v>6</v>
      </c>
      <c r="O32" s="1" t="s">
        <v>440</v>
      </c>
      <c r="P32">
        <v>48154583840</v>
      </c>
      <c r="Q32">
        <f t="shared" si="3"/>
        <v>10.682637633966591</v>
      </c>
      <c r="S32" s="1" t="s">
        <v>491</v>
      </c>
      <c r="T32">
        <v>12930801230</v>
      </c>
      <c r="U32">
        <f t="shared" si="4"/>
        <v>10.111625435861592</v>
      </c>
      <c r="X32" t="s">
        <v>1901</v>
      </c>
      <c r="Y32">
        <f t="shared" si="0"/>
        <v>1</v>
      </c>
      <c r="Z32">
        <f t="shared" si="1"/>
        <v>3</v>
      </c>
    </row>
    <row r="33" spans="1:26" ht="15.75">
      <c r="A33" s="1" t="s">
        <v>57</v>
      </c>
      <c r="B33" s="4" t="s">
        <v>597</v>
      </c>
      <c r="C33" s="4" t="s">
        <v>470</v>
      </c>
      <c r="D33" s="7" t="s">
        <v>484</v>
      </c>
      <c r="J33" t="s">
        <v>998</v>
      </c>
      <c r="K33">
        <f t="shared" si="2"/>
        <v>6</v>
      </c>
      <c r="O33" s="1" t="s">
        <v>446</v>
      </c>
      <c r="P33">
        <v>46608666502</v>
      </c>
      <c r="Q33">
        <f t="shared" si="3"/>
        <v>10.668466677721096</v>
      </c>
      <c r="S33" s="1" t="s">
        <v>536</v>
      </c>
      <c r="T33">
        <v>12540895012</v>
      </c>
      <c r="U33">
        <f t="shared" si="4"/>
        <v>10.09832853210094</v>
      </c>
      <c r="X33" t="s">
        <v>19</v>
      </c>
      <c r="Y33">
        <f t="shared" si="0"/>
        <v>2</v>
      </c>
      <c r="Z33">
        <f t="shared" si="1"/>
        <v>3</v>
      </c>
    </row>
    <row r="34" spans="1:26" ht="15.75">
      <c r="A34" s="1" t="s">
        <v>593</v>
      </c>
      <c r="B34" s="4" t="s">
        <v>616</v>
      </c>
      <c r="C34" s="4" t="s">
        <v>365</v>
      </c>
      <c r="D34" s="7" t="s">
        <v>593</v>
      </c>
      <c r="J34" t="s">
        <v>651</v>
      </c>
      <c r="K34">
        <f t="shared" si="2"/>
        <v>6</v>
      </c>
      <c r="O34" s="1" t="s">
        <v>102</v>
      </c>
      <c r="P34">
        <v>46344292825</v>
      </c>
      <c r="Q34">
        <f t="shared" si="3"/>
        <v>10.665996259576101</v>
      </c>
      <c r="S34" s="1" t="s">
        <v>198</v>
      </c>
      <c r="T34">
        <v>12149329559</v>
      </c>
      <c r="U34">
        <f t="shared" si="4"/>
        <v>10.084552312760632</v>
      </c>
      <c r="X34" t="s">
        <v>670</v>
      </c>
      <c r="Y34">
        <f t="shared" si="0"/>
        <v>4</v>
      </c>
      <c r="Z34">
        <f t="shared" si="1"/>
        <v>6</v>
      </c>
    </row>
    <row r="35" spans="1:26" ht="15.75">
      <c r="A35" s="1" t="s">
        <v>484</v>
      </c>
      <c r="B35" s="4" t="s">
        <v>357</v>
      </c>
      <c r="C35" s="4" t="s">
        <v>27</v>
      </c>
      <c r="D35" s="7" t="s">
        <v>523</v>
      </c>
      <c r="J35" t="s">
        <v>793</v>
      </c>
      <c r="K35">
        <f t="shared" si="2"/>
        <v>6</v>
      </c>
      <c r="O35" s="1" t="s">
        <v>419</v>
      </c>
      <c r="P35">
        <v>46135420707</v>
      </c>
      <c r="Q35">
        <f t="shared" si="3"/>
        <v>10.664034485278757</v>
      </c>
      <c r="S35" s="1" t="s">
        <v>249</v>
      </c>
      <c r="T35">
        <v>12124300892</v>
      </c>
      <c r="U35">
        <f t="shared" si="4"/>
        <v>10.083656705830997</v>
      </c>
      <c r="X35" t="s">
        <v>1890</v>
      </c>
      <c r="Y35">
        <f t="shared" si="0"/>
        <v>2</v>
      </c>
      <c r="Z35">
        <f t="shared" si="1"/>
        <v>3</v>
      </c>
    </row>
    <row r="36" spans="1:26" ht="15.75">
      <c r="A36" s="1" t="s">
        <v>588</v>
      </c>
      <c r="B36" s="4" t="s">
        <v>588</v>
      </c>
      <c r="C36" s="4" t="s">
        <v>593</v>
      </c>
      <c r="D36" s="7" t="s">
        <v>588</v>
      </c>
      <c r="J36" t="s">
        <v>769</v>
      </c>
      <c r="K36">
        <f t="shared" si="2"/>
        <v>6</v>
      </c>
      <c r="O36" s="1" t="s">
        <v>244</v>
      </c>
      <c r="P36">
        <v>45866820943</v>
      </c>
      <c r="Q36">
        <f t="shared" si="3"/>
        <v>10.661498639962844</v>
      </c>
      <c r="S36" s="1" t="s">
        <v>127</v>
      </c>
      <c r="T36">
        <v>12119170351</v>
      </c>
      <c r="U36">
        <f t="shared" si="4"/>
        <v>10.083472890101277</v>
      </c>
      <c r="X36" t="s">
        <v>21</v>
      </c>
      <c r="Y36">
        <f t="shared" si="0"/>
        <v>1</v>
      </c>
      <c r="Z36">
        <f t="shared" si="1"/>
        <v>3</v>
      </c>
    </row>
    <row r="37" spans="1:26" ht="15.75">
      <c r="A37" s="1" t="s">
        <v>62</v>
      </c>
      <c r="B37" s="4" t="s">
        <v>14</v>
      </c>
      <c r="C37" s="4" t="s">
        <v>189</v>
      </c>
      <c r="D37" s="7" t="s">
        <v>62</v>
      </c>
      <c r="J37" t="s">
        <v>717</v>
      </c>
      <c r="K37">
        <f t="shared" si="2"/>
        <v>6</v>
      </c>
      <c r="O37" s="1" t="s">
        <v>221</v>
      </c>
      <c r="P37">
        <v>45663138305</v>
      </c>
      <c r="Q37">
        <f t="shared" si="3"/>
        <v>10.659565756074651</v>
      </c>
      <c r="S37" s="1" t="s">
        <v>368</v>
      </c>
      <c r="T37">
        <v>12058955817</v>
      </c>
      <c r="U37">
        <f t="shared" si="4"/>
        <v>10.081309703944436</v>
      </c>
      <c r="X37" t="s">
        <v>22</v>
      </c>
      <c r="Y37">
        <f t="shared" si="0"/>
        <v>0</v>
      </c>
      <c r="Z37">
        <f t="shared" si="1"/>
        <v>2</v>
      </c>
    </row>
    <row r="38" spans="1:26" ht="15.75">
      <c r="A38" s="1" t="s">
        <v>378</v>
      </c>
      <c r="B38" s="4" t="s">
        <v>591</v>
      </c>
      <c r="C38" s="4" t="s">
        <v>519</v>
      </c>
      <c r="D38" s="7" t="s">
        <v>378</v>
      </c>
      <c r="J38" t="s">
        <v>279</v>
      </c>
      <c r="K38">
        <f t="shared" si="2"/>
        <v>6</v>
      </c>
      <c r="O38" s="1" t="s">
        <v>270</v>
      </c>
      <c r="P38">
        <v>45239121467</v>
      </c>
      <c r="Q38">
        <f t="shared" si="3"/>
        <v>10.655514162439562</v>
      </c>
      <c r="S38" s="1" t="s">
        <v>122</v>
      </c>
      <c r="T38">
        <v>12053692257</v>
      </c>
      <c r="U38">
        <f t="shared" si="4"/>
        <v>10.081120099294424</v>
      </c>
      <c r="X38" t="s">
        <v>817</v>
      </c>
      <c r="Y38">
        <f t="shared" si="0"/>
        <v>2</v>
      </c>
      <c r="Z38">
        <f t="shared" si="1"/>
        <v>6</v>
      </c>
    </row>
    <row r="39" spans="1:26" ht="15.75">
      <c r="A39" s="1" t="s">
        <v>372</v>
      </c>
      <c r="B39" s="4" t="s">
        <v>203</v>
      </c>
      <c r="C39" s="4" t="s">
        <v>62</v>
      </c>
      <c r="D39" s="7" t="s">
        <v>372</v>
      </c>
      <c r="J39" t="s">
        <v>341</v>
      </c>
      <c r="K39">
        <f t="shared" si="2"/>
        <v>6</v>
      </c>
      <c r="O39" s="1" t="s">
        <v>346</v>
      </c>
      <c r="P39">
        <v>44948393239</v>
      </c>
      <c r="Q39">
        <f t="shared" si="3"/>
        <v>10.652714171710892</v>
      </c>
      <c r="S39" s="1" t="s">
        <v>239</v>
      </c>
      <c r="T39">
        <v>11957930765</v>
      </c>
      <c r="U39">
        <f t="shared" si="4"/>
        <v>10.077656034577901</v>
      </c>
      <c r="X39" t="s">
        <v>23</v>
      </c>
      <c r="Y39">
        <f t="shared" si="0"/>
        <v>1</v>
      </c>
      <c r="Z39">
        <f t="shared" si="1"/>
        <v>2</v>
      </c>
    </row>
    <row r="40" spans="1:26" ht="15.75">
      <c r="A40" s="1" t="s">
        <v>591</v>
      </c>
      <c r="B40" s="4" t="s">
        <v>612</v>
      </c>
      <c r="C40" s="4" t="s">
        <v>600</v>
      </c>
      <c r="D40" s="7" t="s">
        <v>591</v>
      </c>
      <c r="J40" t="s">
        <v>388</v>
      </c>
      <c r="K40">
        <f t="shared" si="2"/>
        <v>6</v>
      </c>
      <c r="O40" s="1" t="s">
        <v>27</v>
      </c>
      <c r="P40">
        <v>43550945165</v>
      </c>
      <c r="Q40">
        <f t="shared" si="3"/>
        <v>10.638997584728061</v>
      </c>
      <c r="S40" s="1" t="s">
        <v>11</v>
      </c>
      <c r="T40">
        <v>11949496341</v>
      </c>
      <c r="U40">
        <f t="shared" si="4"/>
        <v>10.077349600603474</v>
      </c>
      <c r="X40" t="s">
        <v>1978</v>
      </c>
      <c r="Y40">
        <f t="shared" si="0"/>
        <v>1</v>
      </c>
      <c r="Z40">
        <f t="shared" si="1"/>
        <v>3</v>
      </c>
    </row>
    <row r="41" spans="1:26" ht="15.75">
      <c r="A41" s="1" t="s">
        <v>14</v>
      </c>
      <c r="B41" s="4" t="s">
        <v>523</v>
      </c>
      <c r="C41" s="4" t="s">
        <v>186</v>
      </c>
      <c r="D41" s="7" t="s">
        <v>14</v>
      </c>
      <c r="J41" t="s">
        <v>815</v>
      </c>
      <c r="K41">
        <f t="shared" si="2"/>
        <v>6</v>
      </c>
      <c r="O41" s="1" t="s">
        <v>151</v>
      </c>
      <c r="P41">
        <v>42812689527</v>
      </c>
      <c r="Q41">
        <f t="shared" si="3"/>
        <v>10.631572511413975</v>
      </c>
      <c r="S41" s="1" t="s">
        <v>210</v>
      </c>
      <c r="T41">
        <v>11668102248</v>
      </c>
      <c r="U41">
        <f t="shared" si="4"/>
        <v>10.067000226204547</v>
      </c>
      <c r="X41" t="s">
        <v>1939</v>
      </c>
      <c r="Y41">
        <f t="shared" si="0"/>
        <v>2</v>
      </c>
      <c r="Z41">
        <f t="shared" si="1"/>
        <v>3</v>
      </c>
    </row>
    <row r="42" spans="1:26" ht="15.75">
      <c r="A42" s="1" t="s">
        <v>523</v>
      </c>
      <c r="B42" s="4" t="s">
        <v>519</v>
      </c>
      <c r="C42" s="4" t="s">
        <v>228</v>
      </c>
      <c r="D42" s="7" t="s">
        <v>617</v>
      </c>
      <c r="J42" t="s">
        <v>1349</v>
      </c>
      <c r="K42">
        <f t="shared" si="2"/>
        <v>6</v>
      </c>
      <c r="O42" s="1" t="s">
        <v>576</v>
      </c>
      <c r="P42">
        <v>42386634729</v>
      </c>
      <c r="Q42">
        <f t="shared" si="3"/>
        <v>10.627228937289093</v>
      </c>
      <c r="S42" s="1" t="s">
        <v>510</v>
      </c>
      <c r="T42">
        <v>11406578213</v>
      </c>
      <c r="U42">
        <f t="shared" si="4"/>
        <v>10.057155382710292</v>
      </c>
      <c r="X42" t="s">
        <v>24</v>
      </c>
      <c r="Y42">
        <f t="shared" si="0"/>
        <v>2</v>
      </c>
      <c r="Z42">
        <f t="shared" si="1"/>
        <v>3</v>
      </c>
    </row>
    <row r="43" spans="1:26" ht="15.75">
      <c r="A43" s="1" t="s">
        <v>594</v>
      </c>
      <c r="B43" s="4" t="s">
        <v>603</v>
      </c>
      <c r="C43" s="4" t="s">
        <v>612</v>
      </c>
      <c r="D43" s="7" t="s">
        <v>594</v>
      </c>
      <c r="J43" t="s">
        <v>890</v>
      </c>
      <c r="K43">
        <f t="shared" si="2"/>
        <v>6</v>
      </c>
      <c r="O43" s="1" t="s">
        <v>506</v>
      </c>
      <c r="P43">
        <v>42344542093</v>
      </c>
      <c r="Q43">
        <f t="shared" si="3"/>
        <v>10.626797440838009</v>
      </c>
      <c r="S43" s="1" t="s">
        <v>361</v>
      </c>
      <c r="T43">
        <v>11390852799</v>
      </c>
      <c r="U43">
        <f t="shared" si="4"/>
        <v>10.056556239622159</v>
      </c>
      <c r="X43" t="s">
        <v>26</v>
      </c>
      <c r="Y43">
        <f t="shared" si="0"/>
        <v>2</v>
      </c>
      <c r="Z43">
        <f t="shared" si="1"/>
        <v>3</v>
      </c>
    </row>
    <row r="44" spans="1:26" ht="15.75">
      <c r="A44" s="1" t="s">
        <v>565</v>
      </c>
      <c r="B44" s="4" t="s">
        <v>594</v>
      </c>
      <c r="C44" s="4" t="s">
        <v>203</v>
      </c>
      <c r="D44" s="7" t="s">
        <v>565</v>
      </c>
      <c r="J44" t="s">
        <v>458</v>
      </c>
      <c r="K44">
        <f t="shared" si="2"/>
        <v>6</v>
      </c>
      <c r="O44" s="1" t="s">
        <v>474</v>
      </c>
      <c r="P44">
        <v>41483080358</v>
      </c>
      <c r="Q44">
        <f t="shared" si="3"/>
        <v>10.617870997784781</v>
      </c>
      <c r="S44" s="1" t="s">
        <v>321</v>
      </c>
      <c r="T44">
        <v>11196008401</v>
      </c>
      <c r="U44">
        <f t="shared" si="4"/>
        <v>10.049063215670024</v>
      </c>
      <c r="X44" t="s">
        <v>27</v>
      </c>
      <c r="Y44">
        <f t="shared" si="0"/>
        <v>1</v>
      </c>
      <c r="Z44">
        <f t="shared" si="1"/>
        <v>2</v>
      </c>
    </row>
    <row r="45" spans="1:26" ht="15.75">
      <c r="A45" s="1" t="s">
        <v>570</v>
      </c>
      <c r="B45" s="4" t="s">
        <v>600</v>
      </c>
      <c r="C45" s="4" t="s">
        <v>14</v>
      </c>
      <c r="D45" s="7" t="s">
        <v>570</v>
      </c>
      <c r="J45" t="s">
        <v>722</v>
      </c>
      <c r="K45">
        <f t="shared" si="2"/>
        <v>6</v>
      </c>
      <c r="O45" s="1" t="s">
        <v>195</v>
      </c>
      <c r="P45">
        <v>41206270659</v>
      </c>
      <c r="Q45">
        <f t="shared" si="3"/>
        <v>10.61496331082386</v>
      </c>
      <c r="S45" s="1" t="s">
        <v>497</v>
      </c>
      <c r="T45">
        <v>11072718004</v>
      </c>
      <c r="U45">
        <f t="shared" si="4"/>
        <v>10.04425423960048</v>
      </c>
      <c r="X45" t="s">
        <v>1937</v>
      </c>
      <c r="Y45">
        <f t="shared" si="0"/>
        <v>2</v>
      </c>
      <c r="Z45">
        <f t="shared" si="1"/>
        <v>3</v>
      </c>
    </row>
    <row r="46" spans="1:26" ht="15.75">
      <c r="A46" s="1" t="s">
        <v>617</v>
      </c>
      <c r="B46" s="4" t="s">
        <v>208</v>
      </c>
      <c r="C46" s="4" t="s">
        <v>316</v>
      </c>
      <c r="D46" s="7" t="s">
        <v>621</v>
      </c>
      <c r="J46" t="s">
        <v>472</v>
      </c>
      <c r="K46">
        <f t="shared" si="2"/>
        <v>6</v>
      </c>
      <c r="O46" s="1" t="s">
        <v>290</v>
      </c>
      <c r="P46">
        <v>40261070734</v>
      </c>
      <c r="Q46">
        <f t="shared" si="3"/>
        <v>10.604885320668986</v>
      </c>
      <c r="S46" s="1" t="s">
        <v>254</v>
      </c>
      <c r="T46">
        <v>11044086726</v>
      </c>
      <c r="U46">
        <f t="shared" si="4"/>
        <v>10.043129808368834</v>
      </c>
      <c r="X46" t="s">
        <v>652</v>
      </c>
      <c r="Y46">
        <f t="shared" si="0"/>
        <v>1</v>
      </c>
      <c r="Z46">
        <f t="shared" si="1"/>
        <v>3</v>
      </c>
    </row>
    <row r="47" spans="1:26" ht="15.75">
      <c r="A47" s="1" t="s">
        <v>218</v>
      </c>
      <c r="B47" s="4" t="s">
        <v>42</v>
      </c>
      <c r="C47" s="4" t="s">
        <v>294</v>
      </c>
      <c r="D47" s="7" t="s">
        <v>218</v>
      </c>
      <c r="J47" t="s">
        <v>805</v>
      </c>
      <c r="K47">
        <f t="shared" si="2"/>
        <v>6</v>
      </c>
      <c r="O47" s="1" t="s">
        <v>125</v>
      </c>
      <c r="P47">
        <v>39836916955</v>
      </c>
      <c r="Q47">
        <f t="shared" si="3"/>
        <v>10.60028572028275</v>
      </c>
      <c r="S47" s="1" t="s">
        <v>338</v>
      </c>
      <c r="T47">
        <v>10870885323</v>
      </c>
      <c r="U47">
        <f t="shared" si="4"/>
        <v>10.036264914393263</v>
      </c>
      <c r="X47" t="s">
        <v>1955</v>
      </c>
      <c r="Y47">
        <f t="shared" si="0"/>
        <v>1</v>
      </c>
      <c r="Z47">
        <f t="shared" si="1"/>
        <v>3</v>
      </c>
    </row>
    <row r="48" spans="1:26" ht="15.75">
      <c r="A48" s="1" t="s">
        <v>453</v>
      </c>
      <c r="B48" s="4" t="s">
        <v>197</v>
      </c>
      <c r="C48" s="4" t="s">
        <v>1</v>
      </c>
      <c r="D48" s="7" t="s">
        <v>453</v>
      </c>
      <c r="J48" t="s">
        <v>865</v>
      </c>
      <c r="K48">
        <f t="shared" si="2"/>
        <v>6</v>
      </c>
      <c r="O48" s="1" t="s">
        <v>353</v>
      </c>
      <c r="P48">
        <v>38270823174</v>
      </c>
      <c r="Q48">
        <f t="shared" si="3"/>
        <v>10.58286780364287</v>
      </c>
      <c r="S48" s="1" t="s">
        <v>476</v>
      </c>
      <c r="T48">
        <v>10799660436</v>
      </c>
      <c r="U48">
        <f t="shared" si="4"/>
        <v>10.033410100571226</v>
      </c>
      <c r="X48" t="s">
        <v>1895</v>
      </c>
      <c r="Y48">
        <f t="shared" si="0"/>
        <v>2</v>
      </c>
      <c r="Z48">
        <f t="shared" si="1"/>
        <v>3</v>
      </c>
    </row>
    <row r="49" spans="1:26" ht="15.75">
      <c r="A49" s="1" t="s">
        <v>18</v>
      </c>
      <c r="B49" s="4" t="s">
        <v>309</v>
      </c>
      <c r="C49" s="4" t="s">
        <v>264</v>
      </c>
      <c r="D49" s="7" t="s">
        <v>18</v>
      </c>
      <c r="J49" t="s">
        <v>504</v>
      </c>
      <c r="K49">
        <f t="shared" si="2"/>
        <v>6</v>
      </c>
      <c r="O49" s="1" t="s">
        <v>66</v>
      </c>
      <c r="P49">
        <v>37978263270</v>
      </c>
      <c r="Q49">
        <f t="shared" si="3"/>
        <v>10.579535100751153</v>
      </c>
      <c r="S49" s="1" t="s">
        <v>544</v>
      </c>
      <c r="T49">
        <v>10786422584</v>
      </c>
      <c r="U49">
        <f t="shared" si="4"/>
        <v>10.032877430814397</v>
      </c>
      <c r="X49" t="s">
        <v>28</v>
      </c>
      <c r="Y49">
        <f t="shared" si="0"/>
        <v>1</v>
      </c>
      <c r="Z49">
        <f t="shared" si="1"/>
        <v>2</v>
      </c>
    </row>
    <row r="50" spans="1:26" ht="15.75">
      <c r="A50" s="1" t="s">
        <v>121</v>
      </c>
      <c r="B50" s="4" t="s">
        <v>228</v>
      </c>
      <c r="C50" s="4" t="s">
        <v>603</v>
      </c>
      <c r="D50" s="7" t="s">
        <v>121</v>
      </c>
      <c r="J50" t="s">
        <v>752</v>
      </c>
      <c r="K50">
        <f t="shared" si="2"/>
        <v>6</v>
      </c>
      <c r="O50" s="1" t="s">
        <v>134</v>
      </c>
      <c r="P50">
        <v>37931534499</v>
      </c>
      <c r="Q50">
        <f t="shared" si="3"/>
        <v>10.57900041219839</v>
      </c>
      <c r="S50" s="1" t="s">
        <v>367</v>
      </c>
      <c r="T50">
        <v>10667700294</v>
      </c>
      <c r="U50">
        <f t="shared" si="4"/>
        <v>10.028070805809515</v>
      </c>
      <c r="X50" t="s">
        <v>29</v>
      </c>
      <c r="Y50">
        <f t="shared" si="0"/>
        <v>2</v>
      </c>
      <c r="Z50">
        <f t="shared" si="1"/>
        <v>3</v>
      </c>
    </row>
    <row r="51" spans="1:26" ht="15.75">
      <c r="A51" s="1" t="s">
        <v>470</v>
      </c>
      <c r="B51" s="4" t="s">
        <v>332</v>
      </c>
      <c r="C51" s="4" t="s">
        <v>27</v>
      </c>
      <c r="D51" s="7" t="s">
        <v>470</v>
      </c>
      <c r="J51" t="s">
        <v>808</v>
      </c>
      <c r="K51">
        <f t="shared" si="2"/>
        <v>6</v>
      </c>
      <c r="O51" s="1" t="s">
        <v>280</v>
      </c>
      <c r="P51">
        <v>36610231690</v>
      </c>
      <c r="Q51">
        <f t="shared" si="3"/>
        <v>10.563602477348347</v>
      </c>
      <c r="S51" s="1" t="s">
        <v>273</v>
      </c>
      <c r="T51">
        <v>10581656074</v>
      </c>
      <c r="U51">
        <f t="shared" si="4"/>
        <v>10.024553641944545</v>
      </c>
      <c r="X51" t="s">
        <v>30</v>
      </c>
      <c r="Y51">
        <f t="shared" si="0"/>
        <v>2</v>
      </c>
      <c r="Z51">
        <f t="shared" si="1"/>
        <v>3</v>
      </c>
    </row>
    <row r="52" spans="1:26" ht="15.75">
      <c r="A52" s="1" t="s">
        <v>597</v>
      </c>
      <c r="B52" s="4" t="s">
        <v>378</v>
      </c>
      <c r="C52" s="4" t="s">
        <v>565</v>
      </c>
      <c r="D52" s="7" t="s">
        <v>597</v>
      </c>
      <c r="J52" t="s">
        <v>1</v>
      </c>
      <c r="K52">
        <f t="shared" si="2"/>
        <v>5</v>
      </c>
      <c r="O52" s="1" t="s">
        <v>60</v>
      </c>
      <c r="P52">
        <v>35964886206</v>
      </c>
      <c r="Q52">
        <f t="shared" si="3"/>
        <v>10.555878690517954</v>
      </c>
      <c r="S52" s="1" t="s">
        <v>259</v>
      </c>
      <c r="T52">
        <v>10484022493</v>
      </c>
      <c r="U52">
        <f t="shared" si="4"/>
        <v>10.020527944034892</v>
      </c>
      <c r="X52" t="s">
        <v>1991</v>
      </c>
      <c r="Y52">
        <f t="shared" si="0"/>
        <v>1</v>
      </c>
      <c r="Z52">
        <f t="shared" si="1"/>
        <v>3</v>
      </c>
    </row>
    <row r="53" spans="1:26" ht="15.75">
      <c r="A53" s="1" t="s">
        <v>110</v>
      </c>
      <c r="B53" s="4" t="s">
        <v>110</v>
      </c>
      <c r="C53" s="4" t="s">
        <v>357</v>
      </c>
      <c r="D53" s="7" t="s">
        <v>110</v>
      </c>
      <c r="J53" t="s">
        <v>750</v>
      </c>
      <c r="K53">
        <f t="shared" si="2"/>
        <v>5</v>
      </c>
      <c r="O53" s="1" t="s">
        <v>566</v>
      </c>
      <c r="P53">
        <v>35957660877</v>
      </c>
      <c r="Q53">
        <f t="shared" si="3"/>
        <v>10.555791432192089</v>
      </c>
      <c r="S53" s="1" t="s">
        <v>251</v>
      </c>
      <c r="T53">
        <v>10265976124</v>
      </c>
      <c r="U53">
        <f t="shared" si="4"/>
        <v>10.011400249869503</v>
      </c>
      <c r="X53" t="s">
        <v>35</v>
      </c>
      <c r="Y53">
        <f t="shared" si="0"/>
        <v>1</v>
      </c>
      <c r="Z53">
        <f t="shared" si="1"/>
        <v>3</v>
      </c>
    </row>
    <row r="54" spans="1:26" ht="15.75">
      <c r="A54" s="1" t="s">
        <v>519</v>
      </c>
      <c r="B54" s="4" t="s">
        <v>482</v>
      </c>
      <c r="C54" s="4" t="s">
        <v>534</v>
      </c>
      <c r="D54" s="7" t="s">
        <v>519</v>
      </c>
      <c r="J54" t="s">
        <v>9</v>
      </c>
      <c r="K54">
        <f t="shared" si="2"/>
        <v>5</v>
      </c>
      <c r="O54" s="1" t="s">
        <v>265</v>
      </c>
      <c r="P54">
        <v>35279652135</v>
      </c>
      <c r="Q54">
        <f t="shared" si="3"/>
        <v>10.547524294243377</v>
      </c>
      <c r="S54" s="1" t="s">
        <v>604</v>
      </c>
      <c r="T54">
        <v>10193568110</v>
      </c>
      <c r="U54">
        <f t="shared" si="4"/>
        <v>10.008326229074424</v>
      </c>
      <c r="X54" t="s">
        <v>38</v>
      </c>
      <c r="Y54">
        <f t="shared" si="0"/>
        <v>0</v>
      </c>
      <c r="Z54">
        <f t="shared" si="1"/>
        <v>4</v>
      </c>
    </row>
    <row r="55" spans="1:26" ht="15.75">
      <c r="A55" s="1" t="s">
        <v>534</v>
      </c>
      <c r="B55" s="4" t="s">
        <v>62</v>
      </c>
      <c r="C55" s="4" t="s">
        <v>523</v>
      </c>
      <c r="D55" s="7" t="s">
        <v>534</v>
      </c>
      <c r="J55" t="s">
        <v>658</v>
      </c>
      <c r="K55">
        <f t="shared" si="2"/>
        <v>5</v>
      </c>
      <c r="O55" s="1" t="s">
        <v>69</v>
      </c>
      <c r="P55">
        <v>34170408619</v>
      </c>
      <c r="Q55">
        <f t="shared" si="3"/>
        <v>10.533650172240842</v>
      </c>
      <c r="S55" s="1" t="s">
        <v>334</v>
      </c>
      <c r="T55">
        <v>10064096791</v>
      </c>
      <c r="U55">
        <f t="shared" si="4"/>
        <v>10.002774804929002</v>
      </c>
      <c r="X55" t="s">
        <v>40</v>
      </c>
      <c r="Y55">
        <f t="shared" si="0"/>
        <v>1</v>
      </c>
      <c r="Z55">
        <f t="shared" si="1"/>
        <v>2</v>
      </c>
    </row>
    <row r="56" spans="1:26" ht="15.75">
      <c r="A56" s="1" t="s">
        <v>228</v>
      </c>
      <c r="B56" s="4" t="s">
        <v>593</v>
      </c>
      <c r="C56" s="4" t="s">
        <v>613</v>
      </c>
      <c r="D56" s="7" t="s">
        <v>228</v>
      </c>
      <c r="J56" t="s">
        <v>1180</v>
      </c>
      <c r="K56">
        <f t="shared" si="2"/>
        <v>5</v>
      </c>
      <c r="O56" s="1" t="s">
        <v>205</v>
      </c>
      <c r="P56">
        <v>34041908708</v>
      </c>
      <c r="Q56">
        <f t="shared" si="3"/>
        <v>10.532013902708449</v>
      </c>
      <c r="S56" s="1" t="s">
        <v>339</v>
      </c>
      <c r="T56">
        <v>10030465425</v>
      </c>
      <c r="U56">
        <f t="shared" si="4"/>
        <v>10.001321085245703</v>
      </c>
      <c r="X56" t="s">
        <v>954</v>
      </c>
      <c r="Y56">
        <f t="shared" si="0"/>
        <v>2</v>
      </c>
      <c r="Z56">
        <f t="shared" si="1"/>
        <v>3</v>
      </c>
    </row>
    <row r="57" spans="1:26" ht="15.75">
      <c r="A57" s="1" t="s">
        <v>603</v>
      </c>
      <c r="B57" s="4" t="s">
        <v>565</v>
      </c>
      <c r="C57" s="4" t="s">
        <v>482</v>
      </c>
      <c r="D57" s="7" t="s">
        <v>603</v>
      </c>
      <c r="J57" t="s">
        <v>1228</v>
      </c>
      <c r="K57">
        <f t="shared" si="2"/>
        <v>5</v>
      </c>
      <c r="O57" s="1" t="s">
        <v>106</v>
      </c>
      <c r="P57">
        <v>33302437545</v>
      </c>
      <c r="Q57">
        <f t="shared" si="3"/>
        <v>10.52247602250331</v>
      </c>
      <c r="S57" s="1" t="s">
        <v>547</v>
      </c>
      <c r="T57">
        <v>9796133143</v>
      </c>
      <c r="U57">
        <f t="shared" si="4"/>
        <v>9.9910546791555408</v>
      </c>
      <c r="X57" t="s">
        <v>43</v>
      </c>
      <c r="Y57">
        <f t="shared" si="0"/>
        <v>3</v>
      </c>
      <c r="Z57">
        <f t="shared" si="1"/>
        <v>6</v>
      </c>
    </row>
    <row r="58" spans="1:26" ht="15.75">
      <c r="A58" s="1" t="s">
        <v>587</v>
      </c>
      <c r="B58" s="4" t="s">
        <v>453</v>
      </c>
      <c r="C58" s="4" t="s">
        <v>528</v>
      </c>
      <c r="D58" s="7" t="s">
        <v>587</v>
      </c>
      <c r="J58" t="s">
        <v>916</v>
      </c>
      <c r="K58">
        <f t="shared" si="2"/>
        <v>5</v>
      </c>
      <c r="O58" s="1" t="s">
        <v>212</v>
      </c>
      <c r="P58">
        <v>33037260281</v>
      </c>
      <c r="Q58">
        <f t="shared" si="3"/>
        <v>10.519004024902033</v>
      </c>
      <c r="S58" s="1" t="s">
        <v>354</v>
      </c>
      <c r="T58">
        <v>9794497140</v>
      </c>
      <c r="U58">
        <f t="shared" si="4"/>
        <v>9.9909821437580906</v>
      </c>
      <c r="X58" t="s">
        <v>707</v>
      </c>
      <c r="Y58">
        <f t="shared" si="0"/>
        <v>3</v>
      </c>
      <c r="Z58">
        <f t="shared" si="1"/>
        <v>5</v>
      </c>
    </row>
    <row r="59" spans="1:26" ht="15.75">
      <c r="A59" s="1" t="s">
        <v>1</v>
      </c>
      <c r="B59" s="4" t="s">
        <v>1</v>
      </c>
      <c r="C59" s="4" t="s">
        <v>594</v>
      </c>
      <c r="D59" s="7" t="s">
        <v>1</v>
      </c>
      <c r="J59" t="s">
        <v>707</v>
      </c>
      <c r="K59">
        <f t="shared" si="2"/>
        <v>5</v>
      </c>
      <c r="O59" s="1" t="s">
        <v>170</v>
      </c>
      <c r="P59">
        <v>32748744509</v>
      </c>
      <c r="Q59">
        <f t="shared" si="3"/>
        <v>10.515194655067804</v>
      </c>
      <c r="S59" s="1" t="s">
        <v>222</v>
      </c>
      <c r="T59">
        <v>9785687575</v>
      </c>
      <c r="U59">
        <f t="shared" si="4"/>
        <v>9.9905913460428177</v>
      </c>
      <c r="X59" t="s">
        <v>1920</v>
      </c>
      <c r="Y59">
        <f t="shared" si="0"/>
        <v>2</v>
      </c>
      <c r="Z59">
        <f t="shared" si="1"/>
        <v>3</v>
      </c>
    </row>
    <row r="60" spans="1:26" ht="15.75">
      <c r="A60" s="1" t="s">
        <v>296</v>
      </c>
      <c r="B60" s="4" t="s">
        <v>372</v>
      </c>
      <c r="C60" s="4" t="s">
        <v>597</v>
      </c>
      <c r="D60" s="7" t="s">
        <v>296</v>
      </c>
      <c r="J60" t="s">
        <v>50</v>
      </c>
      <c r="K60">
        <f t="shared" si="2"/>
        <v>5</v>
      </c>
      <c r="O60" s="1" t="s">
        <v>336</v>
      </c>
      <c r="P60">
        <v>32458807204</v>
      </c>
      <c r="Q60">
        <f t="shared" si="3"/>
        <v>10.51133255633313</v>
      </c>
      <c r="S60" s="1" t="s">
        <v>389</v>
      </c>
      <c r="T60">
        <v>9744491337</v>
      </c>
      <c r="U60">
        <f t="shared" si="4"/>
        <v>9.9887591738487469</v>
      </c>
      <c r="X60" t="s">
        <v>45</v>
      </c>
      <c r="Y60">
        <f t="shared" si="0"/>
        <v>3</v>
      </c>
      <c r="Z60">
        <f t="shared" si="1"/>
        <v>4</v>
      </c>
    </row>
    <row r="61" spans="1:26" ht="15.75">
      <c r="A61" s="1" t="s">
        <v>521</v>
      </c>
      <c r="B61" s="4" t="s">
        <v>243</v>
      </c>
      <c r="C61" s="4" t="s">
        <v>520</v>
      </c>
      <c r="D61" s="7" t="s">
        <v>521</v>
      </c>
      <c r="J61" t="s">
        <v>909</v>
      </c>
      <c r="K61">
        <f t="shared" si="2"/>
        <v>5</v>
      </c>
      <c r="O61" s="1" t="s">
        <v>370</v>
      </c>
      <c r="P61">
        <v>32419391981</v>
      </c>
      <c r="Q61">
        <f t="shared" si="3"/>
        <v>10.510804865485575</v>
      </c>
      <c r="S61" s="1" t="s">
        <v>26</v>
      </c>
      <c r="T61">
        <v>9656060803</v>
      </c>
      <c r="U61">
        <f t="shared" si="4"/>
        <v>9.9847999917956152</v>
      </c>
      <c r="X61" t="s">
        <v>785</v>
      </c>
      <c r="Y61">
        <f t="shared" si="0"/>
        <v>3</v>
      </c>
      <c r="Z61">
        <f t="shared" si="1"/>
        <v>6</v>
      </c>
    </row>
    <row r="62" spans="1:26" ht="15.75">
      <c r="A62" s="1" t="s">
        <v>520</v>
      </c>
      <c r="B62" s="4" t="s">
        <v>516</v>
      </c>
      <c r="C62" s="4" t="s">
        <v>484</v>
      </c>
      <c r="D62" s="7" t="s">
        <v>520</v>
      </c>
      <c r="J62" t="s">
        <v>663</v>
      </c>
      <c r="K62">
        <f t="shared" si="2"/>
        <v>5</v>
      </c>
      <c r="O62" s="1" t="s">
        <v>2</v>
      </c>
      <c r="P62">
        <v>31993660134</v>
      </c>
      <c r="Q62">
        <f t="shared" si="3"/>
        <v>10.505063927019728</v>
      </c>
      <c r="S62" s="1" t="s">
        <v>494</v>
      </c>
      <c r="T62">
        <v>9569241613</v>
      </c>
      <c r="U62">
        <f t="shared" si="4"/>
        <v>9.9808775201864215</v>
      </c>
      <c r="X62" t="s">
        <v>46</v>
      </c>
      <c r="Y62">
        <f t="shared" si="0"/>
        <v>3</v>
      </c>
      <c r="Z62">
        <f t="shared" si="1"/>
        <v>7</v>
      </c>
    </row>
    <row r="63" spans="1:26" ht="15.75">
      <c r="A63" s="1" t="s">
        <v>622</v>
      </c>
      <c r="B63" s="4" t="s">
        <v>256</v>
      </c>
      <c r="C63" s="4" t="s">
        <v>300</v>
      </c>
      <c r="D63" s="7" t="s">
        <v>612</v>
      </c>
      <c r="J63" t="s">
        <v>723</v>
      </c>
      <c r="K63">
        <f t="shared" si="2"/>
        <v>5</v>
      </c>
      <c r="O63" s="1" t="s">
        <v>317</v>
      </c>
      <c r="P63">
        <v>31835157885</v>
      </c>
      <c r="Q63">
        <f t="shared" si="3"/>
        <v>10.502907008068691</v>
      </c>
      <c r="S63" s="1" t="s">
        <v>94</v>
      </c>
      <c r="T63">
        <v>9429172779</v>
      </c>
      <c r="U63">
        <f t="shared" si="4"/>
        <v>9.9744735937687192</v>
      </c>
      <c r="X63" t="s">
        <v>48</v>
      </c>
      <c r="Y63">
        <f t="shared" si="0"/>
        <v>1</v>
      </c>
      <c r="Z63">
        <f t="shared" si="1"/>
        <v>3</v>
      </c>
    </row>
    <row r="64" spans="1:26" ht="15.75">
      <c r="A64" s="1" t="s">
        <v>612</v>
      </c>
      <c r="B64" s="4" t="s">
        <v>534</v>
      </c>
      <c r="C64" s="4" t="s">
        <v>388</v>
      </c>
      <c r="D64" s="7" t="s">
        <v>622</v>
      </c>
      <c r="J64" t="s">
        <v>637</v>
      </c>
      <c r="K64">
        <f t="shared" si="2"/>
        <v>5</v>
      </c>
      <c r="O64" s="1" t="s">
        <v>448</v>
      </c>
      <c r="P64">
        <v>31498209240</v>
      </c>
      <c r="Q64">
        <f t="shared" si="3"/>
        <v>10.498285863653294</v>
      </c>
      <c r="S64" s="1" t="s">
        <v>349</v>
      </c>
      <c r="T64">
        <v>9311134315</v>
      </c>
      <c r="U64">
        <f t="shared" si="4"/>
        <v>9.9690025914794376</v>
      </c>
      <c r="X64" t="s">
        <v>49</v>
      </c>
      <c r="Y64">
        <f t="shared" si="0"/>
        <v>0</v>
      </c>
      <c r="Z64">
        <f t="shared" si="1"/>
        <v>2</v>
      </c>
    </row>
    <row r="65" spans="1:26" ht="15.75">
      <c r="A65" s="1" t="s">
        <v>272</v>
      </c>
      <c r="B65" s="4" t="s">
        <v>359</v>
      </c>
      <c r="C65" s="4" t="s">
        <v>507</v>
      </c>
      <c r="D65" s="7" t="s">
        <v>272</v>
      </c>
      <c r="J65" t="s">
        <v>76</v>
      </c>
      <c r="K65">
        <f t="shared" si="2"/>
        <v>5</v>
      </c>
      <c r="O65" s="1" t="s">
        <v>482</v>
      </c>
      <c r="P65">
        <v>31467005438</v>
      </c>
      <c r="Q65">
        <f t="shared" si="3"/>
        <v>10.497855415184192</v>
      </c>
      <c r="S65" s="1" t="s">
        <v>371</v>
      </c>
      <c r="T65">
        <v>9268238918</v>
      </c>
      <c r="U65">
        <f t="shared" si="4"/>
        <v>9.9669972205680502</v>
      </c>
      <c r="X65" t="s">
        <v>50</v>
      </c>
      <c r="Y65">
        <f t="shared" ref="Y65:Y128" si="5">IF(ISNUMBER(FIND("e",X65)),1,0)+IF(ISNUMBER(FIND("n",X65)),1,0)+IF(ISNUMBER(FIND("t",X65)),1,0)+IF(ISNUMBER(FIND("o",X65)),1,0)+IF(ISNUMBER(FIND("r",X65)),1,0)+IF(ISNUMBER(FIND("s",X65)),1,0)+IF(ISNUMBER(FIND("d",X65)),1,0)+IF(ISNUMBER(FIND("i",X65)),1,0)</f>
        <v>0</v>
      </c>
      <c r="Z65">
        <f t="shared" ref="Z65:Z128" si="6">LEN(X65)</f>
        <v>5</v>
      </c>
    </row>
    <row r="66" spans="1:26" ht="15.75">
      <c r="A66" s="1" t="s">
        <v>482</v>
      </c>
      <c r="B66" s="4" t="s">
        <v>90</v>
      </c>
      <c r="C66" s="4" t="s">
        <v>378</v>
      </c>
      <c r="D66" s="7" t="s">
        <v>482</v>
      </c>
      <c r="J66" t="s">
        <v>868</v>
      </c>
      <c r="K66">
        <f t="shared" ref="K66:K129" si="7">LEN(J66)</f>
        <v>5</v>
      </c>
      <c r="O66" s="1" t="s">
        <v>406</v>
      </c>
      <c r="P66">
        <v>31268978905</v>
      </c>
      <c r="Q66">
        <f t="shared" si="3"/>
        <v>10.495113699497987</v>
      </c>
      <c r="S66" s="1" t="s">
        <v>223</v>
      </c>
      <c r="T66">
        <v>9216488654</v>
      </c>
      <c r="U66">
        <f t="shared" si="4"/>
        <v>9.9645654927837555</v>
      </c>
      <c r="X66" t="s">
        <v>1894</v>
      </c>
      <c r="Y66">
        <f t="shared" si="5"/>
        <v>1</v>
      </c>
      <c r="Z66">
        <f t="shared" si="6"/>
        <v>3</v>
      </c>
    </row>
    <row r="67" spans="1:26" ht="15.75">
      <c r="A67" s="1" t="s">
        <v>524</v>
      </c>
      <c r="B67" s="4" t="s">
        <v>326</v>
      </c>
      <c r="C67" s="4" t="s">
        <v>243</v>
      </c>
      <c r="D67" s="7" t="s">
        <v>524</v>
      </c>
      <c r="J67" t="s">
        <v>700</v>
      </c>
      <c r="K67">
        <f t="shared" si="7"/>
        <v>5</v>
      </c>
      <c r="O67" s="1" t="s">
        <v>449</v>
      </c>
      <c r="P67">
        <v>31174956946</v>
      </c>
      <c r="Q67">
        <f t="shared" ref="Q67:Q130" si="8">LOG(P67)</f>
        <v>10.493805862371028</v>
      </c>
      <c r="S67" s="1" t="s">
        <v>378</v>
      </c>
      <c r="T67">
        <v>9109347899</v>
      </c>
      <c r="U67">
        <f t="shared" ref="U67:U130" si="9">LOG(T67)</f>
        <v>9.9594872887180692</v>
      </c>
      <c r="X67" t="s">
        <v>880</v>
      </c>
      <c r="Y67">
        <f t="shared" si="5"/>
        <v>1</v>
      </c>
      <c r="Z67">
        <f t="shared" si="6"/>
        <v>4</v>
      </c>
    </row>
    <row r="68" spans="1:26" ht="15.75">
      <c r="A68" s="1" t="s">
        <v>203</v>
      </c>
      <c r="B68" s="4" t="s">
        <v>520</v>
      </c>
      <c r="C68" s="4" t="s">
        <v>261</v>
      </c>
      <c r="D68" s="7" t="s">
        <v>203</v>
      </c>
      <c r="J68" t="s">
        <v>741</v>
      </c>
      <c r="K68">
        <f t="shared" si="7"/>
        <v>5</v>
      </c>
      <c r="O68" s="1" t="s">
        <v>452</v>
      </c>
      <c r="P68">
        <v>31138171773</v>
      </c>
      <c r="Q68">
        <f t="shared" si="8"/>
        <v>10.493293110088036</v>
      </c>
      <c r="S68" s="1" t="s">
        <v>233</v>
      </c>
      <c r="T68">
        <v>8856637789</v>
      </c>
      <c r="U68">
        <f t="shared" si="9"/>
        <v>9.9472688836463856</v>
      </c>
      <c r="X68" t="s">
        <v>51</v>
      </c>
      <c r="Y68">
        <f t="shared" si="5"/>
        <v>1</v>
      </c>
      <c r="Z68">
        <f t="shared" si="6"/>
        <v>2</v>
      </c>
    </row>
    <row r="69" spans="1:26" ht="15.75">
      <c r="A69" s="1" t="s">
        <v>284</v>
      </c>
      <c r="B69" s="4" t="s">
        <v>630</v>
      </c>
      <c r="C69" s="4" t="s">
        <v>462</v>
      </c>
      <c r="D69" s="7" t="s">
        <v>284</v>
      </c>
      <c r="J69" t="s">
        <v>90</v>
      </c>
      <c r="K69">
        <f t="shared" si="7"/>
        <v>5</v>
      </c>
      <c r="O69" s="1" t="s">
        <v>489</v>
      </c>
      <c r="P69">
        <v>31081241798</v>
      </c>
      <c r="Q69">
        <f t="shared" si="8"/>
        <v>10.492498361970748</v>
      </c>
      <c r="S69" s="1" t="s">
        <v>225</v>
      </c>
      <c r="T69">
        <v>8762459520</v>
      </c>
      <c r="U69">
        <f t="shared" si="9"/>
        <v>9.9426260246658718</v>
      </c>
      <c r="X69" t="s">
        <v>757</v>
      </c>
      <c r="Y69">
        <f t="shared" si="5"/>
        <v>2</v>
      </c>
      <c r="Z69">
        <f t="shared" si="6"/>
        <v>4</v>
      </c>
    </row>
    <row r="70" spans="1:26" ht="15.75">
      <c r="A70" s="1" t="s">
        <v>294</v>
      </c>
      <c r="B70" s="4" t="s">
        <v>484</v>
      </c>
      <c r="C70" s="4" t="s">
        <v>208</v>
      </c>
      <c r="D70" s="7" t="s">
        <v>294</v>
      </c>
      <c r="J70" t="s">
        <v>675</v>
      </c>
      <c r="K70">
        <f t="shared" si="7"/>
        <v>5</v>
      </c>
      <c r="O70" s="1" t="s">
        <v>568</v>
      </c>
      <c r="P70">
        <v>30677125454</v>
      </c>
      <c r="Q70">
        <f t="shared" si="8"/>
        <v>10.486814662384067</v>
      </c>
      <c r="S70" s="1" t="s">
        <v>152</v>
      </c>
      <c r="T70">
        <v>8761791336</v>
      </c>
      <c r="U70">
        <f t="shared" si="9"/>
        <v>9.9425929061460998</v>
      </c>
      <c r="X70" t="s">
        <v>53</v>
      </c>
      <c r="Y70">
        <f t="shared" si="5"/>
        <v>1</v>
      </c>
      <c r="Z70">
        <f t="shared" si="6"/>
        <v>4</v>
      </c>
    </row>
    <row r="71" spans="1:26" ht="15.75">
      <c r="A71" s="1" t="s">
        <v>623</v>
      </c>
      <c r="B71" s="4" t="s">
        <v>524</v>
      </c>
      <c r="C71" s="4" t="s">
        <v>617</v>
      </c>
      <c r="D71" s="7" t="s">
        <v>623</v>
      </c>
      <c r="J71" t="s">
        <v>850</v>
      </c>
      <c r="K71">
        <f t="shared" si="7"/>
        <v>5</v>
      </c>
      <c r="O71" s="1" t="s">
        <v>332</v>
      </c>
      <c r="P71">
        <v>30618138499</v>
      </c>
      <c r="Q71">
        <f t="shared" si="8"/>
        <v>10.485978783220919</v>
      </c>
      <c r="S71" s="1" t="s">
        <v>227</v>
      </c>
      <c r="T71">
        <v>8755941598</v>
      </c>
      <c r="U71">
        <f t="shared" si="9"/>
        <v>9.9423028561678315</v>
      </c>
      <c r="X71" t="s">
        <v>55</v>
      </c>
      <c r="Y71">
        <f t="shared" si="5"/>
        <v>2</v>
      </c>
      <c r="Z71">
        <f t="shared" si="6"/>
        <v>4</v>
      </c>
    </row>
    <row r="72" spans="1:26" ht="15.75">
      <c r="A72" s="1" t="s">
        <v>462</v>
      </c>
      <c r="B72" s="4" t="s">
        <v>521</v>
      </c>
      <c r="C72" s="4" t="s">
        <v>625</v>
      </c>
      <c r="D72" s="7" t="s">
        <v>462</v>
      </c>
      <c r="J72" t="s">
        <v>790</v>
      </c>
      <c r="K72">
        <f t="shared" si="7"/>
        <v>5</v>
      </c>
      <c r="O72" s="1" t="s">
        <v>232</v>
      </c>
      <c r="P72">
        <v>30603240902</v>
      </c>
      <c r="Q72">
        <f t="shared" si="8"/>
        <v>10.485767420969308</v>
      </c>
      <c r="S72" s="1" t="s">
        <v>357</v>
      </c>
      <c r="T72">
        <v>8734828995</v>
      </c>
      <c r="U72">
        <f t="shared" si="9"/>
        <v>9.941254407057377</v>
      </c>
      <c r="X72" t="s">
        <v>640</v>
      </c>
      <c r="Y72">
        <f t="shared" si="5"/>
        <v>1</v>
      </c>
      <c r="Z72">
        <f t="shared" si="6"/>
        <v>3</v>
      </c>
    </row>
    <row r="73" spans="1:26" ht="15.75">
      <c r="A73" s="1" t="s">
        <v>208</v>
      </c>
      <c r="B73" s="4" t="s">
        <v>553</v>
      </c>
      <c r="C73" s="4" t="s">
        <v>90</v>
      </c>
      <c r="D73" s="7" t="s">
        <v>208</v>
      </c>
      <c r="J73" t="s">
        <v>158</v>
      </c>
      <c r="K73">
        <f t="shared" si="7"/>
        <v>5</v>
      </c>
      <c r="O73" s="1" t="s">
        <v>549</v>
      </c>
      <c r="P73">
        <v>29972404314</v>
      </c>
      <c r="Q73">
        <f t="shared" si="8"/>
        <v>10.476721582399133</v>
      </c>
      <c r="S73" s="1" t="s">
        <v>464</v>
      </c>
      <c r="T73">
        <v>8638918094</v>
      </c>
      <c r="U73">
        <f t="shared" si="9"/>
        <v>9.9364593564572914</v>
      </c>
      <c r="X73" t="s">
        <v>909</v>
      </c>
      <c r="Y73">
        <f t="shared" si="5"/>
        <v>3</v>
      </c>
      <c r="Z73">
        <f t="shared" si="6"/>
        <v>5</v>
      </c>
    </row>
    <row r="74" spans="1:26" ht="15.75">
      <c r="A74" s="1" t="s">
        <v>553</v>
      </c>
      <c r="B74" s="4" t="s">
        <v>169</v>
      </c>
      <c r="C74" s="4" t="s">
        <v>335</v>
      </c>
      <c r="D74" s="7" t="s">
        <v>553</v>
      </c>
      <c r="J74" t="s">
        <v>843</v>
      </c>
      <c r="K74">
        <f t="shared" si="7"/>
        <v>5</v>
      </c>
      <c r="O74" s="1" t="s">
        <v>135</v>
      </c>
      <c r="P74">
        <v>29776626954</v>
      </c>
      <c r="Q74">
        <f t="shared" si="8"/>
        <v>10.473875500057114</v>
      </c>
      <c r="S74" s="1" t="s">
        <v>126</v>
      </c>
      <c r="T74">
        <v>8634091171</v>
      </c>
      <c r="U74">
        <f t="shared" si="9"/>
        <v>9.9362166302425514</v>
      </c>
      <c r="X74" t="s">
        <v>56</v>
      </c>
      <c r="Y74">
        <f t="shared" si="5"/>
        <v>0</v>
      </c>
      <c r="Z74">
        <f t="shared" si="6"/>
        <v>2</v>
      </c>
    </row>
    <row r="75" spans="1:26" ht="15.75">
      <c r="A75" s="1" t="s">
        <v>197</v>
      </c>
      <c r="B75" s="4" t="s">
        <v>298</v>
      </c>
      <c r="C75" s="4" t="s">
        <v>516</v>
      </c>
      <c r="D75" s="7" t="s">
        <v>197</v>
      </c>
      <c r="J75" t="s">
        <v>169</v>
      </c>
      <c r="K75">
        <f t="shared" si="7"/>
        <v>5</v>
      </c>
      <c r="O75" s="1" t="s">
        <v>93</v>
      </c>
      <c r="P75">
        <v>28898718663</v>
      </c>
      <c r="Q75">
        <f t="shared" si="8"/>
        <v>10.460878587049795</v>
      </c>
      <c r="S75" s="1" t="s">
        <v>143</v>
      </c>
      <c r="T75">
        <v>8576303979</v>
      </c>
      <c r="U75">
        <f t="shared" si="9"/>
        <v>9.9333001657795119</v>
      </c>
      <c r="X75" t="s">
        <v>663</v>
      </c>
      <c r="Y75">
        <f t="shared" si="5"/>
        <v>2</v>
      </c>
      <c r="Z75">
        <f t="shared" si="6"/>
        <v>5</v>
      </c>
    </row>
    <row r="76" spans="1:26" ht="15.75">
      <c r="A76" s="1" t="s">
        <v>624</v>
      </c>
      <c r="B76" s="4" t="s">
        <v>21</v>
      </c>
      <c r="C76" s="4" t="s">
        <v>272</v>
      </c>
      <c r="D76" s="7" t="s">
        <v>624</v>
      </c>
      <c r="J76" t="s">
        <v>879</v>
      </c>
      <c r="K76">
        <f t="shared" si="7"/>
        <v>5</v>
      </c>
      <c r="O76" s="1" t="s">
        <v>184</v>
      </c>
      <c r="P76">
        <v>28502237355</v>
      </c>
      <c r="Q76">
        <f t="shared" si="8"/>
        <v>10.454878952387201</v>
      </c>
      <c r="S76" s="1" t="s">
        <v>499</v>
      </c>
      <c r="T76">
        <v>8562859196</v>
      </c>
      <c r="U76">
        <f t="shared" si="9"/>
        <v>9.9326188027274931</v>
      </c>
      <c r="X76" t="s">
        <v>57</v>
      </c>
      <c r="Y76">
        <f t="shared" si="5"/>
        <v>1</v>
      </c>
      <c r="Z76">
        <f t="shared" si="6"/>
        <v>3</v>
      </c>
    </row>
    <row r="77" spans="1:26" ht="15.75">
      <c r="A77" s="1" t="s">
        <v>309</v>
      </c>
      <c r="B77" s="4" t="s">
        <v>272</v>
      </c>
      <c r="C77" s="4" t="s">
        <v>372</v>
      </c>
      <c r="D77" s="7" t="s">
        <v>309</v>
      </c>
      <c r="J77" t="s">
        <v>192</v>
      </c>
      <c r="K77">
        <f t="shared" si="7"/>
        <v>5</v>
      </c>
      <c r="O77" s="1" t="s">
        <v>281</v>
      </c>
      <c r="P77">
        <v>28357992178</v>
      </c>
      <c r="Q77">
        <f t="shared" si="8"/>
        <v>10.452675478383949</v>
      </c>
      <c r="S77" s="1" t="s">
        <v>154</v>
      </c>
      <c r="T77">
        <v>8494214965</v>
      </c>
      <c r="U77">
        <f t="shared" si="9"/>
        <v>9.9291232475814297</v>
      </c>
      <c r="X77" t="s">
        <v>59</v>
      </c>
      <c r="Y77">
        <f t="shared" si="5"/>
        <v>0</v>
      </c>
      <c r="Z77">
        <f t="shared" si="6"/>
        <v>2</v>
      </c>
    </row>
    <row r="78" spans="1:26" ht="15.75">
      <c r="A78" s="1" t="s">
        <v>100</v>
      </c>
      <c r="B78" s="4" t="s">
        <v>335</v>
      </c>
      <c r="C78" s="4" t="s">
        <v>218</v>
      </c>
      <c r="D78" s="7" t="s">
        <v>100</v>
      </c>
      <c r="J78" t="s">
        <v>858</v>
      </c>
      <c r="K78">
        <f t="shared" si="7"/>
        <v>5</v>
      </c>
      <c r="O78" s="1" t="s">
        <v>130</v>
      </c>
      <c r="P78">
        <v>27451934708</v>
      </c>
      <c r="Q78">
        <f t="shared" si="8"/>
        <v>10.438572957288828</v>
      </c>
      <c r="S78" s="1" t="s">
        <v>109</v>
      </c>
      <c r="T78">
        <v>8409981481</v>
      </c>
      <c r="U78">
        <f t="shared" si="9"/>
        <v>9.924795039471114</v>
      </c>
      <c r="X78" t="s">
        <v>1911</v>
      </c>
      <c r="Y78">
        <f t="shared" si="5"/>
        <v>0</v>
      </c>
      <c r="Z78">
        <f t="shared" si="6"/>
        <v>3</v>
      </c>
    </row>
    <row r="79" spans="1:26" ht="15.75">
      <c r="A79" s="1" t="s">
        <v>90</v>
      </c>
      <c r="B79" s="4" t="s">
        <v>316</v>
      </c>
      <c r="C79" s="4" t="s">
        <v>521</v>
      </c>
      <c r="D79" s="7" t="s">
        <v>90</v>
      </c>
      <c r="J79" t="s">
        <v>193</v>
      </c>
      <c r="K79">
        <f t="shared" si="7"/>
        <v>5</v>
      </c>
      <c r="O79" s="1" t="s">
        <v>40</v>
      </c>
      <c r="P79">
        <v>27212687351</v>
      </c>
      <c r="Q79">
        <f t="shared" si="8"/>
        <v>10.434771432043654</v>
      </c>
      <c r="S79" s="1" t="s">
        <v>421</v>
      </c>
      <c r="T79">
        <v>8359118483</v>
      </c>
      <c r="U79">
        <f t="shared" si="9"/>
        <v>9.9221604810090724</v>
      </c>
      <c r="X79" t="s">
        <v>61</v>
      </c>
      <c r="Y79">
        <f t="shared" si="5"/>
        <v>0</v>
      </c>
      <c r="Z79">
        <f t="shared" si="6"/>
        <v>4</v>
      </c>
    </row>
    <row r="80" spans="1:26" ht="15.75">
      <c r="A80" s="1" t="s">
        <v>189</v>
      </c>
      <c r="B80" s="4" t="s">
        <v>502</v>
      </c>
      <c r="C80" s="4" t="s">
        <v>256</v>
      </c>
      <c r="D80" s="7" t="s">
        <v>189</v>
      </c>
      <c r="J80" t="s">
        <v>217</v>
      </c>
      <c r="K80">
        <f t="shared" si="7"/>
        <v>5</v>
      </c>
      <c r="O80" s="1" t="s">
        <v>546</v>
      </c>
      <c r="P80">
        <v>26996514264</v>
      </c>
      <c r="Q80">
        <f t="shared" si="8"/>
        <v>10.431307692542775</v>
      </c>
      <c r="S80" s="1" t="s">
        <v>356</v>
      </c>
      <c r="T80">
        <v>8349559915</v>
      </c>
      <c r="U80">
        <f t="shared" si="9"/>
        <v>9.9216635854807418</v>
      </c>
      <c r="X80" t="s">
        <v>62</v>
      </c>
      <c r="Y80">
        <f t="shared" si="5"/>
        <v>1</v>
      </c>
      <c r="Z80">
        <f t="shared" si="6"/>
        <v>3</v>
      </c>
    </row>
    <row r="81" spans="1:26" ht="15.75">
      <c r="A81" s="1" t="s">
        <v>625</v>
      </c>
      <c r="B81" s="4" t="s">
        <v>294</v>
      </c>
      <c r="C81" s="4" t="s">
        <v>377</v>
      </c>
      <c r="D81" s="7" t="s">
        <v>625</v>
      </c>
      <c r="J81" t="s">
        <v>648</v>
      </c>
      <c r="K81">
        <f t="shared" si="7"/>
        <v>5</v>
      </c>
      <c r="O81" s="1" t="s">
        <v>331</v>
      </c>
      <c r="P81">
        <v>25359266664</v>
      </c>
      <c r="Q81">
        <f t="shared" si="8"/>
        <v>10.404136690519511</v>
      </c>
      <c r="S81" s="1" t="s">
        <v>68</v>
      </c>
      <c r="T81">
        <v>8338433547</v>
      </c>
      <c r="U81">
        <f t="shared" si="9"/>
        <v>9.9210844720057718</v>
      </c>
      <c r="X81" t="s">
        <v>1425</v>
      </c>
      <c r="Y81">
        <f t="shared" si="5"/>
        <v>3</v>
      </c>
      <c r="Z81">
        <f t="shared" si="6"/>
        <v>6</v>
      </c>
    </row>
    <row r="82" spans="1:26" ht="15.75">
      <c r="A82" s="1" t="s">
        <v>107</v>
      </c>
      <c r="B82" s="4" t="s">
        <v>380</v>
      </c>
      <c r="C82" s="4" t="s">
        <v>553</v>
      </c>
      <c r="D82" s="7" t="s">
        <v>107</v>
      </c>
      <c r="J82" t="s">
        <v>673</v>
      </c>
      <c r="K82">
        <f t="shared" si="7"/>
        <v>5</v>
      </c>
      <c r="O82" s="1" t="s">
        <v>387</v>
      </c>
      <c r="P82">
        <v>25126480018</v>
      </c>
      <c r="Q82">
        <f t="shared" si="8"/>
        <v>10.400131652307943</v>
      </c>
      <c r="S82" s="1" t="s">
        <v>129</v>
      </c>
      <c r="T82">
        <v>8301169405</v>
      </c>
      <c r="U82">
        <f t="shared" si="9"/>
        <v>9.9191392767573738</v>
      </c>
      <c r="X82" t="s">
        <v>63</v>
      </c>
      <c r="Y82">
        <f t="shared" si="5"/>
        <v>1</v>
      </c>
      <c r="Z82">
        <f t="shared" si="6"/>
        <v>3</v>
      </c>
    </row>
    <row r="83" spans="1:26" ht="15.75">
      <c r="A83" s="1" t="s">
        <v>341</v>
      </c>
      <c r="B83" s="4" t="s">
        <v>377</v>
      </c>
      <c r="C83" s="4" t="s">
        <v>309</v>
      </c>
      <c r="D83" s="7" t="s">
        <v>316</v>
      </c>
      <c r="J83" t="s">
        <v>761</v>
      </c>
      <c r="K83">
        <f t="shared" si="7"/>
        <v>5</v>
      </c>
      <c r="O83" s="1" t="s">
        <v>226</v>
      </c>
      <c r="P83">
        <v>24933647247</v>
      </c>
      <c r="Q83">
        <f t="shared" si="8"/>
        <v>10.396785810930162</v>
      </c>
      <c r="S83" s="1" t="s">
        <v>255</v>
      </c>
      <c r="T83">
        <v>8274710654</v>
      </c>
      <c r="U83">
        <f t="shared" si="9"/>
        <v>9.9177528165180693</v>
      </c>
      <c r="X83" t="s">
        <v>64</v>
      </c>
      <c r="Y83">
        <f t="shared" si="5"/>
        <v>2</v>
      </c>
      <c r="Z83">
        <f t="shared" si="6"/>
        <v>4</v>
      </c>
    </row>
    <row r="84" spans="1:26" ht="15.75">
      <c r="A84" s="1" t="s">
        <v>626</v>
      </c>
      <c r="B84" s="4" t="s">
        <v>155</v>
      </c>
      <c r="C84" s="4" t="s">
        <v>524</v>
      </c>
      <c r="D84" s="7" t="s">
        <v>626</v>
      </c>
      <c r="J84" t="s">
        <v>654</v>
      </c>
      <c r="K84">
        <f t="shared" si="7"/>
        <v>5</v>
      </c>
      <c r="O84" s="1" t="s">
        <v>383</v>
      </c>
      <c r="P84">
        <v>24898597250</v>
      </c>
      <c r="Q84">
        <f t="shared" si="8"/>
        <v>10.396174880278666</v>
      </c>
      <c r="S84" s="1" t="s">
        <v>145</v>
      </c>
      <c r="T84">
        <v>8255178069</v>
      </c>
      <c r="U84">
        <f t="shared" si="9"/>
        <v>9.916726445684823</v>
      </c>
      <c r="X84" t="s">
        <v>723</v>
      </c>
      <c r="Y84">
        <f t="shared" si="5"/>
        <v>1</v>
      </c>
      <c r="Z84">
        <f t="shared" si="6"/>
        <v>5</v>
      </c>
    </row>
    <row r="85" spans="1:26" ht="15.75">
      <c r="A85" s="1" t="s">
        <v>332</v>
      </c>
      <c r="B85" s="4" t="s">
        <v>310</v>
      </c>
      <c r="C85" s="4" t="s">
        <v>584</v>
      </c>
      <c r="D85" s="7" t="s">
        <v>332</v>
      </c>
      <c r="J85" t="s">
        <v>689</v>
      </c>
      <c r="K85">
        <f t="shared" si="7"/>
        <v>5</v>
      </c>
      <c r="O85" s="1" t="s">
        <v>320</v>
      </c>
      <c r="P85">
        <v>24737829432</v>
      </c>
      <c r="Q85">
        <f t="shared" si="8"/>
        <v>10.393361590723179</v>
      </c>
      <c r="S85" s="1" t="s">
        <v>420</v>
      </c>
      <c r="T85">
        <v>8085921288</v>
      </c>
      <c r="U85">
        <f t="shared" si="9"/>
        <v>9.9077295094001236</v>
      </c>
      <c r="X85" t="s">
        <v>1029</v>
      </c>
      <c r="Y85">
        <f t="shared" si="5"/>
        <v>1</v>
      </c>
      <c r="Z85">
        <f t="shared" si="6"/>
        <v>3</v>
      </c>
    </row>
    <row r="86" spans="1:26" ht="15.75">
      <c r="A86" s="1" t="s">
        <v>310</v>
      </c>
      <c r="B86" s="4" t="s">
        <v>300</v>
      </c>
      <c r="C86" s="4" t="s">
        <v>587</v>
      </c>
      <c r="D86" s="7" t="s">
        <v>310</v>
      </c>
      <c r="J86" t="s">
        <v>308</v>
      </c>
      <c r="K86">
        <f t="shared" si="7"/>
        <v>5</v>
      </c>
      <c r="O86" s="1" t="s">
        <v>399</v>
      </c>
      <c r="P86">
        <v>23703275501</v>
      </c>
      <c r="Q86">
        <f t="shared" si="8"/>
        <v>10.3748083643104</v>
      </c>
      <c r="S86" s="1" t="s">
        <v>455</v>
      </c>
      <c r="T86">
        <v>8028613003</v>
      </c>
      <c r="U86">
        <f t="shared" si="9"/>
        <v>9.9046405244602695</v>
      </c>
      <c r="X86" t="s">
        <v>637</v>
      </c>
      <c r="Y86">
        <f t="shared" si="5"/>
        <v>2</v>
      </c>
      <c r="Z86">
        <f t="shared" si="6"/>
        <v>5</v>
      </c>
    </row>
    <row r="87" spans="1:26" ht="15.75">
      <c r="A87" s="1" t="s">
        <v>388</v>
      </c>
      <c r="B87" s="4" t="s">
        <v>492</v>
      </c>
      <c r="C87" s="4" t="s">
        <v>624</v>
      </c>
      <c r="D87" s="7" t="s">
        <v>341</v>
      </c>
      <c r="J87" t="s">
        <v>714</v>
      </c>
      <c r="K87">
        <f t="shared" si="7"/>
        <v>5</v>
      </c>
      <c r="O87" s="1" t="s">
        <v>351</v>
      </c>
      <c r="P87">
        <v>23553044761</v>
      </c>
      <c r="Q87">
        <f t="shared" si="8"/>
        <v>10.37204705742786</v>
      </c>
      <c r="S87" s="1" t="s">
        <v>257</v>
      </c>
      <c r="T87">
        <v>7977725523</v>
      </c>
      <c r="U87">
        <f t="shared" si="9"/>
        <v>9.9018790901466573</v>
      </c>
      <c r="X87" t="s">
        <v>66</v>
      </c>
      <c r="Y87">
        <f t="shared" si="5"/>
        <v>1</v>
      </c>
      <c r="Z87">
        <f t="shared" si="6"/>
        <v>2</v>
      </c>
    </row>
    <row r="88" spans="1:26" ht="15.75">
      <c r="A88" s="1" t="s">
        <v>316</v>
      </c>
      <c r="B88" s="4" t="s">
        <v>9</v>
      </c>
      <c r="C88" s="4" t="s">
        <v>169</v>
      </c>
      <c r="D88" s="7" t="s">
        <v>600</v>
      </c>
      <c r="J88" t="s">
        <v>681</v>
      </c>
      <c r="K88">
        <f t="shared" si="7"/>
        <v>5</v>
      </c>
      <c r="O88" s="1" t="s">
        <v>97</v>
      </c>
      <c r="P88">
        <v>23279747379</v>
      </c>
      <c r="Q88">
        <f t="shared" si="8"/>
        <v>10.366978263241529</v>
      </c>
      <c r="S88" s="1" t="s">
        <v>376</v>
      </c>
      <c r="T88">
        <v>7953797964</v>
      </c>
      <c r="U88">
        <f t="shared" si="9"/>
        <v>9.9005745551897739</v>
      </c>
      <c r="X88" t="s">
        <v>67</v>
      </c>
      <c r="Y88">
        <f t="shared" si="5"/>
        <v>4</v>
      </c>
      <c r="Z88">
        <f t="shared" si="6"/>
        <v>6</v>
      </c>
    </row>
    <row r="89" spans="1:26" ht="15.75">
      <c r="A89" s="1" t="s">
        <v>380</v>
      </c>
      <c r="B89" s="4" t="s">
        <v>15</v>
      </c>
      <c r="C89" s="4" t="s">
        <v>15</v>
      </c>
      <c r="D89" s="7" t="s">
        <v>380</v>
      </c>
      <c r="J89" t="s">
        <v>701</v>
      </c>
      <c r="K89">
        <f t="shared" si="7"/>
        <v>5</v>
      </c>
      <c r="O89" s="1" t="s">
        <v>6</v>
      </c>
      <c r="P89">
        <v>23202347740</v>
      </c>
      <c r="Q89">
        <f t="shared" si="8"/>
        <v>10.365531931396948</v>
      </c>
      <c r="S89" s="1" t="s">
        <v>318</v>
      </c>
      <c r="T89">
        <v>7901959084</v>
      </c>
      <c r="U89">
        <f t="shared" si="9"/>
        <v>9.8977347765933352</v>
      </c>
      <c r="X89" t="s">
        <v>829</v>
      </c>
      <c r="Y89">
        <f t="shared" si="5"/>
        <v>5</v>
      </c>
      <c r="Z89">
        <f t="shared" si="6"/>
        <v>7</v>
      </c>
    </row>
    <row r="90" spans="1:26" ht="15.75">
      <c r="A90" s="1" t="s">
        <v>264</v>
      </c>
      <c r="B90" s="4" t="s">
        <v>291</v>
      </c>
      <c r="C90" s="4" t="s">
        <v>326</v>
      </c>
      <c r="D90" s="7" t="s">
        <v>264</v>
      </c>
      <c r="J90" t="s">
        <v>703</v>
      </c>
      <c r="K90">
        <f t="shared" si="7"/>
        <v>5</v>
      </c>
      <c r="O90" s="1" t="s">
        <v>579</v>
      </c>
      <c r="P90">
        <v>23140348141</v>
      </c>
      <c r="Q90">
        <f t="shared" si="8"/>
        <v>10.364369888521429</v>
      </c>
      <c r="S90" s="1" t="s">
        <v>570</v>
      </c>
      <c r="T90">
        <v>7847978561</v>
      </c>
      <c r="U90">
        <f t="shared" si="9"/>
        <v>9.8947578079738143</v>
      </c>
      <c r="X90" t="s">
        <v>68</v>
      </c>
      <c r="Y90">
        <f t="shared" si="5"/>
        <v>2</v>
      </c>
      <c r="Z90">
        <f t="shared" si="6"/>
        <v>3</v>
      </c>
    </row>
    <row r="91" spans="1:26" ht="15.75">
      <c r="A91" s="1" t="s">
        <v>586</v>
      </c>
      <c r="B91" s="4" t="s">
        <v>296</v>
      </c>
      <c r="C91" s="4" t="s">
        <v>41</v>
      </c>
      <c r="D91" s="7" t="s">
        <v>586</v>
      </c>
      <c r="J91" t="s">
        <v>716</v>
      </c>
      <c r="K91">
        <f t="shared" si="7"/>
        <v>5</v>
      </c>
      <c r="O91" s="1" t="s">
        <v>562</v>
      </c>
      <c r="P91">
        <v>22987447404</v>
      </c>
      <c r="Q91">
        <f t="shared" si="8"/>
        <v>10.361490748567887</v>
      </c>
      <c r="S91" s="1" t="s">
        <v>567</v>
      </c>
      <c r="T91">
        <v>7815758547</v>
      </c>
      <c r="U91">
        <f t="shared" si="9"/>
        <v>9.8929711342156708</v>
      </c>
      <c r="X91" t="s">
        <v>70</v>
      </c>
      <c r="Y91">
        <f t="shared" si="5"/>
        <v>2</v>
      </c>
      <c r="Z91">
        <f t="shared" si="6"/>
        <v>6</v>
      </c>
    </row>
    <row r="92" spans="1:26" ht="15.75">
      <c r="A92" s="1" t="s">
        <v>516</v>
      </c>
      <c r="B92" s="4" t="s">
        <v>107</v>
      </c>
      <c r="C92" s="4" t="s">
        <v>100</v>
      </c>
      <c r="D92" s="7" t="s">
        <v>516</v>
      </c>
      <c r="J92" t="s">
        <v>366</v>
      </c>
      <c r="K92">
        <f t="shared" si="7"/>
        <v>5</v>
      </c>
      <c r="O92" s="1" t="s">
        <v>16</v>
      </c>
      <c r="P92">
        <v>22902383711</v>
      </c>
      <c r="Q92">
        <f t="shared" si="8"/>
        <v>10.359880686648085</v>
      </c>
      <c r="S92" s="1" t="s">
        <v>443</v>
      </c>
      <c r="T92">
        <v>7789909616</v>
      </c>
      <c r="U92">
        <f t="shared" si="9"/>
        <v>9.8915324187123375</v>
      </c>
      <c r="X92" t="s">
        <v>1980</v>
      </c>
      <c r="Y92">
        <f t="shared" si="5"/>
        <v>1</v>
      </c>
      <c r="Z92">
        <f t="shared" si="6"/>
        <v>3</v>
      </c>
    </row>
    <row r="93" spans="1:26" ht="15.75">
      <c r="A93" s="1" t="s">
        <v>61</v>
      </c>
      <c r="B93" s="4" t="s">
        <v>315</v>
      </c>
      <c r="C93" s="4" t="s">
        <v>309</v>
      </c>
      <c r="D93" s="7" t="s">
        <v>61</v>
      </c>
      <c r="J93" t="s">
        <v>372</v>
      </c>
      <c r="K93">
        <f t="shared" si="7"/>
        <v>5</v>
      </c>
      <c r="O93" s="1" t="s">
        <v>574</v>
      </c>
      <c r="P93">
        <v>22499209523</v>
      </c>
      <c r="Q93">
        <f t="shared" si="8"/>
        <v>10.352167260074484</v>
      </c>
      <c r="S93" s="1" t="s">
        <v>17</v>
      </c>
      <c r="T93">
        <v>7785396816</v>
      </c>
      <c r="U93">
        <f t="shared" si="9"/>
        <v>9.8912807531414106</v>
      </c>
      <c r="X93" t="s">
        <v>72</v>
      </c>
      <c r="Y93">
        <f t="shared" si="5"/>
        <v>1</v>
      </c>
      <c r="Z93">
        <f t="shared" si="6"/>
        <v>2</v>
      </c>
    </row>
    <row r="94" spans="1:26" ht="15.75">
      <c r="A94" s="1" t="s">
        <v>169</v>
      </c>
      <c r="B94" s="4" t="s">
        <v>43</v>
      </c>
      <c r="C94" s="4" t="s">
        <v>570</v>
      </c>
      <c r="D94" s="7" t="s">
        <v>169</v>
      </c>
      <c r="J94" t="s">
        <v>712</v>
      </c>
      <c r="K94">
        <f t="shared" si="7"/>
        <v>5</v>
      </c>
      <c r="O94" s="1" t="s">
        <v>602</v>
      </c>
      <c r="P94">
        <v>21486195066</v>
      </c>
      <c r="Q94">
        <f t="shared" si="8"/>
        <v>10.332159514228222</v>
      </c>
      <c r="S94" s="1" t="s">
        <v>5</v>
      </c>
      <c r="T94">
        <v>7780788086</v>
      </c>
      <c r="U94">
        <f t="shared" si="9"/>
        <v>9.8910235872297037</v>
      </c>
      <c r="X94" t="s">
        <v>73</v>
      </c>
      <c r="Y94">
        <f t="shared" si="5"/>
        <v>2</v>
      </c>
      <c r="Z94">
        <f t="shared" si="6"/>
        <v>4</v>
      </c>
    </row>
    <row r="95" spans="1:26" ht="15.75">
      <c r="A95" s="1" t="s">
        <v>600</v>
      </c>
      <c r="B95" s="4" t="s">
        <v>38</v>
      </c>
      <c r="C95" s="4" t="s">
        <v>332</v>
      </c>
      <c r="D95" s="7" t="s">
        <v>388</v>
      </c>
      <c r="J95" t="s">
        <v>776</v>
      </c>
      <c r="K95">
        <f t="shared" si="7"/>
        <v>5</v>
      </c>
      <c r="O95" s="1" t="s">
        <v>307</v>
      </c>
      <c r="P95">
        <v>21343638917</v>
      </c>
      <c r="Q95">
        <f t="shared" si="8"/>
        <v>10.329268465081242</v>
      </c>
      <c r="S95" s="1" t="s">
        <v>230</v>
      </c>
      <c r="T95">
        <v>7777301857</v>
      </c>
      <c r="U95">
        <f t="shared" si="9"/>
        <v>9.8908289553631654</v>
      </c>
      <c r="X95" t="s">
        <v>74</v>
      </c>
      <c r="Y95">
        <f t="shared" si="5"/>
        <v>0</v>
      </c>
      <c r="Z95">
        <f t="shared" si="6"/>
        <v>2</v>
      </c>
    </row>
    <row r="96" spans="1:26" ht="15.75">
      <c r="A96" s="1" t="s">
        <v>298</v>
      </c>
      <c r="B96" s="4" t="s">
        <v>462</v>
      </c>
      <c r="C96" s="4" t="s">
        <v>630</v>
      </c>
      <c r="D96" s="7" t="s">
        <v>298</v>
      </c>
      <c r="J96" t="s">
        <v>396</v>
      </c>
      <c r="K96">
        <f t="shared" si="7"/>
        <v>5</v>
      </c>
      <c r="O96" s="1" t="s">
        <v>468</v>
      </c>
      <c r="P96">
        <v>21322806441</v>
      </c>
      <c r="Q96">
        <f t="shared" si="8"/>
        <v>10.328844364595989</v>
      </c>
      <c r="S96" s="1" t="s">
        <v>148</v>
      </c>
      <c r="T96">
        <v>7747062209</v>
      </c>
      <c r="U96">
        <f t="shared" si="9"/>
        <v>9.8891370433704875</v>
      </c>
      <c r="X96" t="s">
        <v>75</v>
      </c>
      <c r="Y96">
        <f t="shared" si="5"/>
        <v>0</v>
      </c>
      <c r="Z96">
        <f t="shared" si="6"/>
        <v>2</v>
      </c>
    </row>
    <row r="97" spans="1:26" ht="15.75">
      <c r="A97" s="1" t="s">
        <v>112</v>
      </c>
      <c r="B97" s="4" t="s">
        <v>532</v>
      </c>
      <c r="C97" s="4" t="s">
        <v>168</v>
      </c>
      <c r="D97" s="7" t="s">
        <v>112</v>
      </c>
      <c r="J97" t="s">
        <v>674</v>
      </c>
      <c r="K97">
        <f t="shared" si="7"/>
        <v>5</v>
      </c>
      <c r="O97" s="1" t="s">
        <v>615</v>
      </c>
      <c r="P97">
        <v>20264440566</v>
      </c>
      <c r="Q97">
        <f t="shared" si="8"/>
        <v>10.306734618812831</v>
      </c>
      <c r="S97" s="1" t="s">
        <v>35</v>
      </c>
      <c r="T97">
        <v>7740219867</v>
      </c>
      <c r="U97">
        <f t="shared" si="9"/>
        <v>9.8887532973325882</v>
      </c>
      <c r="X97" t="s">
        <v>76</v>
      </c>
      <c r="Y97">
        <f t="shared" si="5"/>
        <v>1</v>
      </c>
      <c r="Z97">
        <f t="shared" si="6"/>
        <v>5</v>
      </c>
    </row>
    <row r="98" spans="1:26" ht="15.75">
      <c r="A98" s="1" t="s">
        <v>627</v>
      </c>
      <c r="B98" s="4" t="s">
        <v>587</v>
      </c>
      <c r="C98" s="4" t="s">
        <v>204</v>
      </c>
      <c r="D98" s="7" t="s">
        <v>627</v>
      </c>
      <c r="J98" t="s">
        <v>660</v>
      </c>
      <c r="K98">
        <f t="shared" si="7"/>
        <v>5</v>
      </c>
      <c r="O98" s="1" t="s">
        <v>12</v>
      </c>
      <c r="P98">
        <v>20090957077</v>
      </c>
      <c r="Q98">
        <f t="shared" si="8"/>
        <v>10.303000625815418</v>
      </c>
      <c r="S98" s="1" t="s">
        <v>495</v>
      </c>
      <c r="T98">
        <v>7735728445</v>
      </c>
      <c r="U98">
        <f t="shared" si="9"/>
        <v>9.8885012158696703</v>
      </c>
      <c r="X98" t="s">
        <v>868</v>
      </c>
      <c r="Y98">
        <f t="shared" si="5"/>
        <v>2</v>
      </c>
      <c r="Z98">
        <f t="shared" si="6"/>
        <v>5</v>
      </c>
    </row>
    <row r="99" spans="1:26" ht="15.75">
      <c r="A99" s="1" t="s">
        <v>42</v>
      </c>
      <c r="B99" s="4" t="s">
        <v>595</v>
      </c>
      <c r="C99" s="4" t="s">
        <v>623</v>
      </c>
      <c r="D99" s="7" t="s">
        <v>42</v>
      </c>
      <c r="J99" t="s">
        <v>404</v>
      </c>
      <c r="K99">
        <f t="shared" si="7"/>
        <v>5</v>
      </c>
      <c r="O99" s="1" t="s">
        <v>159</v>
      </c>
      <c r="P99">
        <v>20003014022</v>
      </c>
      <c r="Q99">
        <f t="shared" si="8"/>
        <v>10.301095439389032</v>
      </c>
      <c r="S99" s="1" t="s">
        <v>340</v>
      </c>
      <c r="T99">
        <v>7703419247</v>
      </c>
      <c r="U99">
        <f t="shared" si="9"/>
        <v>9.8866835343280268</v>
      </c>
      <c r="X99" t="s">
        <v>700</v>
      </c>
      <c r="Y99">
        <f t="shared" si="5"/>
        <v>3</v>
      </c>
      <c r="Z99">
        <f t="shared" si="6"/>
        <v>5</v>
      </c>
    </row>
    <row r="100" spans="1:26" ht="15.75">
      <c r="A100" s="1" t="s">
        <v>335</v>
      </c>
      <c r="B100" s="4" t="s">
        <v>186</v>
      </c>
      <c r="C100" s="4" t="s">
        <v>632</v>
      </c>
      <c r="D100" s="7" t="s">
        <v>335</v>
      </c>
      <c r="J100" t="s">
        <v>795</v>
      </c>
      <c r="K100">
        <f t="shared" si="7"/>
        <v>5</v>
      </c>
      <c r="O100" s="1" t="s">
        <v>381</v>
      </c>
      <c r="P100">
        <v>19972624694</v>
      </c>
      <c r="Q100">
        <f t="shared" si="8"/>
        <v>10.300435141246192</v>
      </c>
      <c r="S100" s="1" t="s">
        <v>1886</v>
      </c>
      <c r="T100">
        <v>7667255097</v>
      </c>
      <c r="U100">
        <f t="shared" si="9"/>
        <v>9.88463991289448</v>
      </c>
      <c r="X100" t="s">
        <v>78</v>
      </c>
      <c r="Y100">
        <f t="shared" si="5"/>
        <v>1</v>
      </c>
      <c r="Z100">
        <f t="shared" si="6"/>
        <v>2</v>
      </c>
    </row>
    <row r="101" spans="1:26" ht="15.75">
      <c r="A101" s="1" t="s">
        <v>168</v>
      </c>
      <c r="B101" s="4" t="s">
        <v>314</v>
      </c>
      <c r="C101" s="4" t="s">
        <v>296</v>
      </c>
      <c r="D101" s="7" t="s">
        <v>168</v>
      </c>
      <c r="J101" t="s">
        <v>749</v>
      </c>
      <c r="K101">
        <f t="shared" si="7"/>
        <v>5</v>
      </c>
      <c r="O101" s="1" t="s">
        <v>369</v>
      </c>
      <c r="P101">
        <v>19821367131</v>
      </c>
      <c r="Q101">
        <f t="shared" si="8"/>
        <v>10.297133605596938</v>
      </c>
      <c r="S101" s="1" t="s">
        <v>962</v>
      </c>
      <c r="T101">
        <v>7634282993</v>
      </c>
      <c r="U101">
        <f t="shared" si="9"/>
        <v>9.8827682546464004</v>
      </c>
      <c r="X101" t="s">
        <v>823</v>
      </c>
      <c r="Y101">
        <f t="shared" si="5"/>
        <v>2</v>
      </c>
      <c r="Z101">
        <f t="shared" si="6"/>
        <v>4</v>
      </c>
    </row>
    <row r="102" spans="1:26" ht="15.75">
      <c r="A102" s="1" t="s">
        <v>21</v>
      </c>
      <c r="B102" s="4" t="s">
        <v>189</v>
      </c>
      <c r="C102" s="4" t="s">
        <v>590</v>
      </c>
      <c r="D102" s="7" t="s">
        <v>21</v>
      </c>
      <c r="J102" t="s">
        <v>441</v>
      </c>
      <c r="K102">
        <f t="shared" si="7"/>
        <v>5</v>
      </c>
      <c r="O102" s="1" t="s">
        <v>166</v>
      </c>
      <c r="P102">
        <v>19753676090</v>
      </c>
      <c r="Q102">
        <f t="shared" si="8"/>
        <v>10.295647928167073</v>
      </c>
      <c r="S102" s="1" t="s">
        <v>1887</v>
      </c>
      <c r="T102">
        <v>7607432624</v>
      </c>
      <c r="U102">
        <f t="shared" si="9"/>
        <v>9.8812381146740318</v>
      </c>
      <c r="X102" t="s">
        <v>741</v>
      </c>
      <c r="Y102">
        <f t="shared" si="5"/>
        <v>2</v>
      </c>
      <c r="Z102">
        <f t="shared" si="6"/>
        <v>5</v>
      </c>
    </row>
    <row r="103" spans="1:26" ht="15.75">
      <c r="A103" s="1" t="s">
        <v>326</v>
      </c>
      <c r="B103" s="4" t="s">
        <v>590</v>
      </c>
      <c r="C103" s="4" t="s">
        <v>359</v>
      </c>
      <c r="D103" s="7" t="s">
        <v>326</v>
      </c>
      <c r="J103" t="s">
        <v>816</v>
      </c>
      <c r="K103">
        <f t="shared" si="7"/>
        <v>5</v>
      </c>
      <c r="O103" s="1" t="s">
        <v>141</v>
      </c>
      <c r="P103">
        <v>19436550393</v>
      </c>
      <c r="Q103">
        <f t="shared" si="8"/>
        <v>10.288619188665221</v>
      </c>
      <c r="S103" s="1" t="s">
        <v>1888</v>
      </c>
      <c r="T103">
        <v>7595352455</v>
      </c>
      <c r="U103">
        <f t="shared" si="9"/>
        <v>9.880547931682683</v>
      </c>
      <c r="X103" t="s">
        <v>81</v>
      </c>
      <c r="Y103">
        <f t="shared" si="5"/>
        <v>1</v>
      </c>
      <c r="Z103">
        <f t="shared" si="6"/>
        <v>3</v>
      </c>
    </row>
    <row r="104" spans="1:26" ht="15.75">
      <c r="A104" s="1" t="s">
        <v>610</v>
      </c>
      <c r="B104" s="4" t="s">
        <v>617</v>
      </c>
      <c r="C104" s="4" t="s">
        <v>530</v>
      </c>
      <c r="D104" s="7" t="s">
        <v>610</v>
      </c>
      <c r="J104" t="s">
        <v>469</v>
      </c>
      <c r="K104">
        <f t="shared" si="7"/>
        <v>5</v>
      </c>
      <c r="O104" s="1" t="s">
        <v>550</v>
      </c>
      <c r="P104">
        <v>19222971337</v>
      </c>
      <c r="Q104">
        <f t="shared" si="8"/>
        <v>10.283820518375457</v>
      </c>
      <c r="S104" s="1" t="s">
        <v>1889</v>
      </c>
      <c r="T104">
        <v>7567750237</v>
      </c>
      <c r="U104">
        <f t="shared" si="9"/>
        <v>9.8789667903489917</v>
      </c>
      <c r="X104" t="s">
        <v>625</v>
      </c>
      <c r="Y104">
        <f t="shared" si="5"/>
        <v>2</v>
      </c>
      <c r="Z104">
        <f t="shared" si="6"/>
        <v>4</v>
      </c>
    </row>
    <row r="105" spans="1:26" ht="15.75">
      <c r="A105" s="1" t="s">
        <v>386</v>
      </c>
      <c r="B105" s="4" t="s">
        <v>264</v>
      </c>
      <c r="C105" s="4" t="s">
        <v>642</v>
      </c>
      <c r="D105" s="7" t="s">
        <v>386</v>
      </c>
      <c r="J105" t="s">
        <v>765</v>
      </c>
      <c r="K105">
        <f t="shared" si="7"/>
        <v>5</v>
      </c>
      <c r="O105" s="1" t="s">
        <v>305</v>
      </c>
      <c r="P105">
        <v>19090900236</v>
      </c>
      <c r="Q105">
        <f t="shared" si="8"/>
        <v>10.280826408137459</v>
      </c>
      <c r="S105" s="1" t="s">
        <v>630</v>
      </c>
      <c r="T105">
        <v>7547990267</v>
      </c>
      <c r="U105">
        <f t="shared" si="9"/>
        <v>9.8778313314781983</v>
      </c>
      <c r="X105" t="s">
        <v>892</v>
      </c>
      <c r="Y105">
        <f t="shared" si="5"/>
        <v>2</v>
      </c>
      <c r="Z105">
        <f t="shared" si="6"/>
        <v>6</v>
      </c>
    </row>
    <row r="106" spans="1:26" ht="15.75">
      <c r="A106" s="1" t="s">
        <v>507</v>
      </c>
      <c r="B106" s="4" t="s">
        <v>472</v>
      </c>
      <c r="C106" s="4" t="s">
        <v>357</v>
      </c>
      <c r="D106" s="7" t="s">
        <v>507</v>
      </c>
      <c r="J106" t="s">
        <v>477</v>
      </c>
      <c r="K106">
        <f t="shared" si="7"/>
        <v>5</v>
      </c>
      <c r="O106" s="1" t="s">
        <v>363</v>
      </c>
      <c r="P106">
        <v>19077697278</v>
      </c>
      <c r="Q106">
        <f t="shared" si="8"/>
        <v>10.280525953187245</v>
      </c>
      <c r="S106" s="1" t="s">
        <v>1890</v>
      </c>
      <c r="T106">
        <v>7529985399</v>
      </c>
      <c r="U106">
        <f t="shared" si="9"/>
        <v>9.8767941340838501</v>
      </c>
      <c r="X106" t="s">
        <v>86</v>
      </c>
      <c r="Y106">
        <f t="shared" si="5"/>
        <v>2</v>
      </c>
      <c r="Z106">
        <f t="shared" si="6"/>
        <v>3</v>
      </c>
    </row>
    <row r="107" spans="1:26" ht="15.75">
      <c r="A107" s="1" t="s">
        <v>186</v>
      </c>
      <c r="B107" s="4" t="s">
        <v>112</v>
      </c>
      <c r="C107" s="4" t="s">
        <v>578</v>
      </c>
      <c r="D107" s="7" t="s">
        <v>186</v>
      </c>
      <c r="J107" t="s">
        <v>481</v>
      </c>
      <c r="K107">
        <f t="shared" si="7"/>
        <v>5</v>
      </c>
      <c r="O107" s="1" t="s">
        <v>220</v>
      </c>
      <c r="P107">
        <v>19042814662</v>
      </c>
      <c r="Q107">
        <f t="shared" si="8"/>
        <v>10.279731140573219</v>
      </c>
      <c r="S107" s="1" t="s">
        <v>1891</v>
      </c>
      <c r="T107">
        <v>7487181360</v>
      </c>
      <c r="U107">
        <f t="shared" si="9"/>
        <v>9.8743183530550187</v>
      </c>
      <c r="X107" t="s">
        <v>1950</v>
      </c>
      <c r="Y107">
        <f t="shared" si="5"/>
        <v>1</v>
      </c>
      <c r="Z107">
        <f t="shared" si="6"/>
        <v>3</v>
      </c>
    </row>
    <row r="108" spans="1:26" ht="15.75">
      <c r="A108" s="1" t="s">
        <v>396</v>
      </c>
      <c r="B108" s="4" t="s">
        <v>610</v>
      </c>
      <c r="C108" s="4" t="s">
        <v>203</v>
      </c>
      <c r="D108" s="7" t="s">
        <v>396</v>
      </c>
      <c r="J108" t="s">
        <v>626</v>
      </c>
      <c r="K108">
        <f t="shared" si="7"/>
        <v>5</v>
      </c>
      <c r="O108" s="1" t="s">
        <v>588</v>
      </c>
      <c r="P108">
        <v>18727322433</v>
      </c>
      <c r="Q108">
        <f t="shared" si="8"/>
        <v>10.272475687909175</v>
      </c>
      <c r="S108" s="1" t="s">
        <v>326</v>
      </c>
      <c r="T108">
        <v>7349340050</v>
      </c>
      <c r="U108">
        <f t="shared" si="9"/>
        <v>9.8662483424159699</v>
      </c>
      <c r="X108" t="s">
        <v>90</v>
      </c>
      <c r="Y108">
        <f t="shared" si="5"/>
        <v>2</v>
      </c>
      <c r="Z108">
        <f t="shared" si="6"/>
        <v>5</v>
      </c>
    </row>
    <row r="109" spans="1:26" ht="15.75">
      <c r="A109" s="1" t="s">
        <v>291</v>
      </c>
      <c r="B109" s="4" t="s">
        <v>613</v>
      </c>
      <c r="C109" s="4" t="s">
        <v>155</v>
      </c>
      <c r="D109" s="7" t="s">
        <v>291</v>
      </c>
      <c r="J109" t="s">
        <v>485</v>
      </c>
      <c r="K109">
        <f t="shared" si="7"/>
        <v>5</v>
      </c>
      <c r="O109" s="1" t="s">
        <v>10</v>
      </c>
      <c r="P109">
        <v>18418672749</v>
      </c>
      <c r="Q109">
        <f t="shared" si="8"/>
        <v>10.265258331693987</v>
      </c>
      <c r="S109" s="1" t="s">
        <v>1892</v>
      </c>
      <c r="T109">
        <v>7346350184</v>
      </c>
      <c r="U109">
        <f t="shared" si="9"/>
        <v>9.8660716263444321</v>
      </c>
      <c r="X109" t="s">
        <v>876</v>
      </c>
      <c r="Y109">
        <f t="shared" si="5"/>
        <v>4</v>
      </c>
      <c r="Z109">
        <f t="shared" si="6"/>
        <v>6</v>
      </c>
    </row>
    <row r="110" spans="1:26" ht="15.75">
      <c r="A110" s="1" t="s">
        <v>628</v>
      </c>
      <c r="B110" s="4" t="s">
        <v>41</v>
      </c>
      <c r="C110" s="4" t="s">
        <v>38</v>
      </c>
      <c r="D110" s="7" t="s">
        <v>628</v>
      </c>
      <c r="J110" t="s">
        <v>668</v>
      </c>
      <c r="K110">
        <f t="shared" si="7"/>
        <v>5</v>
      </c>
      <c r="O110" s="1" t="s">
        <v>500</v>
      </c>
      <c r="P110">
        <v>18318104818</v>
      </c>
      <c r="Q110">
        <f t="shared" si="8"/>
        <v>10.262880539765217</v>
      </c>
      <c r="S110" s="1" t="s">
        <v>1893</v>
      </c>
      <c r="T110">
        <v>7338235853</v>
      </c>
      <c r="U110">
        <f t="shared" si="9"/>
        <v>9.8655916659931595</v>
      </c>
      <c r="X110" t="s">
        <v>675</v>
      </c>
      <c r="Y110">
        <f t="shared" si="5"/>
        <v>3</v>
      </c>
      <c r="Z110">
        <f t="shared" si="6"/>
        <v>5</v>
      </c>
    </row>
    <row r="111" spans="1:26" ht="15.75">
      <c r="A111" s="1" t="s">
        <v>595</v>
      </c>
      <c r="B111" s="4" t="s">
        <v>625</v>
      </c>
      <c r="C111" s="4" t="s">
        <v>21</v>
      </c>
      <c r="D111" s="7" t="s">
        <v>595</v>
      </c>
      <c r="J111" t="s">
        <v>688</v>
      </c>
      <c r="K111">
        <f t="shared" si="7"/>
        <v>5</v>
      </c>
      <c r="O111" s="1" t="s">
        <v>224</v>
      </c>
      <c r="P111">
        <v>17905542743</v>
      </c>
      <c r="Q111">
        <f t="shared" si="8"/>
        <v>10.252987489643795</v>
      </c>
      <c r="S111" s="1" t="s">
        <v>1894</v>
      </c>
      <c r="T111">
        <v>7301450674</v>
      </c>
      <c r="U111">
        <f t="shared" si="9"/>
        <v>9.863409155616619</v>
      </c>
      <c r="X111" t="s">
        <v>93</v>
      </c>
      <c r="Y111">
        <f t="shared" si="5"/>
        <v>1</v>
      </c>
      <c r="Z111">
        <f t="shared" si="6"/>
        <v>2</v>
      </c>
    </row>
    <row r="112" spans="1:26" ht="15.75">
      <c r="A112" s="1" t="s">
        <v>9</v>
      </c>
      <c r="B112" s="4" t="s">
        <v>388</v>
      </c>
      <c r="C112" s="4" t="s">
        <v>190</v>
      </c>
      <c r="D112" s="7" t="s">
        <v>9</v>
      </c>
      <c r="J112" t="s">
        <v>492</v>
      </c>
      <c r="K112">
        <f t="shared" si="7"/>
        <v>5</v>
      </c>
      <c r="O112" s="1" t="s">
        <v>110</v>
      </c>
      <c r="P112">
        <v>17706639517</v>
      </c>
      <c r="Q112">
        <f t="shared" si="8"/>
        <v>10.248136145735209</v>
      </c>
      <c r="S112" s="1" t="s">
        <v>1895</v>
      </c>
      <c r="T112">
        <v>7296466185</v>
      </c>
      <c r="U112">
        <f t="shared" si="9"/>
        <v>9.8631125741012102</v>
      </c>
      <c r="X112" t="s">
        <v>94</v>
      </c>
      <c r="Y112">
        <f t="shared" si="5"/>
        <v>2</v>
      </c>
      <c r="Z112">
        <f t="shared" si="6"/>
        <v>3</v>
      </c>
    </row>
    <row r="113" spans="1:26" ht="15.75">
      <c r="A113" s="1" t="s">
        <v>38</v>
      </c>
      <c r="B113" s="4" t="s">
        <v>261</v>
      </c>
      <c r="C113" s="4" t="s">
        <v>1145</v>
      </c>
      <c r="D113" s="7" t="s">
        <v>38</v>
      </c>
      <c r="J113" t="s">
        <v>496</v>
      </c>
      <c r="K113">
        <f t="shared" si="7"/>
        <v>5</v>
      </c>
      <c r="O113" s="1" t="s">
        <v>362</v>
      </c>
      <c r="P113">
        <v>17541371381</v>
      </c>
      <c r="Q113">
        <f t="shared" si="8"/>
        <v>10.244063543415368</v>
      </c>
      <c r="S113" s="1" t="s">
        <v>1896</v>
      </c>
      <c r="T113">
        <v>7285962164</v>
      </c>
      <c r="U113">
        <f t="shared" si="9"/>
        <v>9.8624869116205982</v>
      </c>
      <c r="X113" t="s">
        <v>738</v>
      </c>
      <c r="Y113">
        <f t="shared" si="5"/>
        <v>1</v>
      </c>
      <c r="Z113">
        <f t="shared" si="6"/>
        <v>3</v>
      </c>
    </row>
    <row r="114" spans="1:26" ht="15.75">
      <c r="A114" s="1" t="s">
        <v>279</v>
      </c>
      <c r="B114" s="4" t="s">
        <v>634</v>
      </c>
      <c r="C114" s="4" t="s">
        <v>532</v>
      </c>
      <c r="D114" s="7" t="s">
        <v>279</v>
      </c>
      <c r="J114" t="s">
        <v>690</v>
      </c>
      <c r="K114">
        <f t="shared" si="7"/>
        <v>5</v>
      </c>
      <c r="O114" s="1" t="s">
        <v>247</v>
      </c>
      <c r="P114">
        <v>17041448765</v>
      </c>
      <c r="Q114">
        <f t="shared" si="8"/>
        <v>10.231506513194722</v>
      </c>
      <c r="S114" s="1" t="s">
        <v>1897</v>
      </c>
      <c r="T114">
        <v>7255257009</v>
      </c>
      <c r="U114">
        <f t="shared" si="9"/>
        <v>9.8606528014206898</v>
      </c>
      <c r="X114" t="s">
        <v>97</v>
      </c>
      <c r="Y114">
        <f t="shared" si="5"/>
        <v>1</v>
      </c>
      <c r="Z114">
        <f t="shared" si="6"/>
        <v>2</v>
      </c>
    </row>
    <row r="115" spans="1:26" ht="15.75">
      <c r="A115" s="1" t="s">
        <v>359</v>
      </c>
      <c r="B115" s="4" t="s">
        <v>121</v>
      </c>
      <c r="C115" s="4" t="s">
        <v>568</v>
      </c>
      <c r="D115" s="7" t="s">
        <v>359</v>
      </c>
      <c r="J115" t="s">
        <v>672</v>
      </c>
      <c r="K115">
        <f t="shared" si="7"/>
        <v>5</v>
      </c>
      <c r="O115" s="1" t="s">
        <v>486</v>
      </c>
      <c r="P115">
        <v>17010851034</v>
      </c>
      <c r="Q115">
        <f t="shared" si="8"/>
        <v>10.230726041427069</v>
      </c>
      <c r="S115" s="1" t="s">
        <v>1898</v>
      </c>
      <c r="T115">
        <v>7235072745</v>
      </c>
      <c r="U115">
        <f t="shared" si="9"/>
        <v>9.8594429020885404</v>
      </c>
      <c r="X115" t="s">
        <v>834</v>
      </c>
      <c r="Y115">
        <f t="shared" si="5"/>
        <v>2</v>
      </c>
      <c r="Z115">
        <f t="shared" si="6"/>
        <v>4</v>
      </c>
    </row>
    <row r="116" spans="1:26" ht="15.75">
      <c r="A116" s="1" t="s">
        <v>629</v>
      </c>
      <c r="B116" s="4" t="s">
        <v>530</v>
      </c>
      <c r="C116" s="4" t="s">
        <v>271</v>
      </c>
      <c r="D116" s="7" t="s">
        <v>629</v>
      </c>
      <c r="J116" t="s">
        <v>801</v>
      </c>
      <c r="K116">
        <f t="shared" si="7"/>
        <v>5</v>
      </c>
      <c r="O116" s="1" t="s">
        <v>395</v>
      </c>
      <c r="P116">
        <v>17001616925</v>
      </c>
      <c r="Q116">
        <f t="shared" si="8"/>
        <v>10.230490226567214</v>
      </c>
      <c r="S116" s="1" t="s">
        <v>1899</v>
      </c>
      <c r="T116">
        <v>7211373509</v>
      </c>
      <c r="U116">
        <f t="shared" si="9"/>
        <v>9.858017990179798</v>
      </c>
      <c r="X116" t="s">
        <v>1998</v>
      </c>
      <c r="Y116">
        <f t="shared" si="5"/>
        <v>2</v>
      </c>
      <c r="Z116">
        <f t="shared" si="6"/>
        <v>3</v>
      </c>
    </row>
    <row r="117" spans="1:26" ht="15.75">
      <c r="A117" s="1" t="s">
        <v>630</v>
      </c>
      <c r="B117" s="4" t="s">
        <v>507</v>
      </c>
      <c r="C117" s="4" t="s">
        <v>1064</v>
      </c>
      <c r="D117" s="7" t="s">
        <v>630</v>
      </c>
      <c r="J117" t="s">
        <v>519</v>
      </c>
      <c r="K117">
        <f t="shared" si="7"/>
        <v>5</v>
      </c>
      <c r="O117" s="1" t="s">
        <v>457</v>
      </c>
      <c r="P117">
        <v>16886526539</v>
      </c>
      <c r="Q117">
        <f t="shared" si="8"/>
        <v>10.227540326890123</v>
      </c>
      <c r="S117" s="1" t="s">
        <v>1900</v>
      </c>
      <c r="T117">
        <v>7203902170</v>
      </c>
      <c r="U117">
        <f t="shared" si="9"/>
        <v>9.8575678064076779</v>
      </c>
      <c r="X117" t="s">
        <v>100</v>
      </c>
      <c r="Y117">
        <f t="shared" si="5"/>
        <v>1</v>
      </c>
      <c r="Z117">
        <f t="shared" si="6"/>
        <v>3</v>
      </c>
    </row>
    <row r="118" spans="1:26" ht="15.75">
      <c r="A118" s="1" t="s">
        <v>613</v>
      </c>
      <c r="B118" s="4" t="s">
        <v>100</v>
      </c>
      <c r="C118" s="4" t="s">
        <v>523</v>
      </c>
      <c r="D118" s="7" t="s">
        <v>613</v>
      </c>
      <c r="J118" t="s">
        <v>523</v>
      </c>
      <c r="K118">
        <f t="shared" si="7"/>
        <v>5</v>
      </c>
      <c r="O118" s="1" t="s">
        <v>36</v>
      </c>
      <c r="P118">
        <v>16749015766</v>
      </c>
      <c r="Q118">
        <f t="shared" si="8"/>
        <v>10.223989291375608</v>
      </c>
      <c r="S118" s="1" t="s">
        <v>1901</v>
      </c>
      <c r="T118">
        <v>7170617892</v>
      </c>
      <c r="U118">
        <f t="shared" si="9"/>
        <v>9.8555565804270682</v>
      </c>
      <c r="X118" t="s">
        <v>102</v>
      </c>
      <c r="Y118">
        <f t="shared" si="5"/>
        <v>2</v>
      </c>
      <c r="Z118">
        <f t="shared" si="6"/>
        <v>2</v>
      </c>
    </row>
    <row r="119" spans="1:26" ht="15.75">
      <c r="A119" s="1" t="s">
        <v>631</v>
      </c>
      <c r="B119" s="4" t="s">
        <v>190</v>
      </c>
      <c r="C119" s="4" t="s">
        <v>610</v>
      </c>
      <c r="D119" s="7" t="s">
        <v>631</v>
      </c>
      <c r="J119" t="s">
        <v>524</v>
      </c>
      <c r="K119">
        <f t="shared" si="7"/>
        <v>5</v>
      </c>
      <c r="O119" s="1" t="s">
        <v>583</v>
      </c>
      <c r="P119">
        <v>16616645822</v>
      </c>
      <c r="Q119">
        <f t="shared" si="8"/>
        <v>10.220543363129854</v>
      </c>
      <c r="S119" s="1" t="s">
        <v>1902</v>
      </c>
      <c r="T119">
        <v>7166970708</v>
      </c>
      <c r="U119">
        <f t="shared" si="9"/>
        <v>9.8553356294758245</v>
      </c>
      <c r="X119" t="s">
        <v>882</v>
      </c>
      <c r="Y119">
        <f t="shared" si="5"/>
        <v>3</v>
      </c>
      <c r="Z119">
        <f t="shared" si="6"/>
        <v>6</v>
      </c>
    </row>
    <row r="120" spans="1:26" ht="15.75">
      <c r="A120" s="1" t="s">
        <v>473</v>
      </c>
      <c r="B120" s="4" t="s">
        <v>218</v>
      </c>
      <c r="C120" s="4" t="s">
        <v>112</v>
      </c>
      <c r="D120" s="7" t="s">
        <v>473</v>
      </c>
      <c r="J120" t="s">
        <v>623</v>
      </c>
      <c r="K120">
        <f t="shared" si="7"/>
        <v>5</v>
      </c>
      <c r="O120" s="1" t="s">
        <v>229</v>
      </c>
      <c r="P120">
        <v>16254923119</v>
      </c>
      <c r="Q120">
        <f t="shared" si="8"/>
        <v>10.210984919751985</v>
      </c>
      <c r="S120" s="1" t="s">
        <v>1903</v>
      </c>
      <c r="T120">
        <v>7144091746</v>
      </c>
      <c r="U120">
        <f t="shared" si="9"/>
        <v>9.8539470232217123</v>
      </c>
      <c r="X120" t="s">
        <v>884</v>
      </c>
      <c r="Y120">
        <f t="shared" si="5"/>
        <v>2</v>
      </c>
      <c r="Z120">
        <f t="shared" si="6"/>
        <v>4</v>
      </c>
    </row>
    <row r="121" spans="1:26" ht="15.75">
      <c r="A121" s="1" t="s">
        <v>158</v>
      </c>
      <c r="B121" s="4" t="s">
        <v>284</v>
      </c>
      <c r="C121" s="4" t="s">
        <v>298</v>
      </c>
      <c r="D121" s="7" t="s">
        <v>158</v>
      </c>
      <c r="J121" t="s">
        <v>528</v>
      </c>
      <c r="K121">
        <f t="shared" si="7"/>
        <v>5</v>
      </c>
      <c r="O121" s="1" t="s">
        <v>133</v>
      </c>
      <c r="P121">
        <v>16135583953</v>
      </c>
      <c r="Q121">
        <f t="shared" si="8"/>
        <v>10.207784687308964</v>
      </c>
      <c r="S121" s="1" t="s">
        <v>1904</v>
      </c>
      <c r="T121">
        <v>7090030518</v>
      </c>
      <c r="U121">
        <f t="shared" si="9"/>
        <v>9.8506481045442058</v>
      </c>
      <c r="X121" t="s">
        <v>1887</v>
      </c>
      <c r="Y121">
        <f t="shared" si="5"/>
        <v>3</v>
      </c>
      <c r="Z121">
        <f t="shared" si="6"/>
        <v>3</v>
      </c>
    </row>
    <row r="122" spans="1:26" ht="15.75">
      <c r="A122" s="1" t="s">
        <v>190</v>
      </c>
      <c r="B122" s="4" t="s">
        <v>1857</v>
      </c>
      <c r="C122" s="4" t="s">
        <v>9</v>
      </c>
      <c r="D122" s="7" t="s">
        <v>190</v>
      </c>
      <c r="J122" t="s">
        <v>530</v>
      </c>
      <c r="K122">
        <f t="shared" si="7"/>
        <v>5</v>
      </c>
      <c r="O122" s="1" t="s">
        <v>451</v>
      </c>
      <c r="P122">
        <v>16071337298</v>
      </c>
      <c r="Q122">
        <f t="shared" si="8"/>
        <v>10.206052015965458</v>
      </c>
      <c r="S122" s="1" t="s">
        <v>1905</v>
      </c>
      <c r="T122">
        <v>7082360635</v>
      </c>
      <c r="U122">
        <f t="shared" si="9"/>
        <v>9.8501780373335315</v>
      </c>
      <c r="X122" t="s">
        <v>861</v>
      </c>
      <c r="Y122">
        <f t="shared" si="5"/>
        <v>3</v>
      </c>
      <c r="Z122">
        <f t="shared" si="6"/>
        <v>7</v>
      </c>
    </row>
    <row r="123" spans="1:26" ht="15.75">
      <c r="A123" s="1" t="s">
        <v>300</v>
      </c>
      <c r="B123" s="4" t="s">
        <v>382</v>
      </c>
      <c r="C123" s="4" t="s">
        <v>472</v>
      </c>
      <c r="D123" s="7" t="s">
        <v>300</v>
      </c>
      <c r="J123" t="s">
        <v>531</v>
      </c>
      <c r="K123">
        <f t="shared" si="7"/>
        <v>5</v>
      </c>
      <c r="O123" s="1" t="s">
        <v>289</v>
      </c>
      <c r="P123">
        <v>16052501931</v>
      </c>
      <c r="Q123">
        <f t="shared" si="8"/>
        <v>10.205542730831024</v>
      </c>
      <c r="S123" s="1" t="s">
        <v>1906</v>
      </c>
      <c r="T123">
        <v>7001782845</v>
      </c>
      <c r="U123">
        <f t="shared" si="9"/>
        <v>9.8452086373229495</v>
      </c>
      <c r="X123" t="s">
        <v>106</v>
      </c>
      <c r="Y123">
        <f t="shared" si="5"/>
        <v>2</v>
      </c>
      <c r="Z123">
        <f t="shared" si="6"/>
        <v>2</v>
      </c>
    </row>
    <row r="124" spans="1:26" ht="15.75">
      <c r="A124" s="1" t="s">
        <v>632</v>
      </c>
      <c r="B124" s="4" t="s">
        <v>641</v>
      </c>
      <c r="C124" s="4" t="s">
        <v>61</v>
      </c>
      <c r="D124" s="7" t="s">
        <v>632</v>
      </c>
      <c r="J124" t="s">
        <v>563</v>
      </c>
      <c r="K124">
        <f t="shared" si="7"/>
        <v>5</v>
      </c>
      <c r="O124" s="1" t="s">
        <v>551</v>
      </c>
      <c r="P124">
        <v>15817162046</v>
      </c>
      <c r="Q124">
        <f t="shared" si="8"/>
        <v>10.199128563970428</v>
      </c>
      <c r="S124" s="1" t="s">
        <v>1907</v>
      </c>
      <c r="T124">
        <v>7000056098</v>
      </c>
      <c r="U124">
        <f t="shared" si="9"/>
        <v>9.8451015204362893</v>
      </c>
      <c r="X124" t="s">
        <v>109</v>
      </c>
      <c r="Y124">
        <f t="shared" si="5"/>
        <v>3</v>
      </c>
      <c r="Z124">
        <f t="shared" si="6"/>
        <v>3</v>
      </c>
    </row>
    <row r="125" spans="1:26" ht="15.75">
      <c r="A125" s="1" t="s">
        <v>377</v>
      </c>
      <c r="B125" s="4" t="s">
        <v>279</v>
      </c>
      <c r="C125" s="4" t="s">
        <v>611</v>
      </c>
      <c r="D125" s="7" t="s">
        <v>377</v>
      </c>
      <c r="J125" t="s">
        <v>718</v>
      </c>
      <c r="K125">
        <f t="shared" si="7"/>
        <v>5</v>
      </c>
      <c r="O125" s="1" t="s">
        <v>560</v>
      </c>
      <c r="P125">
        <v>15752059735</v>
      </c>
      <c r="Q125">
        <f t="shared" si="8"/>
        <v>10.197337350065796</v>
      </c>
      <c r="S125" s="1" t="s">
        <v>1908</v>
      </c>
      <c r="T125">
        <v>6994110775</v>
      </c>
      <c r="U125">
        <f t="shared" si="9"/>
        <v>9.8447325065248776</v>
      </c>
      <c r="X125" t="s">
        <v>1984</v>
      </c>
      <c r="Y125">
        <f t="shared" si="5"/>
        <v>3</v>
      </c>
      <c r="Z125">
        <f t="shared" si="6"/>
        <v>3</v>
      </c>
    </row>
    <row r="126" spans="1:26" ht="15.75">
      <c r="A126" s="1" t="s">
        <v>563</v>
      </c>
      <c r="B126" s="4" t="s">
        <v>570</v>
      </c>
      <c r="C126" s="4" t="s">
        <v>380</v>
      </c>
      <c r="D126" s="7" t="s">
        <v>563</v>
      </c>
      <c r="J126" t="s">
        <v>740</v>
      </c>
      <c r="K126">
        <f t="shared" si="7"/>
        <v>5</v>
      </c>
      <c r="O126" s="1" t="s">
        <v>258</v>
      </c>
      <c r="P126">
        <v>15535972775</v>
      </c>
      <c r="Q126">
        <f t="shared" si="8"/>
        <v>10.191338451513619</v>
      </c>
      <c r="S126" s="1" t="s">
        <v>1909</v>
      </c>
      <c r="T126">
        <v>6973945867</v>
      </c>
      <c r="U126">
        <f t="shared" si="9"/>
        <v>9.8434785719825406</v>
      </c>
      <c r="X126" t="s">
        <v>110</v>
      </c>
      <c r="Y126">
        <f t="shared" si="5"/>
        <v>2</v>
      </c>
      <c r="Z126">
        <f t="shared" si="6"/>
        <v>2</v>
      </c>
    </row>
    <row r="127" spans="1:26" ht="15.75">
      <c r="A127" s="1" t="s">
        <v>319</v>
      </c>
      <c r="B127" s="4" t="s">
        <v>568</v>
      </c>
      <c r="C127" s="4" t="s">
        <v>458</v>
      </c>
      <c r="D127" s="7" t="s">
        <v>319</v>
      </c>
      <c r="I127" s="2"/>
      <c r="J127" t="s">
        <v>586</v>
      </c>
      <c r="K127">
        <f t="shared" si="7"/>
        <v>5</v>
      </c>
      <c r="O127" s="1" t="s">
        <v>234</v>
      </c>
      <c r="P127">
        <v>15472128922</v>
      </c>
      <c r="Q127">
        <f t="shared" si="8"/>
        <v>10.189550075526409</v>
      </c>
      <c r="S127" s="1" t="s">
        <v>1910</v>
      </c>
      <c r="T127">
        <v>6973440028</v>
      </c>
      <c r="U127">
        <f t="shared" si="9"/>
        <v>9.8434470702963921</v>
      </c>
      <c r="X127" t="s">
        <v>111</v>
      </c>
      <c r="Y127">
        <f t="shared" si="5"/>
        <v>4</v>
      </c>
      <c r="Z127">
        <f t="shared" si="6"/>
        <v>4</v>
      </c>
    </row>
    <row r="128" spans="1:26" ht="15.75">
      <c r="A128" s="1" t="s">
        <v>578</v>
      </c>
      <c r="B128" s="4" t="s">
        <v>578</v>
      </c>
      <c r="C128" s="4" t="s">
        <v>496</v>
      </c>
      <c r="D128" s="7" t="s">
        <v>578</v>
      </c>
      <c r="J128" t="s">
        <v>595</v>
      </c>
      <c r="K128">
        <f t="shared" si="7"/>
        <v>5</v>
      </c>
      <c r="O128" s="1" t="s">
        <v>0</v>
      </c>
      <c r="P128">
        <v>15386005538</v>
      </c>
      <c r="Q128">
        <f t="shared" si="8"/>
        <v>10.187125884420617</v>
      </c>
      <c r="S128" s="1" t="s">
        <v>1911</v>
      </c>
      <c r="T128">
        <v>6961946111</v>
      </c>
      <c r="U128">
        <f t="shared" si="9"/>
        <v>9.8427306573013418</v>
      </c>
      <c r="X128" t="s">
        <v>848</v>
      </c>
      <c r="Y128">
        <f t="shared" si="5"/>
        <v>4</v>
      </c>
      <c r="Z128">
        <f t="shared" si="6"/>
        <v>4</v>
      </c>
    </row>
    <row r="129" spans="1:26" ht="15.75">
      <c r="A129" s="1" t="s">
        <v>532</v>
      </c>
      <c r="B129" s="4" t="s">
        <v>192</v>
      </c>
      <c r="C129" s="4" t="s">
        <v>657</v>
      </c>
      <c r="D129" s="7" t="s">
        <v>532</v>
      </c>
      <c r="J129" t="s">
        <v>597</v>
      </c>
      <c r="K129">
        <f t="shared" si="7"/>
        <v>5</v>
      </c>
      <c r="O129" s="1" t="s">
        <v>554</v>
      </c>
      <c r="P129">
        <v>15214168398</v>
      </c>
      <c r="Q129">
        <f t="shared" si="8"/>
        <v>10.182248218933422</v>
      </c>
      <c r="S129" s="1" t="s">
        <v>1912</v>
      </c>
      <c r="T129">
        <v>6893604325</v>
      </c>
      <c r="U129">
        <f t="shared" si="9"/>
        <v>9.8384463524109762</v>
      </c>
      <c r="X129" t="s">
        <v>764</v>
      </c>
      <c r="Y129">
        <f t="shared" ref="Y129:Y192" si="10">IF(ISNUMBER(FIND("e",X129)),1,0)+IF(ISNUMBER(FIND("n",X129)),1,0)+IF(ISNUMBER(FIND("t",X129)),1,0)+IF(ISNUMBER(FIND("o",X129)),1,0)+IF(ISNUMBER(FIND("r",X129)),1,0)+IF(ISNUMBER(FIND("s",X129)),1,0)+IF(ISNUMBER(FIND("d",X129)),1,0)+IF(ISNUMBER(FIND("i",X129)),1,0)</f>
        <v>3</v>
      </c>
      <c r="Z129">
        <f t="shared" ref="Z129:Z192" si="11">LEN(X129)</f>
        <v>4</v>
      </c>
    </row>
    <row r="130" spans="1:26" ht="15.75">
      <c r="A130" s="1" t="s">
        <v>261</v>
      </c>
      <c r="B130" s="4" t="s">
        <v>496</v>
      </c>
      <c r="C130" s="4" t="s">
        <v>236</v>
      </c>
      <c r="D130" s="7" t="s">
        <v>261</v>
      </c>
      <c r="J130" t="s">
        <v>598</v>
      </c>
      <c r="K130">
        <f t="shared" ref="K130:K193" si="12">LEN(J130)</f>
        <v>5</v>
      </c>
      <c r="O130" s="1" t="s">
        <v>72</v>
      </c>
      <c r="P130">
        <v>15114311349</v>
      </c>
      <c r="Q130">
        <f t="shared" si="8"/>
        <v>10.179388364273176</v>
      </c>
      <c r="S130" s="1" t="s">
        <v>62</v>
      </c>
      <c r="T130">
        <v>6861067469</v>
      </c>
      <c r="U130">
        <f t="shared" si="9"/>
        <v>9.8363916900260655</v>
      </c>
      <c r="X130" t="s">
        <v>112</v>
      </c>
      <c r="Y130">
        <f t="shared" si="10"/>
        <v>3</v>
      </c>
      <c r="Z130">
        <f t="shared" si="11"/>
        <v>4</v>
      </c>
    </row>
    <row r="131" spans="1:26" ht="15.75">
      <c r="A131" s="1" t="s">
        <v>173</v>
      </c>
      <c r="B131" s="4" t="s">
        <v>303</v>
      </c>
      <c r="C131" s="4" t="s">
        <v>27</v>
      </c>
      <c r="D131" s="7" t="s">
        <v>173</v>
      </c>
      <c r="J131" t="s">
        <v>599</v>
      </c>
      <c r="K131">
        <f t="shared" si="12"/>
        <v>5</v>
      </c>
      <c r="O131" s="1" t="s">
        <v>22</v>
      </c>
      <c r="P131">
        <v>15049927877</v>
      </c>
      <c r="Q131">
        <f t="shared" ref="Q131:Q176" si="13">LOG(P131)</f>
        <v>10.177534418687605</v>
      </c>
      <c r="S131" s="1" t="s">
        <v>1913</v>
      </c>
      <c r="T131">
        <v>6811887554</v>
      </c>
      <c r="U131">
        <f t="shared" ref="U131:U194" si="14">LOG(T131)</f>
        <v>9.8332674703122347</v>
      </c>
      <c r="X131" t="s">
        <v>850</v>
      </c>
      <c r="Y131">
        <f t="shared" si="10"/>
        <v>4</v>
      </c>
      <c r="Z131">
        <f t="shared" si="11"/>
        <v>5</v>
      </c>
    </row>
    <row r="132" spans="1:26" ht="15.75">
      <c r="A132" s="1" t="s">
        <v>633</v>
      </c>
      <c r="B132" s="4" t="s">
        <v>204</v>
      </c>
      <c r="C132" s="4" t="s">
        <v>266</v>
      </c>
      <c r="D132" s="7" t="s">
        <v>314</v>
      </c>
      <c r="J132" t="s">
        <v>780</v>
      </c>
      <c r="K132">
        <f t="shared" si="12"/>
        <v>5</v>
      </c>
      <c r="O132" s="1" t="s">
        <v>153</v>
      </c>
      <c r="P132">
        <v>14977965012</v>
      </c>
      <c r="Q132">
        <f t="shared" si="13"/>
        <v>10.175452811755017</v>
      </c>
      <c r="S132" s="1" t="s">
        <v>1914</v>
      </c>
      <c r="T132">
        <v>6794181060</v>
      </c>
      <c r="U132">
        <f t="shared" si="14"/>
        <v>9.8321371163213396</v>
      </c>
      <c r="X132" t="s">
        <v>115</v>
      </c>
      <c r="Y132">
        <f t="shared" si="10"/>
        <v>2</v>
      </c>
      <c r="Z132">
        <f t="shared" si="11"/>
        <v>2</v>
      </c>
    </row>
    <row r="133" spans="1:26" ht="15.75">
      <c r="A133" s="1" t="s">
        <v>192</v>
      </c>
      <c r="B133" s="4" t="s">
        <v>271</v>
      </c>
      <c r="C133" s="4" t="s">
        <v>652</v>
      </c>
      <c r="D133" s="7" t="s">
        <v>192</v>
      </c>
      <c r="J133" t="s">
        <v>612</v>
      </c>
      <c r="K133">
        <f t="shared" si="12"/>
        <v>5</v>
      </c>
      <c r="O133" s="1" t="s">
        <v>140</v>
      </c>
      <c r="P133">
        <v>14770877724</v>
      </c>
      <c r="Q133">
        <f t="shared" si="13"/>
        <v>10.169406302987234</v>
      </c>
      <c r="S133" s="1" t="s">
        <v>1915</v>
      </c>
      <c r="T133">
        <v>6762274549</v>
      </c>
      <c r="U133">
        <f t="shared" si="14"/>
        <v>9.8300927991856213</v>
      </c>
      <c r="X133" t="s">
        <v>116</v>
      </c>
      <c r="Y133">
        <f t="shared" si="10"/>
        <v>2</v>
      </c>
      <c r="Z133">
        <f t="shared" si="11"/>
        <v>2</v>
      </c>
    </row>
    <row r="134" spans="1:26" ht="15.75">
      <c r="A134" s="1" t="s">
        <v>528</v>
      </c>
      <c r="B134" s="4" t="s">
        <v>55</v>
      </c>
      <c r="C134" s="4" t="s">
        <v>324</v>
      </c>
      <c r="D134" s="7" t="s">
        <v>528</v>
      </c>
      <c r="J134" t="s">
        <v>622</v>
      </c>
      <c r="K134">
        <f t="shared" si="12"/>
        <v>5</v>
      </c>
      <c r="O134" s="1" t="s">
        <v>131</v>
      </c>
      <c r="P134">
        <v>14743755990</v>
      </c>
      <c r="Q134">
        <f t="shared" si="13"/>
        <v>10.168608134672123</v>
      </c>
      <c r="S134" s="1" t="s">
        <v>1029</v>
      </c>
      <c r="T134">
        <v>6716493366</v>
      </c>
      <c r="U134">
        <f t="shared" si="14"/>
        <v>9.8271425901255718</v>
      </c>
      <c r="X134" t="s">
        <v>117</v>
      </c>
      <c r="Y134">
        <f t="shared" si="10"/>
        <v>1</v>
      </c>
      <c r="Z134">
        <f t="shared" si="11"/>
        <v>2</v>
      </c>
    </row>
    <row r="135" spans="1:26" ht="15.75">
      <c r="A135" s="1" t="s">
        <v>634</v>
      </c>
      <c r="B135" s="4" t="s">
        <v>46</v>
      </c>
      <c r="C135" s="4" t="s">
        <v>641</v>
      </c>
      <c r="D135" s="7" t="s">
        <v>634</v>
      </c>
      <c r="J135" t="s">
        <v>748</v>
      </c>
      <c r="K135">
        <f t="shared" si="12"/>
        <v>5</v>
      </c>
      <c r="O135" s="1" t="s">
        <v>345</v>
      </c>
      <c r="P135">
        <v>14558819018</v>
      </c>
      <c r="Q135">
        <f t="shared" si="13"/>
        <v>10.163126147314399</v>
      </c>
      <c r="S135" s="1" t="s">
        <v>1057</v>
      </c>
      <c r="T135">
        <v>6709265158</v>
      </c>
      <c r="U135">
        <f t="shared" si="14"/>
        <v>9.8266749560405202</v>
      </c>
      <c r="X135" t="s">
        <v>118</v>
      </c>
      <c r="Y135">
        <f t="shared" si="10"/>
        <v>4</v>
      </c>
      <c r="Z135">
        <f t="shared" si="11"/>
        <v>6</v>
      </c>
    </row>
    <row r="136" spans="1:26" ht="15.75">
      <c r="A136" s="1" t="s">
        <v>202</v>
      </c>
      <c r="B136" s="4" t="s">
        <v>352</v>
      </c>
      <c r="C136" s="4" t="s">
        <v>753</v>
      </c>
      <c r="D136" s="7" t="s">
        <v>202</v>
      </c>
      <c r="J136" t="s">
        <v>846</v>
      </c>
      <c r="K136">
        <f t="shared" si="12"/>
        <v>4</v>
      </c>
      <c r="O136" s="1" t="s">
        <v>176</v>
      </c>
      <c r="P136">
        <v>14439772192</v>
      </c>
      <c r="Q136">
        <f t="shared" si="13"/>
        <v>10.159560341672833</v>
      </c>
      <c r="S136" s="1" t="s">
        <v>1916</v>
      </c>
      <c r="T136">
        <v>6664284326</v>
      </c>
      <c r="U136">
        <f t="shared" si="14"/>
        <v>9.8237535175972184</v>
      </c>
      <c r="X136" t="s">
        <v>120</v>
      </c>
      <c r="Y136">
        <f t="shared" si="10"/>
        <v>1</v>
      </c>
      <c r="Z136">
        <f t="shared" si="11"/>
        <v>2</v>
      </c>
    </row>
    <row r="137" spans="1:26" ht="15.75">
      <c r="A137" s="1" t="s">
        <v>285</v>
      </c>
      <c r="B137" s="4" t="s">
        <v>563</v>
      </c>
      <c r="C137" s="4" t="s">
        <v>531</v>
      </c>
      <c r="D137" s="7" t="s">
        <v>285</v>
      </c>
      <c r="J137" t="s">
        <v>15</v>
      </c>
      <c r="K137">
        <f t="shared" si="12"/>
        <v>4</v>
      </c>
      <c r="O137" s="1" t="s">
        <v>424</v>
      </c>
      <c r="P137">
        <v>14380342944</v>
      </c>
      <c r="Q137">
        <f t="shared" si="13"/>
        <v>10.157769243272931</v>
      </c>
      <c r="S137" s="1" t="s">
        <v>138</v>
      </c>
      <c r="T137">
        <v>6663626810</v>
      </c>
      <c r="U137">
        <f t="shared" si="14"/>
        <v>9.8237106668357015</v>
      </c>
      <c r="X137" t="s">
        <v>121</v>
      </c>
      <c r="Y137">
        <f t="shared" si="10"/>
        <v>1</v>
      </c>
      <c r="Z137">
        <f t="shared" si="11"/>
        <v>4</v>
      </c>
    </row>
    <row r="138" spans="1:26" ht="15.75">
      <c r="A138" s="1" t="s">
        <v>274</v>
      </c>
      <c r="B138" s="4" t="s">
        <v>266</v>
      </c>
      <c r="C138" s="4" t="s">
        <v>594</v>
      </c>
      <c r="D138" s="7" t="s">
        <v>274</v>
      </c>
      <c r="J138" t="s">
        <v>38</v>
      </c>
      <c r="K138">
        <f t="shared" si="12"/>
        <v>4</v>
      </c>
      <c r="O138" s="1" t="s">
        <v>51</v>
      </c>
      <c r="P138">
        <v>14280375980</v>
      </c>
      <c r="Q138">
        <f t="shared" si="13"/>
        <v>10.154739641886216</v>
      </c>
      <c r="S138" s="1" t="s">
        <v>1917</v>
      </c>
      <c r="T138">
        <v>6659669886</v>
      </c>
      <c r="U138">
        <f t="shared" si="14"/>
        <v>9.8234527021069642</v>
      </c>
      <c r="X138" t="s">
        <v>1988</v>
      </c>
      <c r="Y138">
        <f t="shared" si="10"/>
        <v>2</v>
      </c>
      <c r="Z138">
        <f t="shared" si="11"/>
        <v>3</v>
      </c>
    </row>
    <row r="139" spans="1:26" ht="15.75">
      <c r="A139" s="1" t="s">
        <v>635</v>
      </c>
      <c r="B139" s="4" t="s">
        <v>681</v>
      </c>
      <c r="C139" s="4" t="s">
        <v>492</v>
      </c>
      <c r="D139" s="7" t="s">
        <v>43</v>
      </c>
      <c r="J139" t="s">
        <v>45</v>
      </c>
      <c r="K139">
        <f t="shared" si="12"/>
        <v>4</v>
      </c>
      <c r="O139" s="1" t="s">
        <v>423</v>
      </c>
      <c r="P139">
        <v>14278737404</v>
      </c>
      <c r="Q139">
        <f t="shared" si="13"/>
        <v>10.154689806689571</v>
      </c>
      <c r="S139" s="1" t="s">
        <v>1918</v>
      </c>
      <c r="T139">
        <v>6651182188</v>
      </c>
      <c r="U139">
        <f t="shared" si="14"/>
        <v>9.8228988441143184</v>
      </c>
      <c r="X139" t="s">
        <v>1968</v>
      </c>
      <c r="Y139">
        <f t="shared" si="10"/>
        <v>1</v>
      </c>
      <c r="Z139">
        <f t="shared" si="11"/>
        <v>3</v>
      </c>
    </row>
    <row r="140" spans="1:26" ht="15.75">
      <c r="A140" s="1" t="s">
        <v>636</v>
      </c>
      <c r="B140" s="4" t="s">
        <v>396</v>
      </c>
      <c r="C140" s="4" t="s">
        <v>681</v>
      </c>
      <c r="D140" s="7" t="s">
        <v>636</v>
      </c>
      <c r="J140" t="s">
        <v>880</v>
      </c>
      <c r="K140">
        <f t="shared" si="12"/>
        <v>4</v>
      </c>
      <c r="O140" s="1" t="s">
        <v>312</v>
      </c>
      <c r="P140">
        <v>14257278755</v>
      </c>
      <c r="Q140">
        <f t="shared" si="13"/>
        <v>10.154036640910963</v>
      </c>
      <c r="S140" s="1" t="s">
        <v>751</v>
      </c>
      <c r="T140">
        <v>6642804662</v>
      </c>
      <c r="U140">
        <f t="shared" si="14"/>
        <v>9.8223514817863027</v>
      </c>
      <c r="X140" t="s">
        <v>1960</v>
      </c>
      <c r="Y140">
        <f t="shared" si="10"/>
        <v>2</v>
      </c>
      <c r="Z140">
        <f t="shared" si="11"/>
        <v>3</v>
      </c>
    </row>
    <row r="141" spans="1:26" ht="15.75">
      <c r="A141" s="1" t="s">
        <v>637</v>
      </c>
      <c r="B141" s="4" t="s">
        <v>454</v>
      </c>
      <c r="C141" s="4" t="s">
        <v>1380</v>
      </c>
      <c r="D141" s="7" t="s">
        <v>637</v>
      </c>
      <c r="J141" t="s">
        <v>757</v>
      </c>
      <c r="K141">
        <f t="shared" si="12"/>
        <v>4</v>
      </c>
      <c r="O141" s="1" t="s">
        <v>181</v>
      </c>
      <c r="P141">
        <v>14191497542</v>
      </c>
      <c r="Q141">
        <f t="shared" si="13"/>
        <v>10.152028226317995</v>
      </c>
      <c r="S141" s="1" t="s">
        <v>1919</v>
      </c>
      <c r="T141">
        <v>6637704263</v>
      </c>
      <c r="U141">
        <f t="shared" si="14"/>
        <v>9.8220178988998903</v>
      </c>
      <c r="X141" t="s">
        <v>122</v>
      </c>
      <c r="Y141">
        <f t="shared" si="10"/>
        <v>2</v>
      </c>
      <c r="Z141">
        <f t="shared" si="11"/>
        <v>3</v>
      </c>
    </row>
    <row r="142" spans="1:26" ht="15.75">
      <c r="A142" s="1" t="s">
        <v>314</v>
      </c>
      <c r="B142" s="4" t="s">
        <v>20</v>
      </c>
      <c r="C142" s="4" t="s">
        <v>46</v>
      </c>
      <c r="D142" s="7" t="s">
        <v>454</v>
      </c>
      <c r="J142" t="s">
        <v>53</v>
      </c>
      <c r="K142">
        <f t="shared" si="12"/>
        <v>4</v>
      </c>
      <c r="O142" s="1" t="s">
        <v>49</v>
      </c>
      <c r="P142">
        <v>14155655885</v>
      </c>
      <c r="Q142">
        <f t="shared" si="13"/>
        <v>10.150929996670895</v>
      </c>
      <c r="S142" s="1" t="s">
        <v>1920</v>
      </c>
      <c r="T142">
        <v>6597498432</v>
      </c>
      <c r="U142">
        <f t="shared" si="14"/>
        <v>9.8193792956751373</v>
      </c>
      <c r="X142" t="s">
        <v>790</v>
      </c>
      <c r="Y142">
        <f t="shared" si="10"/>
        <v>2</v>
      </c>
      <c r="Z142">
        <f t="shared" si="11"/>
        <v>5</v>
      </c>
    </row>
    <row r="143" spans="1:26" ht="15.75">
      <c r="A143" s="1" t="s">
        <v>638</v>
      </c>
      <c r="B143" s="4" t="s">
        <v>528</v>
      </c>
      <c r="C143" s="4" t="s">
        <v>207</v>
      </c>
      <c r="D143" s="7" t="s">
        <v>638</v>
      </c>
      <c r="J143" t="s">
        <v>55</v>
      </c>
      <c r="K143">
        <f t="shared" si="12"/>
        <v>4</v>
      </c>
      <c r="O143" s="1" t="s">
        <v>262</v>
      </c>
      <c r="P143">
        <v>14119208748</v>
      </c>
      <c r="Q143">
        <f t="shared" si="13"/>
        <v>10.149810359179947</v>
      </c>
      <c r="S143" s="1" t="s">
        <v>1921</v>
      </c>
      <c r="T143">
        <v>6582149201</v>
      </c>
      <c r="U143">
        <f t="shared" si="14"/>
        <v>9.8183677224488726</v>
      </c>
      <c r="X143" t="s">
        <v>1903</v>
      </c>
      <c r="Y143">
        <f t="shared" si="10"/>
        <v>2</v>
      </c>
      <c r="Z143">
        <f t="shared" si="11"/>
        <v>3</v>
      </c>
    </row>
    <row r="144" spans="1:26" ht="15.75">
      <c r="A144" s="1" t="s">
        <v>43</v>
      </c>
      <c r="B144" s="4" t="s">
        <v>217</v>
      </c>
      <c r="C144" s="4" t="s">
        <v>1419</v>
      </c>
      <c r="D144" s="7" t="s">
        <v>635</v>
      </c>
      <c r="J144" t="s">
        <v>61</v>
      </c>
      <c r="K144">
        <f t="shared" si="12"/>
        <v>4</v>
      </c>
      <c r="O144" s="1" t="s">
        <v>115</v>
      </c>
      <c r="P144">
        <v>14113090545</v>
      </c>
      <c r="Q144">
        <f t="shared" si="13"/>
        <v>10.149622127834274</v>
      </c>
      <c r="S144" s="1" t="s">
        <v>1922</v>
      </c>
      <c r="T144">
        <v>6578893232</v>
      </c>
      <c r="U144">
        <f t="shared" si="14"/>
        <v>9.8181528383458865</v>
      </c>
      <c r="X144" t="s">
        <v>913</v>
      </c>
      <c r="Y144">
        <f t="shared" si="10"/>
        <v>3</v>
      </c>
      <c r="Z144">
        <f t="shared" si="11"/>
        <v>4</v>
      </c>
    </row>
    <row r="145" spans="1:26" ht="15.75">
      <c r="A145" s="1" t="s">
        <v>639</v>
      </c>
      <c r="B145" s="4" t="s">
        <v>598</v>
      </c>
      <c r="C145" s="4" t="s">
        <v>1387</v>
      </c>
      <c r="D145" s="7" t="s">
        <v>639</v>
      </c>
      <c r="J145" t="s">
        <v>64</v>
      </c>
      <c r="K145">
        <f t="shared" si="12"/>
        <v>4</v>
      </c>
      <c r="O145" s="1" t="s">
        <v>74</v>
      </c>
      <c r="P145">
        <v>13780629739</v>
      </c>
      <c r="Q145">
        <f t="shared" si="13"/>
        <v>10.13926906415533</v>
      </c>
      <c r="S145" s="1" t="s">
        <v>1923</v>
      </c>
      <c r="T145">
        <v>6573067826</v>
      </c>
      <c r="U145">
        <f t="shared" si="14"/>
        <v>9.8177681136900059</v>
      </c>
      <c r="X145" t="s">
        <v>726</v>
      </c>
      <c r="Y145">
        <f t="shared" si="10"/>
        <v>2</v>
      </c>
      <c r="Z145">
        <f t="shared" si="11"/>
        <v>3</v>
      </c>
    </row>
    <row r="146" spans="1:26" ht="15.75">
      <c r="A146" s="1" t="s">
        <v>441</v>
      </c>
      <c r="B146" s="4" t="s">
        <v>207</v>
      </c>
      <c r="C146" s="4" t="s">
        <v>310</v>
      </c>
      <c r="D146" s="7" t="s">
        <v>441</v>
      </c>
      <c r="J146" t="s">
        <v>73</v>
      </c>
      <c r="K146">
        <f t="shared" si="12"/>
        <v>4</v>
      </c>
      <c r="O146" s="1" t="s">
        <v>344</v>
      </c>
      <c r="P146">
        <v>13671886937</v>
      </c>
      <c r="Q146">
        <f t="shared" si="13"/>
        <v>10.135828458223502</v>
      </c>
      <c r="S146" s="1" t="s">
        <v>1924</v>
      </c>
      <c r="T146">
        <v>6530894805</v>
      </c>
      <c r="U146">
        <f t="shared" si="14"/>
        <v>9.8149726885110304</v>
      </c>
      <c r="X146" t="s">
        <v>123</v>
      </c>
      <c r="Y146">
        <f t="shared" si="10"/>
        <v>1</v>
      </c>
      <c r="Z146">
        <f t="shared" si="11"/>
        <v>2</v>
      </c>
    </row>
    <row r="147" spans="1:26" ht="15.75">
      <c r="A147" s="1" t="s">
        <v>640</v>
      </c>
      <c r="B147" s="4" t="s">
        <v>441</v>
      </c>
      <c r="C147" s="4" t="s">
        <v>20</v>
      </c>
      <c r="D147" s="7" t="s">
        <v>640</v>
      </c>
      <c r="J147" t="s">
        <v>823</v>
      </c>
      <c r="K147">
        <f t="shared" si="12"/>
        <v>4</v>
      </c>
      <c r="O147" s="1" t="s">
        <v>37</v>
      </c>
      <c r="P147">
        <v>13622702607</v>
      </c>
      <c r="Q147">
        <f t="shared" si="13"/>
        <v>10.134263275775835</v>
      </c>
      <c r="S147" s="1" t="s">
        <v>1925</v>
      </c>
      <c r="T147">
        <v>6516345939</v>
      </c>
      <c r="U147">
        <f t="shared" si="14"/>
        <v>9.8140041320224078</v>
      </c>
      <c r="X147" t="s">
        <v>125</v>
      </c>
      <c r="Y147">
        <f t="shared" si="10"/>
        <v>1</v>
      </c>
      <c r="Z147">
        <f t="shared" si="11"/>
        <v>2</v>
      </c>
    </row>
    <row r="148" spans="1:26" ht="15.75">
      <c r="A148" s="1" t="s">
        <v>352</v>
      </c>
      <c r="B148" s="4" t="s">
        <v>689</v>
      </c>
      <c r="C148" s="4" t="s">
        <v>314</v>
      </c>
      <c r="D148" s="7" t="s">
        <v>352</v>
      </c>
      <c r="J148" t="s">
        <v>625</v>
      </c>
      <c r="K148">
        <f t="shared" si="12"/>
        <v>4</v>
      </c>
      <c r="O148" s="1" t="s">
        <v>286</v>
      </c>
      <c r="P148">
        <v>13556674443</v>
      </c>
      <c r="Q148">
        <f t="shared" si="13"/>
        <v>10.132153166803516</v>
      </c>
      <c r="S148" s="1" t="s">
        <v>1926</v>
      </c>
      <c r="T148">
        <v>6497781151</v>
      </c>
      <c r="U148">
        <f t="shared" si="14"/>
        <v>9.812765079967777</v>
      </c>
      <c r="X148" t="s">
        <v>126</v>
      </c>
      <c r="Y148">
        <f t="shared" si="10"/>
        <v>2</v>
      </c>
      <c r="Z148">
        <f t="shared" si="11"/>
        <v>3</v>
      </c>
    </row>
    <row r="149" spans="1:26" ht="15.75">
      <c r="A149" s="1" t="s">
        <v>641</v>
      </c>
      <c r="B149" s="4" t="s">
        <v>631</v>
      </c>
      <c r="C149" s="4" t="s">
        <v>163</v>
      </c>
      <c r="D149" s="7" t="s">
        <v>641</v>
      </c>
      <c r="J149" t="s">
        <v>834</v>
      </c>
      <c r="K149">
        <f t="shared" si="12"/>
        <v>4</v>
      </c>
      <c r="O149" s="1" t="s">
        <v>444</v>
      </c>
      <c r="P149">
        <v>13536350081</v>
      </c>
      <c r="Q149">
        <f t="shared" si="13"/>
        <v>10.131501577689663</v>
      </c>
      <c r="S149" s="1" t="s">
        <v>1927</v>
      </c>
      <c r="T149">
        <v>6488727797</v>
      </c>
      <c r="U149">
        <f t="shared" si="14"/>
        <v>9.8121595558292096</v>
      </c>
      <c r="X149" t="s">
        <v>127</v>
      </c>
      <c r="Y149">
        <f t="shared" si="10"/>
        <v>2</v>
      </c>
      <c r="Z149">
        <f t="shared" si="11"/>
        <v>3</v>
      </c>
    </row>
    <row r="150" spans="1:26" ht="15.75">
      <c r="A150" s="1" t="s">
        <v>454</v>
      </c>
      <c r="B150" s="4" t="s">
        <v>347</v>
      </c>
      <c r="C150" s="4" t="s">
        <v>382</v>
      </c>
      <c r="D150" s="7" t="s">
        <v>111</v>
      </c>
      <c r="J150" t="s">
        <v>884</v>
      </c>
      <c r="K150">
        <f t="shared" si="12"/>
        <v>4</v>
      </c>
      <c r="O150" s="1" t="s">
        <v>164</v>
      </c>
      <c r="P150">
        <v>13440050156</v>
      </c>
      <c r="Q150">
        <f t="shared" si="13"/>
        <v>10.128400889434577</v>
      </c>
      <c r="S150" s="1" t="s">
        <v>1928</v>
      </c>
      <c r="T150">
        <v>6455765345</v>
      </c>
      <c r="U150">
        <f t="shared" si="14"/>
        <v>9.8099477362084784</v>
      </c>
      <c r="X150" t="s">
        <v>128</v>
      </c>
      <c r="Y150">
        <f t="shared" si="10"/>
        <v>2</v>
      </c>
      <c r="Z150">
        <f t="shared" si="11"/>
        <v>2</v>
      </c>
    </row>
    <row r="151" spans="1:26" ht="15.75">
      <c r="A151" s="1" t="s">
        <v>642</v>
      </c>
      <c r="B151" s="4" t="s">
        <v>168</v>
      </c>
      <c r="C151" s="4" t="s">
        <v>378</v>
      </c>
      <c r="D151" s="7" t="s">
        <v>642</v>
      </c>
      <c r="J151" t="s">
        <v>111</v>
      </c>
      <c r="K151">
        <f t="shared" si="12"/>
        <v>4</v>
      </c>
      <c r="O151" s="1" t="s">
        <v>160</v>
      </c>
      <c r="P151">
        <v>13356752941</v>
      </c>
      <c r="Q151">
        <f t="shared" si="13"/>
        <v>10.125700892929849</v>
      </c>
      <c r="S151" s="1" t="s">
        <v>1929</v>
      </c>
      <c r="T151">
        <v>6448696005</v>
      </c>
      <c r="U151">
        <f t="shared" si="14"/>
        <v>9.8094719045442886</v>
      </c>
      <c r="X151" t="s">
        <v>129</v>
      </c>
      <c r="Y151">
        <f t="shared" si="10"/>
        <v>3</v>
      </c>
      <c r="Z151">
        <f t="shared" si="11"/>
        <v>3</v>
      </c>
    </row>
    <row r="152" spans="1:26" ht="15.75">
      <c r="A152" s="1" t="s">
        <v>111</v>
      </c>
      <c r="B152" s="4" t="s">
        <v>493</v>
      </c>
      <c r="C152" s="4" t="s">
        <v>761</v>
      </c>
      <c r="D152" s="7" t="s">
        <v>633</v>
      </c>
      <c r="J152" t="s">
        <v>848</v>
      </c>
      <c r="K152">
        <f t="shared" si="12"/>
        <v>4</v>
      </c>
      <c r="O152" s="1" t="s">
        <v>179</v>
      </c>
      <c r="P152">
        <v>13171357353</v>
      </c>
      <c r="Q152">
        <f t="shared" si="13"/>
        <v>10.119630532785804</v>
      </c>
      <c r="S152" s="1" t="s">
        <v>1930</v>
      </c>
      <c r="T152">
        <v>6448143573</v>
      </c>
      <c r="U152">
        <f t="shared" si="14"/>
        <v>9.8094346988137016</v>
      </c>
      <c r="X152" t="s">
        <v>130</v>
      </c>
      <c r="Y152">
        <f t="shared" si="10"/>
        <v>1</v>
      </c>
      <c r="Z152">
        <f t="shared" si="11"/>
        <v>2</v>
      </c>
    </row>
    <row r="153" spans="1:26" ht="15.75">
      <c r="A153" s="1" t="s">
        <v>466</v>
      </c>
      <c r="B153" s="4" t="s">
        <v>477</v>
      </c>
      <c r="C153" s="4" t="s">
        <v>645</v>
      </c>
      <c r="D153" s="7" t="s">
        <v>466</v>
      </c>
      <c r="J153" t="s">
        <v>764</v>
      </c>
      <c r="K153">
        <f t="shared" si="12"/>
        <v>4</v>
      </c>
      <c r="O153" s="1" t="s">
        <v>33</v>
      </c>
      <c r="P153">
        <v>12702579090</v>
      </c>
      <c r="Q153">
        <f t="shared" si="13"/>
        <v>10.103891907636152</v>
      </c>
      <c r="S153" s="1" t="s">
        <v>1931</v>
      </c>
      <c r="T153">
        <v>6402422147</v>
      </c>
      <c r="U153">
        <f t="shared" si="14"/>
        <v>9.8063443061824245</v>
      </c>
      <c r="X153" t="s">
        <v>1985</v>
      </c>
      <c r="Y153">
        <f t="shared" si="10"/>
        <v>2</v>
      </c>
      <c r="Z153">
        <f t="shared" si="11"/>
        <v>3</v>
      </c>
    </row>
    <row r="154" spans="1:26" ht="15.75">
      <c r="A154" s="1" t="s">
        <v>531</v>
      </c>
      <c r="B154" s="4" t="s">
        <v>571</v>
      </c>
      <c r="C154" s="4" t="s">
        <v>352</v>
      </c>
      <c r="D154" s="7" t="s">
        <v>531</v>
      </c>
      <c r="J154" t="s">
        <v>112</v>
      </c>
      <c r="K154">
        <f t="shared" si="12"/>
        <v>4</v>
      </c>
      <c r="O154" s="1" t="s">
        <v>123</v>
      </c>
      <c r="P154">
        <v>12666048968</v>
      </c>
      <c r="Q154">
        <f t="shared" si="13"/>
        <v>10.102641162713176</v>
      </c>
      <c r="S154" s="1" t="s">
        <v>1932</v>
      </c>
      <c r="T154">
        <v>6395194174</v>
      </c>
      <c r="U154">
        <f t="shared" si="14"/>
        <v>9.8058537352754236</v>
      </c>
      <c r="X154" t="s">
        <v>131</v>
      </c>
      <c r="Y154">
        <f t="shared" si="10"/>
        <v>1</v>
      </c>
      <c r="Z154">
        <f t="shared" si="11"/>
        <v>2</v>
      </c>
    </row>
    <row r="155" spans="1:26" ht="15.75">
      <c r="A155" s="1" t="s">
        <v>584</v>
      </c>
      <c r="B155" s="4" t="s">
        <v>632</v>
      </c>
      <c r="C155" s="4" t="s">
        <v>598</v>
      </c>
      <c r="D155" s="7" t="s">
        <v>584</v>
      </c>
      <c r="J155" t="s">
        <v>121</v>
      </c>
      <c r="K155">
        <f t="shared" si="12"/>
        <v>4</v>
      </c>
      <c r="O155" s="1" t="s">
        <v>267</v>
      </c>
      <c r="P155">
        <v>12631807015</v>
      </c>
      <c r="Q155">
        <f t="shared" si="13"/>
        <v>10.101465482028672</v>
      </c>
      <c r="S155" s="1" t="s">
        <v>1933</v>
      </c>
      <c r="T155">
        <v>6379227540</v>
      </c>
      <c r="U155">
        <f t="shared" si="14"/>
        <v>9.8047680932311945</v>
      </c>
      <c r="X155" t="s">
        <v>132</v>
      </c>
      <c r="Y155">
        <f t="shared" si="10"/>
        <v>1</v>
      </c>
      <c r="Z155">
        <f t="shared" si="11"/>
        <v>2</v>
      </c>
    </row>
    <row r="156" spans="1:26" ht="15.75">
      <c r="A156" s="1" t="s">
        <v>643</v>
      </c>
      <c r="B156" s="4" t="s">
        <v>811</v>
      </c>
      <c r="C156" s="4" t="s">
        <v>638</v>
      </c>
      <c r="D156" s="7" t="s">
        <v>643</v>
      </c>
      <c r="J156" t="s">
        <v>913</v>
      </c>
      <c r="K156">
        <f t="shared" si="12"/>
        <v>4</v>
      </c>
      <c r="O156" s="1" t="s">
        <v>592</v>
      </c>
      <c r="P156">
        <v>12042164275</v>
      </c>
      <c r="Q156">
        <f t="shared" si="13"/>
        <v>10.080704547405208</v>
      </c>
      <c r="S156" s="1" t="s">
        <v>1934</v>
      </c>
      <c r="T156">
        <v>6375179963</v>
      </c>
      <c r="U156">
        <f t="shared" si="14"/>
        <v>9.8044924488447691</v>
      </c>
      <c r="X156" t="s">
        <v>133</v>
      </c>
      <c r="Y156">
        <f t="shared" si="10"/>
        <v>2</v>
      </c>
      <c r="Z156">
        <f t="shared" si="11"/>
        <v>2</v>
      </c>
    </row>
    <row r="157" spans="1:26" ht="15.75">
      <c r="A157" s="1" t="s">
        <v>590</v>
      </c>
      <c r="B157" s="4" t="s">
        <v>531</v>
      </c>
      <c r="C157" s="4" t="s">
        <v>355</v>
      </c>
      <c r="D157" s="7" t="s">
        <v>590</v>
      </c>
      <c r="J157" t="s">
        <v>155</v>
      </c>
      <c r="K157">
        <f t="shared" si="12"/>
        <v>4</v>
      </c>
      <c r="O157" s="1" t="s">
        <v>187</v>
      </c>
      <c r="P157">
        <v>12038664661</v>
      </c>
      <c r="Q157">
        <f t="shared" si="13"/>
        <v>10.08057831727719</v>
      </c>
      <c r="S157" s="1" t="s">
        <v>1935</v>
      </c>
      <c r="T157">
        <v>6370312621</v>
      </c>
      <c r="U157">
        <f t="shared" si="14"/>
        <v>9.8041607457174145</v>
      </c>
      <c r="X157" t="s">
        <v>1930</v>
      </c>
      <c r="Y157">
        <f t="shared" si="10"/>
        <v>3</v>
      </c>
      <c r="Z157">
        <f t="shared" si="11"/>
        <v>3</v>
      </c>
    </row>
    <row r="158" spans="1:26" ht="15.75">
      <c r="A158" s="1" t="s">
        <v>15</v>
      </c>
      <c r="B158" s="4" t="s">
        <v>1377</v>
      </c>
      <c r="C158" s="4" t="s">
        <v>679</v>
      </c>
      <c r="D158" s="7" t="s">
        <v>15</v>
      </c>
      <c r="J158" t="s">
        <v>157</v>
      </c>
      <c r="K158">
        <f t="shared" si="12"/>
        <v>4</v>
      </c>
      <c r="O158" s="1" t="s">
        <v>191</v>
      </c>
      <c r="P158">
        <v>12028253431</v>
      </c>
      <c r="Q158">
        <f t="shared" si="13"/>
        <v>10.080202569954364</v>
      </c>
      <c r="S158" s="1" t="s">
        <v>1936</v>
      </c>
      <c r="T158">
        <v>6370252546</v>
      </c>
      <c r="U158">
        <f t="shared" si="14"/>
        <v>9.8041566500998876</v>
      </c>
      <c r="X158" t="s">
        <v>134</v>
      </c>
      <c r="Y158">
        <f t="shared" si="10"/>
        <v>1</v>
      </c>
      <c r="Z158">
        <f t="shared" si="11"/>
        <v>2</v>
      </c>
    </row>
    <row r="159" spans="1:26" ht="15.75">
      <c r="A159" s="1" t="s">
        <v>644</v>
      </c>
      <c r="B159" s="4" t="s">
        <v>624</v>
      </c>
      <c r="C159" s="4" t="s">
        <v>1172</v>
      </c>
      <c r="D159" s="7" t="s">
        <v>644</v>
      </c>
      <c r="J159" t="s">
        <v>742</v>
      </c>
      <c r="K159">
        <f t="shared" si="12"/>
        <v>4</v>
      </c>
      <c r="O159" s="1" t="s">
        <v>188</v>
      </c>
      <c r="P159">
        <v>12005990636</v>
      </c>
      <c r="Q159">
        <f t="shared" si="13"/>
        <v>10.079398000294624</v>
      </c>
      <c r="S159" s="1" t="s">
        <v>726</v>
      </c>
      <c r="T159">
        <v>6369047797</v>
      </c>
      <c r="U159">
        <f t="shared" si="14"/>
        <v>9.8040745080936151</v>
      </c>
      <c r="X159" t="s">
        <v>1958</v>
      </c>
      <c r="Y159">
        <f t="shared" si="10"/>
        <v>1</v>
      </c>
      <c r="Z159">
        <f t="shared" si="11"/>
        <v>3</v>
      </c>
    </row>
    <row r="160" spans="1:26" ht="15.75">
      <c r="A160" s="1" t="s">
        <v>481</v>
      </c>
      <c r="B160" s="4" t="s">
        <v>702</v>
      </c>
      <c r="C160" s="4" t="s">
        <v>601</v>
      </c>
      <c r="D160" s="7" t="s">
        <v>481</v>
      </c>
      <c r="J160" t="s">
        <v>871</v>
      </c>
      <c r="K160">
        <f t="shared" si="12"/>
        <v>4</v>
      </c>
      <c r="O160" s="1" t="s">
        <v>608</v>
      </c>
      <c r="P160">
        <v>11770868120</v>
      </c>
      <c r="Q160">
        <f t="shared" si="13"/>
        <v>10.070808493924352</v>
      </c>
      <c r="S160" s="1" t="s">
        <v>1937</v>
      </c>
      <c r="T160">
        <v>6327795380</v>
      </c>
      <c r="U160">
        <f t="shared" si="14"/>
        <v>9.8012524270677375</v>
      </c>
      <c r="X160" t="s">
        <v>1951</v>
      </c>
      <c r="Y160">
        <f t="shared" si="10"/>
        <v>1</v>
      </c>
      <c r="Z160">
        <f t="shared" si="11"/>
        <v>3</v>
      </c>
    </row>
    <row r="161" spans="1:26" ht="15.75">
      <c r="A161" s="1" t="s">
        <v>138</v>
      </c>
      <c r="B161" s="4" t="s">
        <v>185</v>
      </c>
      <c r="C161" s="4" t="s">
        <v>682</v>
      </c>
      <c r="D161" s="7" t="s">
        <v>138</v>
      </c>
      <c r="J161" t="s">
        <v>831</v>
      </c>
      <c r="K161">
        <f t="shared" si="12"/>
        <v>4</v>
      </c>
      <c r="O161" s="1" t="s">
        <v>379</v>
      </c>
      <c r="P161">
        <v>11763317241</v>
      </c>
      <c r="Q161">
        <f t="shared" si="13"/>
        <v>10.070529809521604</v>
      </c>
      <c r="S161" s="1" t="s">
        <v>1938</v>
      </c>
      <c r="T161">
        <v>6317158311</v>
      </c>
      <c r="U161">
        <f t="shared" si="14"/>
        <v>9.8005217606575812</v>
      </c>
      <c r="X161" t="s">
        <v>135</v>
      </c>
      <c r="Y161">
        <f t="shared" si="10"/>
        <v>1</v>
      </c>
      <c r="Z161">
        <f t="shared" si="11"/>
        <v>2</v>
      </c>
    </row>
    <row r="162" spans="1:26" ht="15.75">
      <c r="A162" s="1" t="s">
        <v>645</v>
      </c>
      <c r="B162" s="4" t="s">
        <v>646</v>
      </c>
      <c r="C162" s="4" t="s">
        <v>192</v>
      </c>
      <c r="D162" s="7" t="s">
        <v>645</v>
      </c>
      <c r="J162" t="s">
        <v>753</v>
      </c>
      <c r="K162">
        <f t="shared" si="12"/>
        <v>4</v>
      </c>
      <c r="O162" s="1" t="s">
        <v>75</v>
      </c>
      <c r="P162">
        <v>11632840915</v>
      </c>
      <c r="Q162">
        <f t="shared" si="13"/>
        <v>10.065685788936555</v>
      </c>
      <c r="S162" s="1" t="s">
        <v>1939</v>
      </c>
      <c r="T162">
        <v>6311394005</v>
      </c>
      <c r="U162">
        <f t="shared" si="14"/>
        <v>9.8001252929708631</v>
      </c>
      <c r="X162" t="s">
        <v>1970</v>
      </c>
      <c r="Y162">
        <f t="shared" si="10"/>
        <v>1</v>
      </c>
      <c r="Z162">
        <f t="shared" si="11"/>
        <v>3</v>
      </c>
    </row>
    <row r="163" spans="1:26" ht="15.75">
      <c r="A163" s="1" t="s">
        <v>213</v>
      </c>
      <c r="B163" s="4" t="s">
        <v>458</v>
      </c>
      <c r="C163" s="4" t="s">
        <v>454</v>
      </c>
      <c r="D163" s="7" t="s">
        <v>213</v>
      </c>
      <c r="J163" t="s">
        <v>168</v>
      </c>
      <c r="K163">
        <f t="shared" si="12"/>
        <v>4</v>
      </c>
      <c r="O163" s="1" t="s">
        <v>445</v>
      </c>
      <c r="P163">
        <v>11557521313</v>
      </c>
      <c r="Q163">
        <f t="shared" si="13"/>
        <v>10.062864702984855</v>
      </c>
      <c r="S163" s="1" t="s">
        <v>1940</v>
      </c>
      <c r="T163">
        <v>6274084817</v>
      </c>
      <c r="U163">
        <f t="shared" si="14"/>
        <v>9.7975503854656605</v>
      </c>
      <c r="X163" t="s">
        <v>1931</v>
      </c>
      <c r="Y163">
        <f t="shared" si="10"/>
        <v>1</v>
      </c>
      <c r="Z163">
        <f t="shared" si="11"/>
        <v>3</v>
      </c>
    </row>
    <row r="164" spans="1:26" ht="15.75">
      <c r="A164" s="1" t="s">
        <v>427</v>
      </c>
      <c r="B164" s="4" t="s">
        <v>386</v>
      </c>
      <c r="C164" s="4" t="s">
        <v>48</v>
      </c>
      <c r="D164" s="7" t="s">
        <v>427</v>
      </c>
      <c r="J164" t="s">
        <v>828</v>
      </c>
      <c r="K164">
        <f t="shared" si="12"/>
        <v>4</v>
      </c>
      <c r="O164" s="1" t="s">
        <v>56</v>
      </c>
      <c r="P164">
        <v>11550713430</v>
      </c>
      <c r="Q164">
        <f t="shared" si="13"/>
        <v>10.062608809262226</v>
      </c>
      <c r="S164" s="1" t="s">
        <v>1941</v>
      </c>
      <c r="T164">
        <v>6269566407</v>
      </c>
      <c r="U164">
        <f t="shared" si="14"/>
        <v>9.7972375067703261</v>
      </c>
      <c r="X164" t="s">
        <v>137</v>
      </c>
      <c r="Y164">
        <f t="shared" si="10"/>
        <v>2</v>
      </c>
      <c r="Z164">
        <f t="shared" si="11"/>
        <v>2</v>
      </c>
    </row>
    <row r="165" spans="1:26" ht="15.75">
      <c r="A165" s="1" t="s">
        <v>646</v>
      </c>
      <c r="B165" s="4" t="s">
        <v>481</v>
      </c>
      <c r="C165" s="4" t="s">
        <v>193</v>
      </c>
      <c r="D165" s="7" t="s">
        <v>646</v>
      </c>
      <c r="J165" t="s">
        <v>774</v>
      </c>
      <c r="K165">
        <f t="shared" si="12"/>
        <v>4</v>
      </c>
      <c r="O165" s="1" t="s">
        <v>132</v>
      </c>
      <c r="P165">
        <v>11512774220</v>
      </c>
      <c r="Q165">
        <f t="shared" si="13"/>
        <v>10.061179987683907</v>
      </c>
      <c r="S165" s="1" t="s">
        <v>1942</v>
      </c>
      <c r="T165">
        <v>6244702983</v>
      </c>
      <c r="U165">
        <f t="shared" si="14"/>
        <v>9.7955117868395813</v>
      </c>
      <c r="X165" t="s">
        <v>1954</v>
      </c>
      <c r="Y165">
        <f t="shared" si="10"/>
        <v>2</v>
      </c>
      <c r="Z165">
        <f t="shared" si="11"/>
        <v>3</v>
      </c>
    </row>
    <row r="166" spans="1:26" ht="15.75">
      <c r="A166" s="1" t="s">
        <v>647</v>
      </c>
      <c r="B166" s="4" t="s">
        <v>1858</v>
      </c>
      <c r="C166" s="4" t="s">
        <v>707</v>
      </c>
      <c r="D166" s="7" t="s">
        <v>647</v>
      </c>
      <c r="J166" t="s">
        <v>787</v>
      </c>
      <c r="K166">
        <f t="shared" si="12"/>
        <v>4</v>
      </c>
      <c r="O166" s="1" t="s">
        <v>162</v>
      </c>
      <c r="P166">
        <v>11428633961</v>
      </c>
      <c r="Q166">
        <f t="shared" si="13"/>
        <v>10.057994323251444</v>
      </c>
      <c r="S166" s="1" t="s">
        <v>1943</v>
      </c>
      <c r="T166">
        <v>6217725873</v>
      </c>
      <c r="U166">
        <f t="shared" si="14"/>
        <v>9.7936315709609882</v>
      </c>
      <c r="X166" t="s">
        <v>138</v>
      </c>
      <c r="Y166">
        <f t="shared" si="10"/>
        <v>3</v>
      </c>
      <c r="Z166">
        <f t="shared" si="11"/>
        <v>3</v>
      </c>
    </row>
    <row r="167" spans="1:26" ht="15.75">
      <c r="A167" s="1" t="s">
        <v>648</v>
      </c>
      <c r="B167" s="4" t="s">
        <v>213</v>
      </c>
      <c r="C167" s="4" t="s">
        <v>704</v>
      </c>
      <c r="D167" s="7" t="s">
        <v>648</v>
      </c>
      <c r="J167" t="s">
        <v>676</v>
      </c>
      <c r="K167">
        <f t="shared" si="12"/>
        <v>4</v>
      </c>
      <c r="O167" s="1" t="s">
        <v>189</v>
      </c>
      <c r="P167">
        <v>11021593048</v>
      </c>
      <c r="Q167">
        <f t="shared" si="13"/>
        <v>10.04224437146256</v>
      </c>
      <c r="S167" s="1" t="s">
        <v>1944</v>
      </c>
      <c r="T167">
        <v>6195368725</v>
      </c>
      <c r="U167">
        <f t="shared" si="14"/>
        <v>9.7920671590522641</v>
      </c>
      <c r="X167" t="s">
        <v>1990</v>
      </c>
      <c r="Y167">
        <f t="shared" si="10"/>
        <v>2</v>
      </c>
      <c r="Z167">
        <f t="shared" si="11"/>
        <v>3</v>
      </c>
    </row>
    <row r="168" spans="1:26" ht="15.75">
      <c r="A168" s="1" t="s">
        <v>649</v>
      </c>
      <c r="B168" s="4" t="s">
        <v>118</v>
      </c>
      <c r="C168" s="4" t="s">
        <v>669</v>
      </c>
      <c r="D168" s="7" t="s">
        <v>649</v>
      </c>
      <c r="J168" t="s">
        <v>887</v>
      </c>
      <c r="K168">
        <f t="shared" si="12"/>
        <v>4</v>
      </c>
      <c r="O168" s="1" t="s">
        <v>116</v>
      </c>
      <c r="P168">
        <v>10976756096</v>
      </c>
      <c r="Q168">
        <f t="shared" si="13"/>
        <v>10.040474014271119</v>
      </c>
      <c r="S168" s="1" t="s">
        <v>1945</v>
      </c>
      <c r="T168">
        <v>6130432182</v>
      </c>
      <c r="U168">
        <f t="shared" si="14"/>
        <v>9.7874910924044851</v>
      </c>
      <c r="X168" t="s">
        <v>744</v>
      </c>
      <c r="Y168">
        <f t="shared" si="10"/>
        <v>3</v>
      </c>
      <c r="Z168">
        <f t="shared" si="11"/>
        <v>6</v>
      </c>
    </row>
    <row r="169" spans="1:26" ht="15.75">
      <c r="A169" s="1" t="s">
        <v>7</v>
      </c>
      <c r="B169" s="4" t="s">
        <v>341</v>
      </c>
      <c r="C169" s="4" t="s">
        <v>202</v>
      </c>
      <c r="D169" s="7" t="s">
        <v>7</v>
      </c>
      <c r="J169" t="s">
        <v>173</v>
      </c>
      <c r="K169">
        <f t="shared" si="12"/>
        <v>4</v>
      </c>
      <c r="O169" s="1" t="s">
        <v>287</v>
      </c>
      <c r="P169">
        <v>10910014701</v>
      </c>
      <c r="Q169">
        <f t="shared" si="13"/>
        <v>10.037825335790805</v>
      </c>
      <c r="S169" s="1" t="s">
        <v>1946</v>
      </c>
      <c r="T169">
        <v>6092377855</v>
      </c>
      <c r="U169">
        <f t="shared" si="14"/>
        <v>9.7847868308512211</v>
      </c>
      <c r="X169" t="s">
        <v>139</v>
      </c>
      <c r="Y169">
        <f t="shared" si="10"/>
        <v>3</v>
      </c>
      <c r="Z169">
        <f t="shared" si="11"/>
        <v>3</v>
      </c>
    </row>
    <row r="170" spans="1:26" ht="15.75">
      <c r="A170" s="1" t="s">
        <v>155</v>
      </c>
      <c r="B170" s="4" t="s">
        <v>658</v>
      </c>
      <c r="C170" s="4" t="s">
        <v>754</v>
      </c>
      <c r="D170" s="7" t="s">
        <v>155</v>
      </c>
      <c r="J170" t="s">
        <v>678</v>
      </c>
      <c r="K170">
        <f t="shared" si="12"/>
        <v>4</v>
      </c>
      <c r="O170" s="1" t="s">
        <v>557</v>
      </c>
      <c r="P170">
        <v>10702575520</v>
      </c>
      <c r="Q170">
        <f t="shared" si="13"/>
        <v>10.029488301005628</v>
      </c>
      <c r="S170" s="1" t="s">
        <v>1947</v>
      </c>
      <c r="T170">
        <v>6072492710</v>
      </c>
      <c r="U170">
        <f t="shared" si="14"/>
        <v>9.783367002108923</v>
      </c>
      <c r="X170" t="s">
        <v>1493</v>
      </c>
      <c r="Y170">
        <f t="shared" si="10"/>
        <v>5</v>
      </c>
      <c r="Z170">
        <f t="shared" si="11"/>
        <v>6</v>
      </c>
    </row>
    <row r="171" spans="1:26" ht="15.75">
      <c r="A171" s="1" t="s">
        <v>650</v>
      </c>
      <c r="B171" s="4" t="s">
        <v>1859</v>
      </c>
      <c r="C171" s="4" t="s">
        <v>595</v>
      </c>
      <c r="D171" s="7" t="s">
        <v>650</v>
      </c>
      <c r="J171" t="s">
        <v>177</v>
      </c>
      <c r="K171">
        <f t="shared" si="12"/>
        <v>4</v>
      </c>
      <c r="O171" s="1" t="s">
        <v>228</v>
      </c>
      <c r="P171">
        <v>10654256107</v>
      </c>
      <c r="Q171">
        <f t="shared" si="13"/>
        <v>10.027523132144704</v>
      </c>
      <c r="S171" s="1" t="s">
        <v>1948</v>
      </c>
      <c r="T171">
        <v>6060470158</v>
      </c>
      <c r="U171">
        <f t="shared" si="14"/>
        <v>9.7825063170878419</v>
      </c>
      <c r="X171" t="s">
        <v>140</v>
      </c>
      <c r="Y171">
        <f t="shared" si="10"/>
        <v>2</v>
      </c>
      <c r="Z171">
        <f t="shared" si="11"/>
        <v>2</v>
      </c>
    </row>
    <row r="172" spans="1:26" ht="15.75">
      <c r="A172" s="1" t="s">
        <v>204</v>
      </c>
      <c r="B172" s="4" t="s">
        <v>1378</v>
      </c>
      <c r="C172" s="4" t="s">
        <v>636</v>
      </c>
      <c r="D172" s="7" t="s">
        <v>204</v>
      </c>
      <c r="J172" t="s">
        <v>178</v>
      </c>
      <c r="K172">
        <f t="shared" si="12"/>
        <v>4</v>
      </c>
      <c r="O172" s="1" t="s">
        <v>618</v>
      </c>
      <c r="P172">
        <v>10570642040</v>
      </c>
      <c r="Q172">
        <f t="shared" si="13"/>
        <v>10.024101366300904</v>
      </c>
      <c r="S172" s="1" t="s">
        <v>1949</v>
      </c>
      <c r="T172">
        <v>6014649559</v>
      </c>
      <c r="U172">
        <f t="shared" si="14"/>
        <v>9.7792103284296079</v>
      </c>
      <c r="X172" t="s">
        <v>1982</v>
      </c>
      <c r="Y172">
        <f t="shared" si="10"/>
        <v>2</v>
      </c>
      <c r="Z172">
        <f t="shared" si="11"/>
        <v>3</v>
      </c>
    </row>
    <row r="173" spans="1:26" ht="15.75">
      <c r="A173" s="1" t="s">
        <v>315</v>
      </c>
      <c r="B173" s="4" t="s">
        <v>683</v>
      </c>
      <c r="C173" s="4" t="s">
        <v>775</v>
      </c>
      <c r="D173" s="7" t="s">
        <v>315</v>
      </c>
      <c r="J173" t="s">
        <v>180</v>
      </c>
      <c r="K173">
        <f t="shared" si="12"/>
        <v>4</v>
      </c>
      <c r="O173" s="1" t="s">
        <v>219</v>
      </c>
      <c r="P173">
        <v>10529516272</v>
      </c>
      <c r="Q173">
        <f t="shared" si="13"/>
        <v>10.022408420071846</v>
      </c>
      <c r="S173" s="1" t="s">
        <v>1950</v>
      </c>
      <c r="T173">
        <v>5995557118</v>
      </c>
      <c r="U173">
        <f t="shared" si="14"/>
        <v>9.7778295447378625</v>
      </c>
      <c r="X173" t="s">
        <v>141</v>
      </c>
      <c r="Y173">
        <f t="shared" si="10"/>
        <v>1</v>
      </c>
      <c r="Z173">
        <f t="shared" si="11"/>
        <v>2</v>
      </c>
    </row>
    <row r="174" spans="1:26" ht="15.75">
      <c r="A174" s="1" t="s">
        <v>48</v>
      </c>
      <c r="B174" s="4" t="s">
        <v>653</v>
      </c>
      <c r="C174" s="4" t="s">
        <v>158</v>
      </c>
      <c r="D174" s="7" t="s">
        <v>48</v>
      </c>
      <c r="J174" t="s">
        <v>182</v>
      </c>
      <c r="K174">
        <f t="shared" si="12"/>
        <v>4</v>
      </c>
      <c r="O174" s="1" t="s">
        <v>117</v>
      </c>
      <c r="P174">
        <v>10242237496</v>
      </c>
      <c r="Q174">
        <f t="shared" si="13"/>
        <v>10.010394841993049</v>
      </c>
      <c r="S174" s="1" t="s">
        <v>1951</v>
      </c>
      <c r="T174">
        <v>5986380502</v>
      </c>
      <c r="U174">
        <f t="shared" si="14"/>
        <v>9.7771643176941314</v>
      </c>
      <c r="X174" t="s">
        <v>142</v>
      </c>
      <c r="Y174">
        <f t="shared" si="10"/>
        <v>2</v>
      </c>
      <c r="Z174">
        <f t="shared" si="11"/>
        <v>2</v>
      </c>
    </row>
    <row r="175" spans="1:26" ht="15.75">
      <c r="A175" s="1" t="s">
        <v>207</v>
      </c>
      <c r="B175" s="4" t="s">
        <v>607</v>
      </c>
      <c r="C175" s="4" t="s">
        <v>688</v>
      </c>
      <c r="D175" s="7" t="s">
        <v>207</v>
      </c>
      <c r="J175" t="s">
        <v>746</v>
      </c>
      <c r="K175">
        <f t="shared" si="12"/>
        <v>4</v>
      </c>
      <c r="O175" s="1" t="s">
        <v>575</v>
      </c>
      <c r="P175">
        <v>10061548421</v>
      </c>
      <c r="Q175">
        <f t="shared" si="13"/>
        <v>10.002664821569651</v>
      </c>
      <c r="S175" s="1" t="s">
        <v>1952</v>
      </c>
      <c r="T175">
        <v>5983848823</v>
      </c>
      <c r="U175">
        <f t="shared" si="14"/>
        <v>9.7769806129034897</v>
      </c>
      <c r="X175" t="s">
        <v>143</v>
      </c>
      <c r="Y175">
        <f t="shared" si="10"/>
        <v>2</v>
      </c>
      <c r="Z175">
        <f t="shared" si="11"/>
        <v>3</v>
      </c>
    </row>
    <row r="176" spans="1:26" ht="15.75">
      <c r="A176" s="1" t="s">
        <v>502</v>
      </c>
      <c r="B176" s="4" t="s">
        <v>1379</v>
      </c>
      <c r="C176" s="4" t="s">
        <v>646</v>
      </c>
      <c r="D176" s="7" t="s">
        <v>502</v>
      </c>
      <c r="J176" t="s">
        <v>632</v>
      </c>
      <c r="K176">
        <f t="shared" si="12"/>
        <v>4</v>
      </c>
      <c r="O176" s="1" t="s">
        <v>561</v>
      </c>
      <c r="P176">
        <v>10007053570</v>
      </c>
      <c r="Q176">
        <f t="shared" si="13"/>
        <v>10.000306224666707</v>
      </c>
      <c r="S176" s="1" t="s">
        <v>1953</v>
      </c>
      <c r="T176">
        <v>5977899885</v>
      </c>
      <c r="U176">
        <f t="shared" si="14"/>
        <v>9.7765486374084904</v>
      </c>
      <c r="X176" t="s">
        <v>144</v>
      </c>
      <c r="Y176">
        <f t="shared" si="10"/>
        <v>2</v>
      </c>
      <c r="Z176">
        <f t="shared" si="11"/>
        <v>3</v>
      </c>
    </row>
    <row r="177" spans="1:26" ht="15.75">
      <c r="A177" s="1" t="s">
        <v>651</v>
      </c>
      <c r="B177" s="4" t="s">
        <v>821</v>
      </c>
      <c r="C177" s="4" t="s">
        <v>689</v>
      </c>
      <c r="D177" s="7" t="s">
        <v>651</v>
      </c>
      <c r="J177" t="s">
        <v>190</v>
      </c>
      <c r="K177">
        <f t="shared" si="12"/>
        <v>4</v>
      </c>
      <c r="O177" s="1"/>
      <c r="S177" s="1" t="s">
        <v>1954</v>
      </c>
      <c r="T177">
        <v>5973938086</v>
      </c>
      <c r="U177">
        <f t="shared" si="14"/>
        <v>9.7762607172557416</v>
      </c>
      <c r="X177" t="s">
        <v>145</v>
      </c>
      <c r="Y177">
        <f t="shared" si="10"/>
        <v>3</v>
      </c>
      <c r="Z177">
        <f t="shared" si="11"/>
        <v>3</v>
      </c>
    </row>
    <row r="178" spans="1:26" ht="15.75">
      <c r="A178" s="1" t="s">
        <v>5</v>
      </c>
      <c r="B178" s="4" t="s">
        <v>698</v>
      </c>
      <c r="C178" s="4" t="s">
        <v>1858</v>
      </c>
      <c r="D178" s="7" t="s">
        <v>5</v>
      </c>
      <c r="J178" t="s">
        <v>772</v>
      </c>
      <c r="K178">
        <f t="shared" si="12"/>
        <v>4</v>
      </c>
      <c r="O178" s="1"/>
      <c r="S178" s="1" t="s">
        <v>1955</v>
      </c>
      <c r="T178">
        <v>5966350848</v>
      </c>
      <c r="U178">
        <f t="shared" si="14"/>
        <v>9.7757087882265541</v>
      </c>
      <c r="X178" t="s">
        <v>146</v>
      </c>
      <c r="Y178">
        <f t="shared" si="10"/>
        <v>3</v>
      </c>
      <c r="Z178">
        <f t="shared" si="11"/>
        <v>3</v>
      </c>
    </row>
    <row r="179" spans="1:26" ht="15.75">
      <c r="A179" s="1" t="s">
        <v>601</v>
      </c>
      <c r="B179" s="4" t="s">
        <v>111</v>
      </c>
      <c r="C179" s="4" t="s">
        <v>473</v>
      </c>
      <c r="D179" s="7" t="s">
        <v>601</v>
      </c>
      <c r="J179" t="s">
        <v>646</v>
      </c>
      <c r="K179">
        <f t="shared" si="12"/>
        <v>4</v>
      </c>
      <c r="O179" s="1"/>
      <c r="S179" s="1" t="s">
        <v>1956</v>
      </c>
      <c r="T179">
        <v>5939891775</v>
      </c>
      <c r="U179">
        <f t="shared" si="14"/>
        <v>9.7737785321952533</v>
      </c>
      <c r="X179" t="s">
        <v>1909</v>
      </c>
      <c r="Y179">
        <f t="shared" si="10"/>
        <v>3</v>
      </c>
      <c r="Z179">
        <f t="shared" si="11"/>
        <v>3</v>
      </c>
    </row>
    <row r="180" spans="1:26" ht="15.75">
      <c r="A180" s="1" t="s">
        <v>652</v>
      </c>
      <c r="B180" s="4" t="s">
        <v>708</v>
      </c>
      <c r="C180" s="4" t="s">
        <v>386</v>
      </c>
      <c r="D180" s="7" t="s">
        <v>652</v>
      </c>
      <c r="J180" t="s">
        <v>687</v>
      </c>
      <c r="K180">
        <f t="shared" si="12"/>
        <v>4</v>
      </c>
      <c r="O180" s="1"/>
      <c r="S180" s="1" t="s">
        <v>1957</v>
      </c>
      <c r="T180">
        <v>5912788121</v>
      </c>
      <c r="U180">
        <f t="shared" si="14"/>
        <v>9.7717923167584164</v>
      </c>
      <c r="X180" t="s">
        <v>1952</v>
      </c>
      <c r="Y180">
        <f t="shared" si="10"/>
        <v>2</v>
      </c>
      <c r="Z180">
        <f t="shared" si="11"/>
        <v>3</v>
      </c>
    </row>
    <row r="181" spans="1:26" ht="15.75">
      <c r="A181" s="1" t="s">
        <v>303</v>
      </c>
      <c r="B181" s="4" t="s">
        <v>416</v>
      </c>
      <c r="C181" s="4" t="s">
        <v>1</v>
      </c>
      <c r="D181" s="7" t="s">
        <v>303</v>
      </c>
      <c r="J181" t="s">
        <v>199</v>
      </c>
      <c r="K181">
        <f t="shared" si="12"/>
        <v>4</v>
      </c>
      <c r="O181" s="1"/>
      <c r="S181" s="1" t="s">
        <v>1958</v>
      </c>
      <c r="T181">
        <v>5861110005</v>
      </c>
      <c r="U181">
        <f t="shared" si="14"/>
        <v>9.7679798725701783</v>
      </c>
      <c r="X181" t="s">
        <v>147</v>
      </c>
      <c r="Y181">
        <f t="shared" si="10"/>
        <v>2</v>
      </c>
      <c r="Z181">
        <f t="shared" si="11"/>
        <v>2</v>
      </c>
    </row>
    <row r="182" spans="1:26" ht="15.75">
      <c r="A182" s="1" t="s">
        <v>70</v>
      </c>
      <c r="B182" s="4" t="s">
        <v>564</v>
      </c>
      <c r="C182" s="4" t="s">
        <v>811</v>
      </c>
      <c r="D182" s="7" t="s">
        <v>70</v>
      </c>
      <c r="J182" t="s">
        <v>667</v>
      </c>
      <c r="K182">
        <f t="shared" si="12"/>
        <v>4</v>
      </c>
      <c r="O182" s="1"/>
      <c r="S182" s="1" t="s">
        <v>1959</v>
      </c>
      <c r="T182">
        <v>5853333602</v>
      </c>
      <c r="U182">
        <f t="shared" si="14"/>
        <v>9.7674032767844388</v>
      </c>
      <c r="X182" t="s">
        <v>148</v>
      </c>
      <c r="Y182">
        <f t="shared" si="10"/>
        <v>2</v>
      </c>
      <c r="Z182">
        <f t="shared" si="11"/>
        <v>3</v>
      </c>
    </row>
    <row r="183" spans="1:26" ht="15.75">
      <c r="A183" s="1" t="s">
        <v>653</v>
      </c>
      <c r="B183" s="4" t="s">
        <v>660</v>
      </c>
      <c r="C183" s="4" t="s">
        <v>396</v>
      </c>
      <c r="D183" s="7" t="s">
        <v>653</v>
      </c>
      <c r="J183" t="s">
        <v>736</v>
      </c>
      <c r="K183">
        <f t="shared" si="12"/>
        <v>4</v>
      </c>
      <c r="O183" s="1"/>
      <c r="S183" s="1" t="s">
        <v>1960</v>
      </c>
      <c r="T183">
        <v>5821419268</v>
      </c>
      <c r="U183">
        <f t="shared" si="14"/>
        <v>9.7650288789999848</v>
      </c>
      <c r="X183" t="s">
        <v>149</v>
      </c>
      <c r="Y183">
        <f t="shared" si="10"/>
        <v>2</v>
      </c>
      <c r="Z183">
        <f t="shared" si="11"/>
        <v>3</v>
      </c>
    </row>
    <row r="184" spans="1:26" ht="15.75">
      <c r="A184" s="1" t="s">
        <v>654</v>
      </c>
      <c r="B184" s="4" t="s">
        <v>138</v>
      </c>
      <c r="C184" s="4" t="s">
        <v>380</v>
      </c>
      <c r="D184" s="7" t="s">
        <v>654</v>
      </c>
      <c r="J184" t="s">
        <v>202</v>
      </c>
      <c r="K184">
        <f t="shared" si="12"/>
        <v>4</v>
      </c>
      <c r="O184" s="1"/>
      <c r="S184" s="1" t="s">
        <v>1961</v>
      </c>
      <c r="T184">
        <v>5804667004</v>
      </c>
      <c r="U184">
        <f t="shared" si="14"/>
        <v>9.763777310642487</v>
      </c>
      <c r="X184" t="s">
        <v>150</v>
      </c>
      <c r="Y184">
        <f t="shared" si="10"/>
        <v>3</v>
      </c>
      <c r="Z184">
        <f t="shared" si="11"/>
        <v>3</v>
      </c>
    </row>
    <row r="185" spans="1:26" ht="15.75">
      <c r="A185" s="1" t="s">
        <v>655</v>
      </c>
      <c r="B185" s="4" t="s">
        <v>1380</v>
      </c>
      <c r="C185" s="4" t="s">
        <v>502</v>
      </c>
      <c r="D185" s="7" t="s">
        <v>655</v>
      </c>
      <c r="J185" t="s">
        <v>204</v>
      </c>
      <c r="K185">
        <f t="shared" si="12"/>
        <v>4</v>
      </c>
      <c r="O185" s="1"/>
      <c r="S185" s="1" t="s">
        <v>1962</v>
      </c>
      <c r="T185">
        <v>5802727192</v>
      </c>
      <c r="U185">
        <f t="shared" si="14"/>
        <v>9.763632153229695</v>
      </c>
      <c r="X185" t="s">
        <v>151</v>
      </c>
      <c r="Y185">
        <f t="shared" si="10"/>
        <v>2</v>
      </c>
      <c r="Z185">
        <f t="shared" si="11"/>
        <v>2</v>
      </c>
    </row>
    <row r="186" spans="1:26" ht="15.75">
      <c r="A186" s="1" t="s">
        <v>347</v>
      </c>
      <c r="B186" s="4" t="s">
        <v>667</v>
      </c>
      <c r="C186" s="4" t="s">
        <v>658</v>
      </c>
      <c r="D186" s="7" t="s">
        <v>347</v>
      </c>
      <c r="J186" t="s">
        <v>207</v>
      </c>
      <c r="K186">
        <f t="shared" si="12"/>
        <v>4</v>
      </c>
      <c r="O186" s="1"/>
      <c r="S186" s="1" t="s">
        <v>693</v>
      </c>
      <c r="T186">
        <v>5786861403</v>
      </c>
      <c r="U186">
        <f t="shared" si="14"/>
        <v>9.7624430810099767</v>
      </c>
      <c r="X186" t="s">
        <v>152</v>
      </c>
      <c r="Y186">
        <f t="shared" si="10"/>
        <v>2</v>
      </c>
      <c r="Z186">
        <f t="shared" si="11"/>
        <v>3</v>
      </c>
    </row>
    <row r="187" spans="1:26" ht="15.75">
      <c r="A187" s="1" t="s">
        <v>324</v>
      </c>
      <c r="B187" s="4" t="s">
        <v>734</v>
      </c>
      <c r="C187" s="4" t="s">
        <v>702</v>
      </c>
      <c r="D187" s="7" t="s">
        <v>324</v>
      </c>
      <c r="J187" t="s">
        <v>791</v>
      </c>
      <c r="K187">
        <f t="shared" si="12"/>
        <v>4</v>
      </c>
      <c r="O187" s="1"/>
      <c r="S187" s="1" t="s">
        <v>1963</v>
      </c>
      <c r="T187">
        <v>5766719323</v>
      </c>
      <c r="U187">
        <f t="shared" si="14"/>
        <v>9.7609288140017227</v>
      </c>
      <c r="X187" t="s">
        <v>1989</v>
      </c>
      <c r="Y187">
        <f t="shared" si="10"/>
        <v>3</v>
      </c>
      <c r="Z187">
        <f t="shared" si="11"/>
        <v>3</v>
      </c>
    </row>
    <row r="188" spans="1:26" ht="15.75">
      <c r="A188" s="1" t="s">
        <v>217</v>
      </c>
      <c r="B188" s="4" t="s">
        <v>876</v>
      </c>
      <c r="C188" s="4" t="s">
        <v>65</v>
      </c>
      <c r="D188" s="7" t="s">
        <v>217</v>
      </c>
      <c r="J188" t="s">
        <v>213</v>
      </c>
      <c r="K188">
        <f t="shared" si="12"/>
        <v>4</v>
      </c>
      <c r="O188" s="1"/>
      <c r="S188" s="1" t="s">
        <v>1964</v>
      </c>
      <c r="T188">
        <v>5733501281</v>
      </c>
      <c r="U188">
        <f t="shared" si="14"/>
        <v>9.7584199138756649</v>
      </c>
      <c r="X188" t="s">
        <v>153</v>
      </c>
      <c r="Y188">
        <f t="shared" si="10"/>
        <v>1</v>
      </c>
      <c r="Z188">
        <f t="shared" si="11"/>
        <v>2</v>
      </c>
    </row>
    <row r="189" spans="1:26" ht="15.75">
      <c r="A189" s="1" t="s">
        <v>656</v>
      </c>
      <c r="B189" s="4" t="s">
        <v>871</v>
      </c>
      <c r="C189" s="4" t="s">
        <v>310</v>
      </c>
      <c r="D189" s="7" t="s">
        <v>656</v>
      </c>
      <c r="J189" t="s">
        <v>784</v>
      </c>
      <c r="K189">
        <f t="shared" si="12"/>
        <v>4</v>
      </c>
      <c r="O189" s="1"/>
      <c r="S189" s="1" t="s">
        <v>1965</v>
      </c>
      <c r="T189">
        <v>5724495752</v>
      </c>
      <c r="U189">
        <f t="shared" si="14"/>
        <v>9.7577372374278735</v>
      </c>
      <c r="X189" t="s">
        <v>154</v>
      </c>
      <c r="Y189">
        <f t="shared" si="10"/>
        <v>1</v>
      </c>
      <c r="Z189">
        <f t="shared" si="11"/>
        <v>3</v>
      </c>
    </row>
    <row r="190" spans="1:26" ht="15.75">
      <c r="A190" s="1" t="s">
        <v>657</v>
      </c>
      <c r="B190" s="4" t="s">
        <v>1381</v>
      </c>
      <c r="C190" s="4" t="s">
        <v>855</v>
      </c>
      <c r="D190" s="7" t="s">
        <v>657</v>
      </c>
      <c r="J190" t="s">
        <v>730</v>
      </c>
      <c r="K190">
        <f t="shared" si="12"/>
        <v>4</v>
      </c>
      <c r="O190" s="1"/>
      <c r="S190" s="1" t="s">
        <v>1966</v>
      </c>
      <c r="T190">
        <v>5722840349</v>
      </c>
      <c r="U190">
        <f t="shared" si="14"/>
        <v>9.7576116304941909</v>
      </c>
      <c r="X190" t="s">
        <v>155</v>
      </c>
      <c r="Y190">
        <f t="shared" si="10"/>
        <v>2</v>
      </c>
      <c r="Z190">
        <f t="shared" si="11"/>
        <v>4</v>
      </c>
    </row>
    <row r="191" spans="1:26" ht="15.75">
      <c r="A191" s="1" t="s">
        <v>568</v>
      </c>
      <c r="B191" s="4" t="s">
        <v>324</v>
      </c>
      <c r="C191" s="4" t="s">
        <v>83</v>
      </c>
      <c r="D191" s="7" t="s">
        <v>568</v>
      </c>
      <c r="J191" t="s">
        <v>261</v>
      </c>
      <c r="K191">
        <f t="shared" si="12"/>
        <v>4</v>
      </c>
      <c r="O191" s="1"/>
      <c r="S191" s="1" t="s">
        <v>1967</v>
      </c>
      <c r="T191">
        <v>5715951078</v>
      </c>
      <c r="U191">
        <f t="shared" si="14"/>
        <v>9.7570885030710723</v>
      </c>
      <c r="X191" t="s">
        <v>157</v>
      </c>
      <c r="Y191">
        <f t="shared" si="10"/>
        <v>2</v>
      </c>
      <c r="Z191">
        <f t="shared" si="11"/>
        <v>4</v>
      </c>
    </row>
    <row r="192" spans="1:26" ht="15.75">
      <c r="A192" s="1" t="s">
        <v>658</v>
      </c>
      <c r="B192" s="4" t="s">
        <v>504</v>
      </c>
      <c r="C192" s="4" t="s">
        <v>595</v>
      </c>
      <c r="D192" s="7" t="s">
        <v>658</v>
      </c>
      <c r="J192" t="s">
        <v>679</v>
      </c>
      <c r="K192">
        <f t="shared" si="12"/>
        <v>4</v>
      </c>
      <c r="O192" s="1"/>
      <c r="S192" s="1" t="s">
        <v>1968</v>
      </c>
      <c r="T192">
        <v>5688417224</v>
      </c>
      <c r="U192">
        <f t="shared" si="14"/>
        <v>9.7549914427561077</v>
      </c>
      <c r="X192" t="s">
        <v>158</v>
      </c>
      <c r="Y192">
        <f t="shared" si="10"/>
        <v>2</v>
      </c>
      <c r="Z192">
        <f t="shared" si="11"/>
        <v>5</v>
      </c>
    </row>
    <row r="193" spans="1:26" ht="15.75">
      <c r="A193" s="1" t="s">
        <v>659</v>
      </c>
      <c r="B193" s="4" t="s">
        <v>466</v>
      </c>
      <c r="C193" s="4" t="s">
        <v>504</v>
      </c>
      <c r="D193" s="7" t="s">
        <v>659</v>
      </c>
      <c r="J193" t="s">
        <v>655</v>
      </c>
      <c r="K193">
        <f t="shared" si="12"/>
        <v>4</v>
      </c>
      <c r="O193" s="1"/>
      <c r="S193" s="1" t="s">
        <v>1969</v>
      </c>
      <c r="T193">
        <v>5668790174</v>
      </c>
      <c r="U193">
        <f t="shared" si="14"/>
        <v>9.7534903822052179</v>
      </c>
      <c r="X193" t="s">
        <v>159</v>
      </c>
      <c r="Y193">
        <f t="shared" ref="Y193:Y256" si="15">IF(ISNUMBER(FIND("e",X193)),1,0)+IF(ISNUMBER(FIND("n",X193)),1,0)+IF(ISNUMBER(FIND("t",X193)),1,0)+IF(ISNUMBER(FIND("o",X193)),1,0)+IF(ISNUMBER(FIND("r",X193)),1,0)+IF(ISNUMBER(FIND("s",X193)),1,0)+IF(ISNUMBER(FIND("d",X193)),1,0)+IF(ISNUMBER(FIND("i",X193)),1,0)</f>
        <v>1</v>
      </c>
      <c r="Z193">
        <f t="shared" ref="Z193:Z256" si="16">LEN(X193)</f>
        <v>2</v>
      </c>
    </row>
    <row r="194" spans="1:26" ht="15.75">
      <c r="A194" s="1" t="s">
        <v>660</v>
      </c>
      <c r="B194" s="4" t="s">
        <v>158</v>
      </c>
      <c r="C194" s="4" t="s">
        <v>121</v>
      </c>
      <c r="D194" s="7" t="s">
        <v>660</v>
      </c>
      <c r="J194" t="s">
        <v>778</v>
      </c>
      <c r="K194">
        <f t="shared" ref="K194:K257" si="17">LEN(J194)</f>
        <v>4</v>
      </c>
      <c r="O194" s="1"/>
      <c r="S194" s="1" t="s">
        <v>1970</v>
      </c>
      <c r="T194">
        <v>5633677134</v>
      </c>
      <c r="U194">
        <f t="shared" si="14"/>
        <v>9.7507919539489922</v>
      </c>
      <c r="X194" t="s">
        <v>160</v>
      </c>
      <c r="Y194">
        <f t="shared" si="15"/>
        <v>1</v>
      </c>
      <c r="Z194">
        <f t="shared" si="16"/>
        <v>2</v>
      </c>
    </row>
    <row r="195" spans="1:26" ht="15.75">
      <c r="A195" s="1" t="s">
        <v>661</v>
      </c>
      <c r="B195" s="4" t="s">
        <v>809</v>
      </c>
      <c r="C195" s="4" t="s">
        <v>441</v>
      </c>
      <c r="D195" s="7" t="s">
        <v>661</v>
      </c>
      <c r="J195" t="s">
        <v>264</v>
      </c>
      <c r="K195">
        <f t="shared" si="17"/>
        <v>4</v>
      </c>
      <c r="O195" s="1"/>
      <c r="S195" s="1" t="s">
        <v>1971</v>
      </c>
      <c r="T195">
        <v>5565221840</v>
      </c>
      <c r="U195">
        <f t="shared" ref="U195:U225" si="18">LOG(T195)</f>
        <v>9.7454824807942888</v>
      </c>
      <c r="X195" t="s">
        <v>680</v>
      </c>
      <c r="Y195">
        <f t="shared" si="15"/>
        <v>1</v>
      </c>
      <c r="Z195">
        <f t="shared" si="16"/>
        <v>3</v>
      </c>
    </row>
    <row r="196" spans="1:26" ht="15.75">
      <c r="A196" s="1" t="s">
        <v>611</v>
      </c>
      <c r="B196" s="4" t="s">
        <v>645</v>
      </c>
      <c r="C196" s="4" t="s">
        <v>414</v>
      </c>
      <c r="D196" s="7" t="s">
        <v>611</v>
      </c>
      <c r="J196" t="s">
        <v>650</v>
      </c>
      <c r="K196">
        <f t="shared" si="17"/>
        <v>4</v>
      </c>
      <c r="O196" s="1"/>
      <c r="S196" s="1" t="s">
        <v>1972</v>
      </c>
      <c r="T196">
        <v>5557391188</v>
      </c>
      <c r="U196">
        <f t="shared" si="18"/>
        <v>9.7448709681026884</v>
      </c>
      <c r="X196" t="s">
        <v>162</v>
      </c>
      <c r="Y196">
        <f t="shared" si="15"/>
        <v>0</v>
      </c>
      <c r="Z196">
        <f t="shared" si="16"/>
        <v>2</v>
      </c>
    </row>
    <row r="197" spans="1:26" ht="15.75">
      <c r="A197" s="1" t="s">
        <v>662</v>
      </c>
      <c r="B197" s="4" t="s">
        <v>173</v>
      </c>
      <c r="C197" s="4" t="s">
        <v>736</v>
      </c>
      <c r="D197" s="7" t="s">
        <v>662</v>
      </c>
      <c r="J197" t="s">
        <v>266</v>
      </c>
      <c r="K197">
        <f t="shared" si="17"/>
        <v>4</v>
      </c>
      <c r="O197" s="1"/>
      <c r="S197" s="1" t="s">
        <v>1973</v>
      </c>
      <c r="T197">
        <v>5545389093</v>
      </c>
      <c r="U197">
        <f t="shared" si="18"/>
        <v>9.743932023887238</v>
      </c>
      <c r="X197" t="s">
        <v>742</v>
      </c>
      <c r="Y197">
        <f t="shared" si="15"/>
        <v>1</v>
      </c>
      <c r="Z197">
        <f t="shared" si="16"/>
        <v>4</v>
      </c>
    </row>
    <row r="198" spans="1:26" ht="15.75">
      <c r="A198" s="1" t="s">
        <v>663</v>
      </c>
      <c r="B198" s="4" t="s">
        <v>586</v>
      </c>
      <c r="C198" s="4" t="s">
        <v>482</v>
      </c>
      <c r="D198" s="7" t="s">
        <v>663</v>
      </c>
      <c r="J198" t="s">
        <v>696</v>
      </c>
      <c r="K198">
        <f t="shared" si="17"/>
        <v>4</v>
      </c>
      <c r="O198" s="1"/>
      <c r="S198" s="1" t="s">
        <v>1974</v>
      </c>
      <c r="T198">
        <v>5532909018</v>
      </c>
      <c r="U198">
        <f t="shared" si="18"/>
        <v>9.7429535288251365</v>
      </c>
      <c r="X198" t="s">
        <v>871</v>
      </c>
      <c r="Y198">
        <f t="shared" si="15"/>
        <v>1</v>
      </c>
      <c r="Z198">
        <f t="shared" si="16"/>
        <v>4</v>
      </c>
    </row>
    <row r="199" spans="1:26" ht="15.75">
      <c r="A199" s="1" t="s">
        <v>664</v>
      </c>
      <c r="B199" s="4" t="s">
        <v>724</v>
      </c>
      <c r="C199" s="4" t="s">
        <v>768</v>
      </c>
      <c r="D199" s="7" t="s">
        <v>664</v>
      </c>
      <c r="J199" t="s">
        <v>832</v>
      </c>
      <c r="K199">
        <f t="shared" si="17"/>
        <v>4</v>
      </c>
      <c r="O199" s="1"/>
      <c r="S199" s="1" t="s">
        <v>1975</v>
      </c>
      <c r="T199">
        <v>5531098938</v>
      </c>
      <c r="U199">
        <f t="shared" si="18"/>
        <v>9.7428114270179176</v>
      </c>
      <c r="X199" t="s">
        <v>831</v>
      </c>
      <c r="Y199">
        <f t="shared" si="15"/>
        <v>0</v>
      </c>
      <c r="Z199">
        <f t="shared" si="16"/>
        <v>4</v>
      </c>
    </row>
    <row r="200" spans="1:26" ht="15.75">
      <c r="A200" s="1" t="s">
        <v>665</v>
      </c>
      <c r="B200" s="4" t="s">
        <v>414</v>
      </c>
      <c r="C200" s="4" t="s">
        <v>118</v>
      </c>
      <c r="D200" s="7" t="s">
        <v>665</v>
      </c>
      <c r="J200" t="s">
        <v>695</v>
      </c>
      <c r="K200">
        <f t="shared" si="17"/>
        <v>4</v>
      </c>
      <c r="O200" s="1"/>
      <c r="S200" s="1" t="s">
        <v>1976</v>
      </c>
      <c r="T200">
        <v>5507276734</v>
      </c>
      <c r="U200">
        <f t="shared" si="18"/>
        <v>9.7409368998024295</v>
      </c>
      <c r="X200" t="s">
        <v>692</v>
      </c>
      <c r="Y200">
        <f t="shared" si="15"/>
        <v>1</v>
      </c>
      <c r="Z200">
        <f t="shared" si="16"/>
        <v>3</v>
      </c>
    </row>
    <row r="201" spans="1:26" ht="15.75">
      <c r="A201" s="1" t="s">
        <v>666</v>
      </c>
      <c r="B201" s="4" t="s">
        <v>923</v>
      </c>
      <c r="C201" s="4" t="s">
        <v>610</v>
      </c>
      <c r="D201" s="7" t="s">
        <v>666</v>
      </c>
      <c r="J201" t="s">
        <v>802</v>
      </c>
      <c r="K201">
        <f t="shared" si="17"/>
        <v>4</v>
      </c>
      <c r="O201" s="1"/>
      <c r="S201" s="1" t="s">
        <v>1977</v>
      </c>
      <c r="T201">
        <v>5502597527</v>
      </c>
      <c r="U201">
        <f t="shared" si="18"/>
        <v>9.7405677486470275</v>
      </c>
      <c r="X201" t="s">
        <v>164</v>
      </c>
      <c r="Y201">
        <f t="shared" si="15"/>
        <v>1</v>
      </c>
      <c r="Z201">
        <f t="shared" si="16"/>
        <v>2</v>
      </c>
    </row>
    <row r="202" spans="1:26" ht="15.75">
      <c r="A202" s="1" t="s">
        <v>667</v>
      </c>
      <c r="B202" s="4" t="s">
        <v>1382</v>
      </c>
      <c r="C202" s="4" t="s">
        <v>644</v>
      </c>
      <c r="D202" s="7" t="s">
        <v>667</v>
      </c>
      <c r="J202" t="s">
        <v>271</v>
      </c>
      <c r="K202">
        <f t="shared" si="17"/>
        <v>4</v>
      </c>
      <c r="O202" s="1"/>
      <c r="S202" s="1" t="s">
        <v>1978</v>
      </c>
      <c r="T202">
        <v>5491331558</v>
      </c>
      <c r="U202">
        <f t="shared" si="18"/>
        <v>9.7396776665217395</v>
      </c>
      <c r="X202" t="s">
        <v>753</v>
      </c>
      <c r="Y202">
        <f t="shared" si="15"/>
        <v>1</v>
      </c>
      <c r="Z202">
        <f t="shared" si="16"/>
        <v>4</v>
      </c>
    </row>
    <row r="203" spans="1:26" ht="15.75">
      <c r="A203" s="1" t="s">
        <v>668</v>
      </c>
      <c r="B203" s="4" t="s">
        <v>623</v>
      </c>
      <c r="C203" s="4" t="s">
        <v>1382</v>
      </c>
      <c r="D203" s="7" t="s">
        <v>668</v>
      </c>
      <c r="J203" t="s">
        <v>272</v>
      </c>
      <c r="K203">
        <f t="shared" si="17"/>
        <v>4</v>
      </c>
      <c r="O203" s="1"/>
      <c r="S203" s="1" t="s">
        <v>1979</v>
      </c>
      <c r="T203">
        <v>5441192075</v>
      </c>
      <c r="U203">
        <f t="shared" si="18"/>
        <v>9.7356940568451211</v>
      </c>
      <c r="X203" t="s">
        <v>702</v>
      </c>
      <c r="Y203">
        <f t="shared" si="15"/>
        <v>1</v>
      </c>
      <c r="Z203">
        <f t="shared" si="16"/>
        <v>3</v>
      </c>
    </row>
    <row r="204" spans="1:26" ht="15.75">
      <c r="A204" s="1" t="s">
        <v>382</v>
      </c>
      <c r="B204" s="4" t="s">
        <v>777</v>
      </c>
      <c r="C204" s="4" t="s">
        <v>697</v>
      </c>
      <c r="D204" s="7" t="s">
        <v>382</v>
      </c>
      <c r="J204" t="s">
        <v>274</v>
      </c>
      <c r="K204">
        <f t="shared" si="17"/>
        <v>4</v>
      </c>
      <c r="O204" s="1"/>
      <c r="S204" s="1" t="s">
        <v>1980</v>
      </c>
      <c r="T204">
        <v>5399280917</v>
      </c>
      <c r="U204">
        <f t="shared" si="18"/>
        <v>9.7323359237907745</v>
      </c>
      <c r="X204" t="s">
        <v>166</v>
      </c>
      <c r="Y204">
        <f t="shared" si="15"/>
        <v>1</v>
      </c>
      <c r="Z204">
        <f t="shared" si="16"/>
        <v>2</v>
      </c>
    </row>
    <row r="205" spans="1:26" ht="15.75">
      <c r="A205" s="1" t="s">
        <v>384</v>
      </c>
      <c r="B205" s="4" t="s">
        <v>894</v>
      </c>
      <c r="C205" s="4" t="s">
        <v>481</v>
      </c>
      <c r="D205" s="7" t="s">
        <v>384</v>
      </c>
      <c r="J205" t="s">
        <v>277</v>
      </c>
      <c r="K205">
        <f t="shared" si="17"/>
        <v>4</v>
      </c>
      <c r="O205" s="1"/>
      <c r="S205" s="1" t="s">
        <v>1981</v>
      </c>
      <c r="T205">
        <v>5387244363</v>
      </c>
      <c r="U205">
        <f t="shared" si="18"/>
        <v>9.7313666753966217</v>
      </c>
      <c r="X205" t="s">
        <v>843</v>
      </c>
      <c r="Y205">
        <f t="shared" si="15"/>
        <v>3</v>
      </c>
      <c r="Z205">
        <f t="shared" si="16"/>
        <v>5</v>
      </c>
    </row>
    <row r="206" spans="1:26" ht="15.75">
      <c r="A206" s="1" t="s">
        <v>472</v>
      </c>
      <c r="B206" s="4" t="s">
        <v>193</v>
      </c>
      <c r="C206" s="4" t="s">
        <v>341</v>
      </c>
      <c r="D206" s="7" t="s">
        <v>472</v>
      </c>
      <c r="J206" t="s">
        <v>628</v>
      </c>
      <c r="K206">
        <f t="shared" si="17"/>
        <v>4</v>
      </c>
      <c r="O206" s="1"/>
      <c r="S206" s="1" t="s">
        <v>1982</v>
      </c>
      <c r="T206">
        <v>5386724990</v>
      </c>
      <c r="U206">
        <f t="shared" si="18"/>
        <v>9.731324803952452</v>
      </c>
      <c r="X206" t="s">
        <v>839</v>
      </c>
      <c r="Y206">
        <f t="shared" si="15"/>
        <v>3</v>
      </c>
      <c r="Z206">
        <f t="shared" si="16"/>
        <v>6</v>
      </c>
    </row>
    <row r="207" spans="1:26" ht="15.75">
      <c r="A207" s="1" t="s">
        <v>669</v>
      </c>
      <c r="B207" s="4" t="s">
        <v>648</v>
      </c>
      <c r="C207" s="4" t="s">
        <v>347</v>
      </c>
      <c r="D207" s="7" t="s">
        <v>669</v>
      </c>
      <c r="J207" t="s">
        <v>284</v>
      </c>
      <c r="K207">
        <f t="shared" si="17"/>
        <v>4</v>
      </c>
      <c r="O207" s="1"/>
      <c r="S207" s="1" t="s">
        <v>1983</v>
      </c>
      <c r="T207">
        <v>5384955984</v>
      </c>
      <c r="U207">
        <f t="shared" si="18"/>
        <v>9.7311821577762405</v>
      </c>
      <c r="X207" t="s">
        <v>168</v>
      </c>
      <c r="Y207">
        <f t="shared" si="15"/>
        <v>3</v>
      </c>
      <c r="Z207">
        <f t="shared" si="16"/>
        <v>4</v>
      </c>
    </row>
    <row r="208" spans="1:26" ht="15.75">
      <c r="A208" s="1" t="s">
        <v>175</v>
      </c>
      <c r="B208" s="4" t="s">
        <v>718</v>
      </c>
      <c r="C208" s="4" t="s">
        <v>713</v>
      </c>
      <c r="D208" s="7" t="s">
        <v>175</v>
      </c>
      <c r="J208" t="s">
        <v>624</v>
      </c>
      <c r="K208">
        <f t="shared" si="17"/>
        <v>4</v>
      </c>
      <c r="O208" s="1"/>
      <c r="S208" s="1" t="s">
        <v>1984</v>
      </c>
      <c r="T208">
        <v>5358834980</v>
      </c>
      <c r="U208">
        <f t="shared" si="18"/>
        <v>9.7290703835823589</v>
      </c>
      <c r="X208" t="s">
        <v>828</v>
      </c>
      <c r="Y208">
        <f t="shared" si="15"/>
        <v>3</v>
      </c>
      <c r="Z208">
        <f t="shared" si="16"/>
        <v>4</v>
      </c>
    </row>
    <row r="209" spans="1:26" ht="15.75">
      <c r="A209" s="1" t="s">
        <v>670</v>
      </c>
      <c r="B209" s="4" t="s">
        <v>713</v>
      </c>
      <c r="C209" s="4" t="s">
        <v>639</v>
      </c>
      <c r="D209" s="7" t="s">
        <v>670</v>
      </c>
      <c r="J209" t="s">
        <v>814</v>
      </c>
      <c r="K209">
        <f t="shared" si="17"/>
        <v>4</v>
      </c>
      <c r="O209" s="1"/>
      <c r="S209" s="1" t="s">
        <v>1985</v>
      </c>
      <c r="T209">
        <v>5358525566</v>
      </c>
      <c r="U209">
        <f t="shared" si="18"/>
        <v>9.729045307110912</v>
      </c>
      <c r="X209" t="s">
        <v>998</v>
      </c>
      <c r="Y209">
        <f t="shared" si="15"/>
        <v>3</v>
      </c>
      <c r="Z209">
        <f t="shared" si="16"/>
        <v>6</v>
      </c>
    </row>
    <row r="210" spans="1:26" ht="15.75">
      <c r="A210" s="1" t="s">
        <v>458</v>
      </c>
      <c r="B210" s="4" t="s">
        <v>73</v>
      </c>
      <c r="C210" s="4" t="s">
        <v>272</v>
      </c>
      <c r="D210" s="7" t="s">
        <v>458</v>
      </c>
      <c r="J210" t="s">
        <v>293</v>
      </c>
      <c r="K210">
        <f t="shared" si="17"/>
        <v>4</v>
      </c>
      <c r="O210" s="1"/>
      <c r="S210" s="1" t="s">
        <v>63</v>
      </c>
      <c r="T210">
        <v>5357500581</v>
      </c>
      <c r="U210">
        <f t="shared" si="18"/>
        <v>9.728962226811408</v>
      </c>
      <c r="X210" t="s">
        <v>774</v>
      </c>
      <c r="Y210">
        <f t="shared" si="15"/>
        <v>3</v>
      </c>
      <c r="Z210">
        <f t="shared" si="16"/>
        <v>4</v>
      </c>
    </row>
    <row r="211" spans="1:26" ht="15.75">
      <c r="A211" s="1" t="s">
        <v>671</v>
      </c>
      <c r="B211" s="4" t="s">
        <v>1383</v>
      </c>
      <c r="C211" s="4" t="s">
        <v>701</v>
      </c>
      <c r="D211" s="7" t="s">
        <v>671</v>
      </c>
      <c r="J211" t="s">
        <v>294</v>
      </c>
      <c r="K211">
        <f t="shared" si="17"/>
        <v>4</v>
      </c>
      <c r="O211" s="1"/>
      <c r="S211" s="1" t="s">
        <v>1986</v>
      </c>
      <c r="T211">
        <v>5353297143</v>
      </c>
      <c r="U211">
        <f t="shared" si="18"/>
        <v>9.7286213502363506</v>
      </c>
      <c r="X211" t="s">
        <v>169</v>
      </c>
      <c r="Y211">
        <f t="shared" si="15"/>
        <v>4</v>
      </c>
      <c r="Z211">
        <f t="shared" si="16"/>
        <v>5</v>
      </c>
    </row>
    <row r="212" spans="1:26" ht="15.75">
      <c r="A212" s="1" t="s">
        <v>672</v>
      </c>
      <c r="B212" s="4" t="s">
        <v>366</v>
      </c>
      <c r="C212" s="4" t="s">
        <v>628</v>
      </c>
      <c r="D212" s="7" t="s">
        <v>672</v>
      </c>
      <c r="J212" t="s">
        <v>296</v>
      </c>
      <c r="K212">
        <f t="shared" si="17"/>
        <v>4</v>
      </c>
      <c r="O212" s="1"/>
      <c r="S212" s="1" t="s">
        <v>1987</v>
      </c>
      <c r="T212">
        <v>5337275614</v>
      </c>
      <c r="U212">
        <f t="shared" si="18"/>
        <v>9.7273196301126976</v>
      </c>
      <c r="X212" t="s">
        <v>787</v>
      </c>
      <c r="Y212">
        <f t="shared" si="15"/>
        <v>2</v>
      </c>
      <c r="Z212">
        <f t="shared" si="16"/>
        <v>4</v>
      </c>
    </row>
    <row r="213" spans="1:26" ht="15.75">
      <c r="A213" s="1" t="s">
        <v>496</v>
      </c>
      <c r="B213" s="4" t="s">
        <v>1384</v>
      </c>
      <c r="C213" s="4" t="s">
        <v>1857</v>
      </c>
      <c r="D213" s="7" t="s">
        <v>496</v>
      </c>
      <c r="J213" t="s">
        <v>638</v>
      </c>
      <c r="K213">
        <f t="shared" si="17"/>
        <v>4</v>
      </c>
      <c r="O213" s="1"/>
      <c r="S213" s="1" t="s">
        <v>1988</v>
      </c>
      <c r="T213">
        <v>5327711206</v>
      </c>
      <c r="U213">
        <f t="shared" si="18"/>
        <v>9.7265406754265378</v>
      </c>
      <c r="X213" t="s">
        <v>170</v>
      </c>
      <c r="Y213">
        <f t="shared" si="15"/>
        <v>1</v>
      </c>
      <c r="Z213">
        <f t="shared" si="16"/>
        <v>2</v>
      </c>
    </row>
    <row r="214" spans="1:26" ht="15.75">
      <c r="A214" s="1" t="s">
        <v>673</v>
      </c>
      <c r="B214" s="4" t="s">
        <v>1385</v>
      </c>
      <c r="C214" s="4" t="s">
        <v>660</v>
      </c>
      <c r="D214" s="7" t="s">
        <v>673</v>
      </c>
      <c r="J214" t="s">
        <v>866</v>
      </c>
      <c r="K214">
        <f t="shared" si="17"/>
        <v>4</v>
      </c>
      <c r="O214" s="1"/>
      <c r="S214" s="1" t="s">
        <v>1989</v>
      </c>
      <c r="T214">
        <v>5293783627</v>
      </c>
      <c r="U214">
        <f t="shared" si="18"/>
        <v>9.7237661863948119</v>
      </c>
      <c r="X214" t="s">
        <v>651</v>
      </c>
      <c r="Y214">
        <f t="shared" si="15"/>
        <v>1</v>
      </c>
      <c r="Z214">
        <f t="shared" si="16"/>
        <v>6</v>
      </c>
    </row>
    <row r="215" spans="1:26" ht="15.75">
      <c r="A215" s="1" t="s">
        <v>674</v>
      </c>
      <c r="B215" s="4" t="s">
        <v>584</v>
      </c>
      <c r="C215" s="4" t="s">
        <v>959</v>
      </c>
      <c r="D215" s="7" t="s">
        <v>674</v>
      </c>
      <c r="J215" t="s">
        <v>904</v>
      </c>
      <c r="K215">
        <f t="shared" si="17"/>
        <v>4</v>
      </c>
      <c r="O215" s="1"/>
      <c r="S215" s="1" t="s">
        <v>1990</v>
      </c>
      <c r="T215">
        <v>5291163831</v>
      </c>
      <c r="U215">
        <f t="shared" si="18"/>
        <v>9.7235512088572751</v>
      </c>
      <c r="X215" t="s">
        <v>676</v>
      </c>
      <c r="Y215">
        <f t="shared" si="15"/>
        <v>2</v>
      </c>
      <c r="Z215">
        <f t="shared" si="16"/>
        <v>4</v>
      </c>
    </row>
    <row r="216" spans="1:26" ht="15.75">
      <c r="A216" s="1" t="s">
        <v>675</v>
      </c>
      <c r="B216" s="4" t="s">
        <v>1386</v>
      </c>
      <c r="C216" s="4" t="s">
        <v>791</v>
      </c>
      <c r="D216" s="7" t="s">
        <v>675</v>
      </c>
      <c r="J216" t="s">
        <v>309</v>
      </c>
      <c r="K216">
        <f t="shared" si="17"/>
        <v>4</v>
      </c>
      <c r="O216" s="1"/>
      <c r="S216" s="1" t="s">
        <v>1991</v>
      </c>
      <c r="T216">
        <v>5277287215</v>
      </c>
      <c r="U216">
        <f t="shared" si="18"/>
        <v>9.7224107311858781</v>
      </c>
      <c r="X216" t="s">
        <v>887</v>
      </c>
      <c r="Y216">
        <f t="shared" si="15"/>
        <v>2</v>
      </c>
      <c r="Z216">
        <f t="shared" si="16"/>
        <v>4</v>
      </c>
    </row>
    <row r="217" spans="1:26" ht="15.75">
      <c r="A217" s="1" t="s">
        <v>676</v>
      </c>
      <c r="B217" s="4" t="s">
        <v>1387</v>
      </c>
      <c r="C217" s="4" t="s">
        <v>541</v>
      </c>
      <c r="D217" s="7" t="s">
        <v>676</v>
      </c>
      <c r="J217" t="s">
        <v>310</v>
      </c>
      <c r="K217">
        <f t="shared" si="17"/>
        <v>4</v>
      </c>
      <c r="O217" s="1"/>
      <c r="S217" s="1" t="s">
        <v>1992</v>
      </c>
      <c r="T217">
        <v>5271110670</v>
      </c>
      <c r="U217">
        <f t="shared" si="18"/>
        <v>9.7219021345730958</v>
      </c>
      <c r="X217" t="s">
        <v>172</v>
      </c>
      <c r="Y217">
        <f t="shared" si="15"/>
        <v>2</v>
      </c>
      <c r="Z217">
        <f t="shared" si="16"/>
        <v>3</v>
      </c>
    </row>
    <row r="218" spans="1:26" ht="15.75">
      <c r="A218" s="1" t="s">
        <v>677</v>
      </c>
      <c r="B218" s="4" t="s">
        <v>1388</v>
      </c>
      <c r="C218" s="4" t="s">
        <v>909</v>
      </c>
      <c r="D218" s="7" t="s">
        <v>677</v>
      </c>
      <c r="J218" t="s">
        <v>639</v>
      </c>
      <c r="K218">
        <f t="shared" si="17"/>
        <v>4</v>
      </c>
      <c r="O218" s="1"/>
      <c r="S218" s="1" t="s">
        <v>1993</v>
      </c>
      <c r="T218">
        <v>5264607931</v>
      </c>
      <c r="U218">
        <f t="shared" si="18"/>
        <v>9.7213660336898968</v>
      </c>
      <c r="X218" t="s">
        <v>879</v>
      </c>
      <c r="Y218">
        <f t="shared" si="15"/>
        <v>3</v>
      </c>
      <c r="Z218">
        <f t="shared" si="16"/>
        <v>5</v>
      </c>
    </row>
    <row r="219" spans="1:26" ht="15.75">
      <c r="A219" s="1" t="s">
        <v>678</v>
      </c>
      <c r="B219" s="4" t="s">
        <v>1389</v>
      </c>
      <c r="C219" s="4" t="s">
        <v>769</v>
      </c>
      <c r="D219" s="7" t="s">
        <v>678</v>
      </c>
      <c r="J219" t="s">
        <v>314</v>
      </c>
      <c r="K219">
        <f t="shared" si="17"/>
        <v>4</v>
      </c>
      <c r="O219" s="1"/>
      <c r="S219" s="1" t="s">
        <v>1994</v>
      </c>
      <c r="T219">
        <v>5248084605</v>
      </c>
      <c r="U219">
        <f t="shared" si="18"/>
        <v>9.7200008277373566</v>
      </c>
      <c r="X219" t="s">
        <v>173</v>
      </c>
      <c r="Y219">
        <f t="shared" si="15"/>
        <v>2</v>
      </c>
      <c r="Z219">
        <f t="shared" si="16"/>
        <v>4</v>
      </c>
    </row>
    <row r="220" spans="1:26" ht="15.75">
      <c r="A220" s="1" t="s">
        <v>46</v>
      </c>
      <c r="B220" s="4" t="s">
        <v>742</v>
      </c>
      <c r="C220" s="4" t="s">
        <v>328</v>
      </c>
      <c r="D220" s="7" t="s">
        <v>683</v>
      </c>
      <c r="J220" t="s">
        <v>315</v>
      </c>
      <c r="K220">
        <f t="shared" si="17"/>
        <v>4</v>
      </c>
      <c r="O220" s="1"/>
      <c r="S220" s="1" t="s">
        <v>1995</v>
      </c>
      <c r="T220">
        <v>5231381622</v>
      </c>
      <c r="U220">
        <f t="shared" si="18"/>
        <v>9.7186164023603574</v>
      </c>
      <c r="X220" t="s">
        <v>678</v>
      </c>
      <c r="Y220">
        <f t="shared" si="15"/>
        <v>2</v>
      </c>
      <c r="Z220">
        <f t="shared" si="16"/>
        <v>4</v>
      </c>
    </row>
    <row r="221" spans="1:26" ht="15.75">
      <c r="A221" s="1" t="s">
        <v>492</v>
      </c>
      <c r="B221" s="4" t="s">
        <v>692</v>
      </c>
      <c r="C221" s="4" t="s">
        <v>607</v>
      </c>
      <c r="D221" s="8" t="s">
        <v>682</v>
      </c>
      <c r="J221" t="s">
        <v>319</v>
      </c>
      <c r="K221">
        <f t="shared" si="17"/>
        <v>4</v>
      </c>
      <c r="O221" s="1"/>
      <c r="S221" s="1" t="s">
        <v>1996</v>
      </c>
      <c r="T221">
        <v>5230707353</v>
      </c>
      <c r="U221">
        <f t="shared" si="18"/>
        <v>9.7185604228505049</v>
      </c>
      <c r="X221" t="s">
        <v>176</v>
      </c>
      <c r="Y221">
        <f t="shared" si="15"/>
        <v>1</v>
      </c>
      <c r="Z221">
        <f t="shared" si="16"/>
        <v>2</v>
      </c>
    </row>
    <row r="222" spans="1:26" ht="15.75">
      <c r="A222" s="1" t="s">
        <v>679</v>
      </c>
      <c r="B222" s="4" t="s">
        <v>1390</v>
      </c>
      <c r="C222" s="4" t="s">
        <v>43</v>
      </c>
      <c r="D222" s="7" t="s">
        <v>679</v>
      </c>
      <c r="J222" t="s">
        <v>662</v>
      </c>
      <c r="K222">
        <f t="shared" si="17"/>
        <v>4</v>
      </c>
      <c r="O222" s="1"/>
      <c r="S222" s="1" t="s">
        <v>1997</v>
      </c>
      <c r="T222">
        <v>5194523830</v>
      </c>
      <c r="U222">
        <f t="shared" si="18"/>
        <v>9.7155457429458423</v>
      </c>
      <c r="X222" t="s">
        <v>177</v>
      </c>
      <c r="Y222">
        <f t="shared" si="15"/>
        <v>2</v>
      </c>
      <c r="Z222">
        <f t="shared" si="16"/>
        <v>4</v>
      </c>
    </row>
    <row r="223" spans="1:26" ht="15.75">
      <c r="A223" s="1" t="s">
        <v>680</v>
      </c>
      <c r="B223" s="4" t="s">
        <v>794</v>
      </c>
      <c r="C223" s="4" t="s">
        <v>648</v>
      </c>
      <c r="D223" s="7" t="s">
        <v>680</v>
      </c>
      <c r="J223" t="s">
        <v>324</v>
      </c>
      <c r="K223">
        <f t="shared" si="17"/>
        <v>4</v>
      </c>
      <c r="O223" s="1"/>
      <c r="S223" s="1" t="s">
        <v>1998</v>
      </c>
      <c r="T223">
        <v>5176782537</v>
      </c>
      <c r="U223">
        <f t="shared" si="18"/>
        <v>9.7140599217976682</v>
      </c>
      <c r="X223" t="s">
        <v>1934</v>
      </c>
      <c r="Y223">
        <f t="shared" si="15"/>
        <v>2</v>
      </c>
      <c r="Z223">
        <f t="shared" si="16"/>
        <v>3</v>
      </c>
    </row>
    <row r="224" spans="1:26" ht="15.75">
      <c r="A224" s="1" t="s">
        <v>681</v>
      </c>
      <c r="B224" s="4" t="s">
        <v>1391</v>
      </c>
      <c r="C224" s="4" t="s">
        <v>14</v>
      </c>
      <c r="D224" s="7" t="s">
        <v>681</v>
      </c>
      <c r="J224" t="s">
        <v>328</v>
      </c>
      <c r="K224">
        <f t="shared" si="17"/>
        <v>4</v>
      </c>
      <c r="O224" s="1"/>
      <c r="S224" s="1" t="s">
        <v>1999</v>
      </c>
      <c r="T224">
        <v>5168451640</v>
      </c>
      <c r="U224">
        <f t="shared" si="18"/>
        <v>9.7133604570360994</v>
      </c>
      <c r="X224" t="s">
        <v>178</v>
      </c>
      <c r="Y224">
        <f t="shared" si="15"/>
        <v>2</v>
      </c>
      <c r="Z224">
        <f t="shared" si="16"/>
        <v>4</v>
      </c>
    </row>
    <row r="225" spans="1:26" ht="15.75">
      <c r="A225" s="1" t="s">
        <v>266</v>
      </c>
      <c r="B225" s="4" t="s">
        <v>473</v>
      </c>
      <c r="C225" s="4" t="s">
        <v>996</v>
      </c>
      <c r="D225" s="7" t="s">
        <v>266</v>
      </c>
      <c r="J225" t="s">
        <v>836</v>
      </c>
      <c r="K225">
        <f t="shared" si="17"/>
        <v>4</v>
      </c>
      <c r="O225" s="1"/>
      <c r="S225" s="1" t="s">
        <v>2000</v>
      </c>
      <c r="T225">
        <v>5145224530</v>
      </c>
      <c r="U225">
        <f t="shared" si="18"/>
        <v>9.7114043314818037</v>
      </c>
      <c r="X225" t="s">
        <v>179</v>
      </c>
      <c r="Y225">
        <f t="shared" si="15"/>
        <v>1</v>
      </c>
      <c r="Z225">
        <f t="shared" si="16"/>
        <v>2</v>
      </c>
    </row>
    <row r="226" spans="1:26" ht="15.75">
      <c r="A226" s="1" t="s">
        <v>682</v>
      </c>
      <c r="B226" s="4" t="s">
        <v>778</v>
      </c>
      <c r="C226" s="4" t="s">
        <v>315</v>
      </c>
      <c r="D226" s="7" t="s">
        <v>764</v>
      </c>
      <c r="J226" t="s">
        <v>734</v>
      </c>
      <c r="K226">
        <f t="shared" si="17"/>
        <v>4</v>
      </c>
      <c r="O226" s="1"/>
      <c r="S226" s="1"/>
      <c r="X226" t="s">
        <v>1888</v>
      </c>
      <c r="Y226">
        <f t="shared" si="15"/>
        <v>1</v>
      </c>
      <c r="Z226">
        <f t="shared" si="16"/>
        <v>3</v>
      </c>
    </row>
    <row r="227" spans="1:26" ht="15.75">
      <c r="A227" s="1" t="s">
        <v>683</v>
      </c>
      <c r="B227" s="4" t="s">
        <v>752</v>
      </c>
      <c r="C227" s="4" t="s">
        <v>213</v>
      </c>
      <c r="D227" s="7" t="s">
        <v>46</v>
      </c>
      <c r="J227" t="s">
        <v>359</v>
      </c>
      <c r="K227">
        <f t="shared" si="17"/>
        <v>4</v>
      </c>
      <c r="O227" s="1"/>
      <c r="S227" s="1"/>
      <c r="X227" t="s">
        <v>180</v>
      </c>
      <c r="Y227">
        <f t="shared" si="15"/>
        <v>0</v>
      </c>
      <c r="Z227">
        <f t="shared" si="16"/>
        <v>4</v>
      </c>
    </row>
    <row r="228" spans="1:26" ht="15.75">
      <c r="A228" s="1" t="s">
        <v>73</v>
      </c>
      <c r="B228" s="4" t="s">
        <v>802</v>
      </c>
      <c r="C228" s="4" t="s">
        <v>563</v>
      </c>
      <c r="D228" s="7" t="s">
        <v>73</v>
      </c>
      <c r="J228" t="s">
        <v>364</v>
      </c>
      <c r="K228">
        <f t="shared" si="17"/>
        <v>4</v>
      </c>
      <c r="O228" s="1"/>
      <c r="S228" s="1"/>
      <c r="X228" t="s">
        <v>181</v>
      </c>
      <c r="Y228">
        <f t="shared" si="15"/>
        <v>0</v>
      </c>
      <c r="Z228">
        <f t="shared" si="16"/>
        <v>2</v>
      </c>
    </row>
    <row r="229" spans="1:26" ht="15.75">
      <c r="A229" s="1" t="s">
        <v>684</v>
      </c>
      <c r="B229" s="4" t="s">
        <v>701</v>
      </c>
      <c r="C229" s="4" t="s">
        <v>586</v>
      </c>
      <c r="D229" s="7" t="s">
        <v>684</v>
      </c>
      <c r="J229" t="s">
        <v>380</v>
      </c>
      <c r="K229">
        <f t="shared" si="17"/>
        <v>4</v>
      </c>
      <c r="O229" s="1"/>
      <c r="S229" s="1"/>
      <c r="X229" t="s">
        <v>182</v>
      </c>
      <c r="Y229">
        <f t="shared" si="15"/>
        <v>1</v>
      </c>
      <c r="Z229">
        <f t="shared" si="16"/>
        <v>4</v>
      </c>
    </row>
    <row r="230" spans="1:26" ht="15.75">
      <c r="A230" s="1" t="s">
        <v>685</v>
      </c>
      <c r="B230" s="4" t="s">
        <v>790</v>
      </c>
      <c r="C230" s="4" t="s">
        <v>727</v>
      </c>
      <c r="D230" s="7" t="s">
        <v>685</v>
      </c>
      <c r="J230" t="s">
        <v>386</v>
      </c>
      <c r="K230">
        <f t="shared" si="17"/>
        <v>4</v>
      </c>
      <c r="O230" s="1"/>
      <c r="S230" s="1"/>
      <c r="X230" t="s">
        <v>184</v>
      </c>
      <c r="Y230">
        <f t="shared" si="15"/>
        <v>1</v>
      </c>
      <c r="Z230">
        <f t="shared" si="16"/>
        <v>2</v>
      </c>
    </row>
    <row r="231" spans="1:26" ht="15.75">
      <c r="A231" s="1" t="s">
        <v>686</v>
      </c>
      <c r="B231" s="4" t="s">
        <v>1392</v>
      </c>
      <c r="C231" s="4" t="s">
        <v>622</v>
      </c>
      <c r="D231" s="7" t="s">
        <v>477</v>
      </c>
      <c r="J231" t="s">
        <v>779</v>
      </c>
      <c r="K231">
        <f t="shared" si="17"/>
        <v>4</v>
      </c>
      <c r="O231" s="1"/>
      <c r="S231" s="1"/>
      <c r="X231" t="s">
        <v>186</v>
      </c>
      <c r="Y231">
        <f t="shared" si="15"/>
        <v>2</v>
      </c>
      <c r="Z231">
        <f t="shared" si="16"/>
        <v>3</v>
      </c>
    </row>
    <row r="232" spans="1:26" ht="15.75">
      <c r="A232" s="1" t="s">
        <v>687</v>
      </c>
      <c r="B232" s="4" t="s">
        <v>682</v>
      </c>
      <c r="C232" s="4" t="s">
        <v>661</v>
      </c>
      <c r="D232" s="7" t="s">
        <v>687</v>
      </c>
      <c r="J232" t="s">
        <v>838</v>
      </c>
      <c r="K232">
        <f t="shared" si="17"/>
        <v>4</v>
      </c>
      <c r="O232" s="1"/>
      <c r="S232" s="1"/>
      <c r="X232" t="s">
        <v>187</v>
      </c>
      <c r="Y232">
        <f t="shared" si="15"/>
        <v>0</v>
      </c>
      <c r="Z232">
        <f t="shared" si="16"/>
        <v>2</v>
      </c>
    </row>
    <row r="233" spans="1:26" ht="15.75">
      <c r="A233" s="1" t="s">
        <v>688</v>
      </c>
      <c r="B233" s="4" t="s">
        <v>364</v>
      </c>
      <c r="C233" s="4" t="s">
        <v>25</v>
      </c>
      <c r="D233" s="7" t="s">
        <v>688</v>
      </c>
      <c r="J233" t="s">
        <v>644</v>
      </c>
      <c r="K233">
        <f t="shared" si="17"/>
        <v>4</v>
      </c>
      <c r="O233" s="1"/>
      <c r="S233" s="1"/>
      <c r="X233" t="s">
        <v>1899</v>
      </c>
      <c r="Y233">
        <f t="shared" si="15"/>
        <v>1</v>
      </c>
      <c r="Z233">
        <f t="shared" si="16"/>
        <v>3</v>
      </c>
    </row>
    <row r="234" spans="1:26" ht="15.75">
      <c r="A234" s="1" t="s">
        <v>689</v>
      </c>
      <c r="B234" s="4" t="s">
        <v>744</v>
      </c>
      <c r="C234" s="4" t="s">
        <v>1394</v>
      </c>
      <c r="D234" s="7" t="s">
        <v>689</v>
      </c>
      <c r="J234" t="s">
        <v>427</v>
      </c>
      <c r="K234">
        <f t="shared" si="17"/>
        <v>4</v>
      </c>
      <c r="O234" s="1"/>
      <c r="S234" s="1"/>
      <c r="X234" t="s">
        <v>188</v>
      </c>
      <c r="Y234">
        <f t="shared" si="15"/>
        <v>1</v>
      </c>
      <c r="Z234">
        <f t="shared" si="16"/>
        <v>2</v>
      </c>
    </row>
    <row r="235" spans="1:26" ht="15.75">
      <c r="A235" s="1" t="s">
        <v>690</v>
      </c>
      <c r="B235" s="4" t="s">
        <v>627</v>
      </c>
      <c r="C235" s="4" t="s">
        <v>308</v>
      </c>
      <c r="D235" s="7" t="s">
        <v>690</v>
      </c>
      <c r="J235" t="s">
        <v>428</v>
      </c>
      <c r="K235">
        <f t="shared" si="17"/>
        <v>4</v>
      </c>
      <c r="O235" s="1"/>
      <c r="S235" s="1"/>
      <c r="X235" t="s">
        <v>746</v>
      </c>
      <c r="Y235">
        <f t="shared" si="15"/>
        <v>2</v>
      </c>
      <c r="Z235">
        <f t="shared" si="16"/>
        <v>4</v>
      </c>
    </row>
    <row r="236" spans="1:26" ht="15.75">
      <c r="A236" s="1" t="s">
        <v>691</v>
      </c>
      <c r="B236" s="4" t="s">
        <v>65</v>
      </c>
      <c r="C236" s="4" t="s">
        <v>690</v>
      </c>
      <c r="D236" s="7" t="s">
        <v>691</v>
      </c>
      <c r="J236" t="s">
        <v>844</v>
      </c>
      <c r="K236">
        <f t="shared" si="17"/>
        <v>4</v>
      </c>
      <c r="O236" s="1"/>
      <c r="S236" s="1"/>
      <c r="X236" t="s">
        <v>632</v>
      </c>
      <c r="Y236">
        <f t="shared" si="15"/>
        <v>2</v>
      </c>
      <c r="Z236">
        <f t="shared" si="16"/>
        <v>4</v>
      </c>
    </row>
    <row r="237" spans="1:26" ht="15.75">
      <c r="A237" s="1" t="s">
        <v>692</v>
      </c>
      <c r="B237" s="4" t="s">
        <v>101</v>
      </c>
      <c r="C237" s="4" t="s">
        <v>748</v>
      </c>
      <c r="D237" s="7" t="s">
        <v>692</v>
      </c>
      <c r="J237" t="s">
        <v>818</v>
      </c>
      <c r="K237">
        <f t="shared" si="17"/>
        <v>4</v>
      </c>
      <c r="O237" s="1"/>
      <c r="S237" s="1"/>
      <c r="X237" t="s">
        <v>189</v>
      </c>
      <c r="Y237">
        <f t="shared" si="15"/>
        <v>1</v>
      </c>
      <c r="Z237">
        <f t="shared" si="16"/>
        <v>2</v>
      </c>
    </row>
    <row r="238" spans="1:26" ht="15.75">
      <c r="A238" s="1" t="s">
        <v>693</v>
      </c>
      <c r="B238" s="4" t="s">
        <v>919</v>
      </c>
      <c r="C238" s="4" t="s">
        <v>871</v>
      </c>
      <c r="D238" s="7" t="s">
        <v>693</v>
      </c>
      <c r="J238" t="s">
        <v>727</v>
      </c>
      <c r="K238">
        <f t="shared" si="17"/>
        <v>4</v>
      </c>
      <c r="O238" s="1"/>
      <c r="S238" s="1"/>
      <c r="X238" t="s">
        <v>190</v>
      </c>
      <c r="Y238">
        <f t="shared" si="15"/>
        <v>2</v>
      </c>
      <c r="Z238">
        <f t="shared" si="16"/>
        <v>4</v>
      </c>
    </row>
    <row r="239" spans="1:26" ht="15.75">
      <c r="A239" s="1" t="s">
        <v>694</v>
      </c>
      <c r="B239" s="4" t="s">
        <v>785</v>
      </c>
      <c r="C239" s="4" t="s">
        <v>995</v>
      </c>
      <c r="D239" s="7" t="s">
        <v>694</v>
      </c>
      <c r="J239" t="s">
        <v>454</v>
      </c>
      <c r="K239">
        <f t="shared" si="17"/>
        <v>4</v>
      </c>
      <c r="O239" s="1"/>
      <c r="S239" s="1"/>
      <c r="X239" t="s">
        <v>191</v>
      </c>
      <c r="Y239">
        <f t="shared" si="15"/>
        <v>1</v>
      </c>
      <c r="Z239">
        <f t="shared" si="16"/>
        <v>2</v>
      </c>
    </row>
    <row r="240" spans="1:26" ht="15.75">
      <c r="A240" s="1" t="s">
        <v>695</v>
      </c>
      <c r="B240" s="4" t="s">
        <v>875</v>
      </c>
      <c r="C240" s="4" t="s">
        <v>1412</v>
      </c>
      <c r="D240" s="7" t="s">
        <v>695</v>
      </c>
      <c r="J240" t="s">
        <v>704</v>
      </c>
      <c r="K240">
        <f t="shared" si="17"/>
        <v>4</v>
      </c>
      <c r="O240" s="1"/>
      <c r="S240" s="1"/>
      <c r="X240" t="s">
        <v>2000</v>
      </c>
      <c r="Y240">
        <f t="shared" si="15"/>
        <v>1</v>
      </c>
      <c r="Z240">
        <f t="shared" si="16"/>
        <v>3</v>
      </c>
    </row>
    <row r="241" spans="1:26" ht="15.75">
      <c r="A241" s="1" t="s">
        <v>696</v>
      </c>
      <c r="B241" s="4" t="s">
        <v>642</v>
      </c>
      <c r="C241" s="4" t="s">
        <v>1083</v>
      </c>
      <c r="D241" s="7" t="s">
        <v>696</v>
      </c>
      <c r="J241" t="s">
        <v>473</v>
      </c>
      <c r="K241">
        <f t="shared" si="17"/>
        <v>4</v>
      </c>
      <c r="O241" s="1"/>
      <c r="S241" s="1"/>
      <c r="X241" t="s">
        <v>192</v>
      </c>
      <c r="Y241">
        <f t="shared" si="15"/>
        <v>3</v>
      </c>
      <c r="Z241">
        <f t="shared" si="16"/>
        <v>5</v>
      </c>
    </row>
    <row r="242" spans="1:26" ht="15.75">
      <c r="A242" s="1" t="s">
        <v>697</v>
      </c>
      <c r="B242" s="4" t="s">
        <v>775</v>
      </c>
      <c r="C242" s="4" t="s">
        <v>441</v>
      </c>
      <c r="D242" s="7" t="s">
        <v>697</v>
      </c>
      <c r="J242" t="s">
        <v>627</v>
      </c>
      <c r="K242">
        <f t="shared" si="17"/>
        <v>4</v>
      </c>
      <c r="O242" s="1"/>
      <c r="S242" s="1"/>
      <c r="X242" t="s">
        <v>858</v>
      </c>
      <c r="Y242">
        <f t="shared" si="15"/>
        <v>3</v>
      </c>
      <c r="Z242">
        <f t="shared" si="16"/>
        <v>5</v>
      </c>
    </row>
    <row r="243" spans="1:26" ht="15.75">
      <c r="A243" s="1" t="s">
        <v>698</v>
      </c>
      <c r="B243" s="4" t="s">
        <v>808</v>
      </c>
      <c r="C243" s="4" t="s">
        <v>672</v>
      </c>
      <c r="D243" s="7" t="s">
        <v>698</v>
      </c>
      <c r="J243" t="s">
        <v>480</v>
      </c>
      <c r="K243">
        <f t="shared" si="17"/>
        <v>4</v>
      </c>
      <c r="O243" s="1"/>
      <c r="S243" s="1"/>
      <c r="X243" t="s">
        <v>793</v>
      </c>
      <c r="Y243">
        <f t="shared" si="15"/>
        <v>4</v>
      </c>
      <c r="Z243">
        <f t="shared" si="16"/>
        <v>6</v>
      </c>
    </row>
    <row r="244" spans="1:26" ht="15.75">
      <c r="A244" s="1" t="s">
        <v>598</v>
      </c>
      <c r="B244" s="4" t="s">
        <v>1393</v>
      </c>
      <c r="C244" s="4" t="s">
        <v>53</v>
      </c>
      <c r="D244" s="7" t="s">
        <v>598</v>
      </c>
      <c r="J244" t="s">
        <v>484</v>
      </c>
      <c r="K244">
        <f t="shared" si="17"/>
        <v>4</v>
      </c>
      <c r="O244" s="1"/>
      <c r="S244" s="1"/>
      <c r="X244" t="s">
        <v>193</v>
      </c>
      <c r="Y244">
        <f t="shared" si="15"/>
        <v>2</v>
      </c>
      <c r="Z244">
        <f t="shared" si="16"/>
        <v>5</v>
      </c>
    </row>
    <row r="245" spans="1:26" ht="15.75">
      <c r="A245" s="1" t="s">
        <v>699</v>
      </c>
      <c r="B245" s="4" t="s">
        <v>601</v>
      </c>
      <c r="C245" s="4" t="s">
        <v>680</v>
      </c>
      <c r="D245" s="7" t="s">
        <v>699</v>
      </c>
      <c r="J245" t="s">
        <v>756</v>
      </c>
      <c r="K245">
        <f t="shared" si="17"/>
        <v>4</v>
      </c>
      <c r="O245" s="1"/>
      <c r="S245" s="1"/>
      <c r="X245" t="s">
        <v>196</v>
      </c>
      <c r="Y245">
        <f t="shared" si="15"/>
        <v>1</v>
      </c>
      <c r="Z245">
        <f t="shared" si="16"/>
        <v>3</v>
      </c>
    </row>
    <row r="246" spans="1:26" ht="15.75">
      <c r="A246" s="1" t="s">
        <v>700</v>
      </c>
      <c r="B246" s="4" t="s">
        <v>1394</v>
      </c>
      <c r="C246" s="4" t="s">
        <v>987</v>
      </c>
      <c r="D246" s="7" t="s">
        <v>700</v>
      </c>
      <c r="J246" t="s">
        <v>877</v>
      </c>
      <c r="K246">
        <f t="shared" si="17"/>
        <v>4</v>
      </c>
      <c r="O246" s="1"/>
      <c r="S246" s="1"/>
      <c r="X246" t="s">
        <v>772</v>
      </c>
      <c r="Y246">
        <f t="shared" si="15"/>
        <v>0</v>
      </c>
      <c r="Z246">
        <f t="shared" si="16"/>
        <v>4</v>
      </c>
    </row>
    <row r="247" spans="1:26" ht="15.75">
      <c r="A247" s="1" t="s">
        <v>701</v>
      </c>
      <c r="B247" s="4" t="s">
        <v>727</v>
      </c>
      <c r="C247" s="4" t="s">
        <v>621</v>
      </c>
      <c r="D247" s="7" t="s">
        <v>701</v>
      </c>
      <c r="J247" t="s">
        <v>789</v>
      </c>
      <c r="K247">
        <f t="shared" si="17"/>
        <v>4</v>
      </c>
      <c r="O247" s="1"/>
      <c r="S247" s="1"/>
      <c r="X247" t="s">
        <v>1922</v>
      </c>
      <c r="Y247">
        <f t="shared" si="15"/>
        <v>1</v>
      </c>
      <c r="Z247">
        <f t="shared" si="16"/>
        <v>3</v>
      </c>
    </row>
    <row r="248" spans="1:26" ht="15.75">
      <c r="A248" s="1" t="s">
        <v>428</v>
      </c>
      <c r="B248" s="4" t="s">
        <v>748</v>
      </c>
      <c r="C248" s="4" t="s">
        <v>752</v>
      </c>
      <c r="D248" s="7" t="s">
        <v>428</v>
      </c>
      <c r="J248" t="s">
        <v>733</v>
      </c>
      <c r="K248">
        <f t="shared" si="17"/>
        <v>4</v>
      </c>
      <c r="O248" s="1"/>
      <c r="S248" s="1"/>
      <c r="X248" t="s">
        <v>646</v>
      </c>
      <c r="Y248">
        <f t="shared" si="15"/>
        <v>2</v>
      </c>
      <c r="Z248">
        <f t="shared" si="16"/>
        <v>4</v>
      </c>
    </row>
    <row r="249" spans="1:26" ht="15.75">
      <c r="A249" s="1" t="s">
        <v>271</v>
      </c>
      <c r="B249" s="4" t="s">
        <v>1395</v>
      </c>
      <c r="C249" s="4" t="s">
        <v>1396</v>
      </c>
      <c r="D249" s="7" t="s">
        <v>271</v>
      </c>
      <c r="J249" t="s">
        <v>502</v>
      </c>
      <c r="K249">
        <f t="shared" si="17"/>
        <v>4</v>
      </c>
      <c r="O249" s="1"/>
      <c r="S249" s="1"/>
      <c r="X249" t="s">
        <v>769</v>
      </c>
      <c r="Y249">
        <f t="shared" si="15"/>
        <v>2</v>
      </c>
      <c r="Z249">
        <f t="shared" si="16"/>
        <v>6</v>
      </c>
    </row>
    <row r="250" spans="1:26" ht="15.75">
      <c r="A250" s="1" t="s">
        <v>702</v>
      </c>
      <c r="B250" s="4" t="s">
        <v>654</v>
      </c>
      <c r="C250" s="4" t="s">
        <v>1723</v>
      </c>
      <c r="D250" s="7" t="s">
        <v>702</v>
      </c>
      <c r="J250" t="s">
        <v>739</v>
      </c>
      <c r="K250">
        <f t="shared" si="17"/>
        <v>4</v>
      </c>
      <c r="O250" s="1"/>
      <c r="S250" s="1"/>
      <c r="X250" t="s">
        <v>687</v>
      </c>
      <c r="Y250">
        <f t="shared" si="15"/>
        <v>2</v>
      </c>
      <c r="Z250">
        <f t="shared" si="16"/>
        <v>4</v>
      </c>
    </row>
    <row r="251" spans="1:26" ht="15.75">
      <c r="A251" s="1" t="s">
        <v>703</v>
      </c>
      <c r="B251" s="4" t="s">
        <v>1396</v>
      </c>
      <c r="C251" s="4" t="s">
        <v>627</v>
      </c>
      <c r="D251" s="8" t="s">
        <v>733</v>
      </c>
      <c r="J251" t="s">
        <v>507</v>
      </c>
      <c r="K251">
        <f t="shared" si="17"/>
        <v>4</v>
      </c>
      <c r="O251" s="1"/>
      <c r="S251" s="1"/>
      <c r="X251" t="s">
        <v>197</v>
      </c>
      <c r="Y251">
        <f t="shared" si="15"/>
        <v>1</v>
      </c>
      <c r="Z251">
        <f t="shared" si="16"/>
        <v>3</v>
      </c>
    </row>
    <row r="252" spans="1:26" ht="15.75">
      <c r="A252" s="1" t="s">
        <v>364</v>
      </c>
      <c r="B252" s="4" t="s">
        <v>1397</v>
      </c>
      <c r="C252" s="4" t="s">
        <v>655</v>
      </c>
      <c r="D252" s="7" t="s">
        <v>364</v>
      </c>
      <c r="J252" t="s">
        <v>754</v>
      </c>
      <c r="K252">
        <f t="shared" si="17"/>
        <v>4</v>
      </c>
      <c r="O252" s="1"/>
      <c r="S252" s="1"/>
      <c r="X252" t="s">
        <v>198</v>
      </c>
      <c r="Y252">
        <f t="shared" si="15"/>
        <v>1</v>
      </c>
      <c r="Z252">
        <f t="shared" si="16"/>
        <v>3</v>
      </c>
    </row>
    <row r="253" spans="1:26" ht="15.75">
      <c r="A253" s="1" t="s">
        <v>704</v>
      </c>
      <c r="B253" s="4" t="s">
        <v>202</v>
      </c>
      <c r="C253" s="4" t="s">
        <v>678</v>
      </c>
      <c r="D253" s="7" t="s">
        <v>704</v>
      </c>
      <c r="J253" t="s">
        <v>642</v>
      </c>
      <c r="K253">
        <f t="shared" si="17"/>
        <v>4</v>
      </c>
      <c r="O253" s="1"/>
      <c r="S253" s="1"/>
      <c r="X253" t="s">
        <v>199</v>
      </c>
      <c r="Y253">
        <f t="shared" si="15"/>
        <v>1</v>
      </c>
      <c r="Z253">
        <f t="shared" si="16"/>
        <v>4</v>
      </c>
    </row>
    <row r="254" spans="1:26" ht="15.75">
      <c r="A254" s="1" t="s">
        <v>705</v>
      </c>
      <c r="B254" s="4" t="s">
        <v>404</v>
      </c>
      <c r="C254" s="4" t="s">
        <v>667</v>
      </c>
      <c r="D254" s="7" t="s">
        <v>705</v>
      </c>
      <c r="J254" t="s">
        <v>889</v>
      </c>
      <c r="K254">
        <f t="shared" si="17"/>
        <v>4</v>
      </c>
      <c r="O254" s="1"/>
      <c r="S254" s="1"/>
      <c r="X254" t="s">
        <v>200</v>
      </c>
      <c r="Y254">
        <f t="shared" si="15"/>
        <v>1</v>
      </c>
      <c r="Z254">
        <f t="shared" si="16"/>
        <v>2</v>
      </c>
    </row>
    <row r="255" spans="1:26" ht="15.75">
      <c r="A255" s="1" t="s">
        <v>328</v>
      </c>
      <c r="B255" s="4" t="s">
        <v>669</v>
      </c>
      <c r="C255" s="4" t="s">
        <v>692</v>
      </c>
      <c r="D255" s="7" t="s">
        <v>328</v>
      </c>
      <c r="J255" t="s">
        <v>516</v>
      </c>
      <c r="K255">
        <f t="shared" si="17"/>
        <v>4</v>
      </c>
      <c r="O255" s="1"/>
      <c r="S255" s="1"/>
      <c r="X255" t="s">
        <v>1917</v>
      </c>
      <c r="Y255">
        <f t="shared" si="15"/>
        <v>1</v>
      </c>
      <c r="Z255">
        <f t="shared" si="16"/>
        <v>3</v>
      </c>
    </row>
    <row r="256" spans="1:26" ht="15.75">
      <c r="A256" s="1" t="s">
        <v>599</v>
      </c>
      <c r="B256" s="4" t="s">
        <v>328</v>
      </c>
      <c r="C256" s="4" t="s">
        <v>50</v>
      </c>
      <c r="D256" s="7" t="s">
        <v>599</v>
      </c>
      <c r="J256" t="s">
        <v>517</v>
      </c>
      <c r="K256">
        <f t="shared" si="17"/>
        <v>4</v>
      </c>
      <c r="O256" s="1"/>
      <c r="S256" s="1"/>
      <c r="X256" t="s">
        <v>667</v>
      </c>
      <c r="Y256">
        <f t="shared" si="15"/>
        <v>2</v>
      </c>
      <c r="Z256">
        <f t="shared" si="16"/>
        <v>4</v>
      </c>
    </row>
    <row r="257" spans="1:26" ht="15.75">
      <c r="A257" s="1" t="s">
        <v>706</v>
      </c>
      <c r="B257" s="4" t="s">
        <v>1398</v>
      </c>
      <c r="C257" s="4" t="s">
        <v>284</v>
      </c>
      <c r="D257" s="7" t="s">
        <v>706</v>
      </c>
      <c r="J257" t="s">
        <v>520</v>
      </c>
      <c r="K257">
        <f t="shared" si="17"/>
        <v>4</v>
      </c>
      <c r="O257" s="1"/>
      <c r="S257" s="1"/>
      <c r="X257" t="s">
        <v>736</v>
      </c>
      <c r="Y257">
        <f t="shared" ref="Y257:Y320" si="19">IF(ISNUMBER(FIND("e",X257)),1,0)+IF(ISNUMBER(FIND("n",X257)),1,0)+IF(ISNUMBER(FIND("t",X257)),1,0)+IF(ISNUMBER(FIND("o",X257)),1,0)+IF(ISNUMBER(FIND("r",X257)),1,0)+IF(ISNUMBER(FIND("s",X257)),1,0)+IF(ISNUMBER(FIND("d",X257)),1,0)+IF(ISNUMBER(FIND("i",X257)),1,0)</f>
        <v>2</v>
      </c>
      <c r="Z257">
        <f t="shared" ref="Z257:Z320" si="20">LEN(X257)</f>
        <v>4</v>
      </c>
    </row>
    <row r="258" spans="1:26" ht="15.75">
      <c r="A258" s="1" t="s">
        <v>707</v>
      </c>
      <c r="B258" s="4" t="s">
        <v>621</v>
      </c>
      <c r="C258" s="4" t="s">
        <v>55</v>
      </c>
      <c r="D258" s="7" t="s">
        <v>707</v>
      </c>
      <c r="J258" t="s">
        <v>521</v>
      </c>
      <c r="K258">
        <f t="shared" ref="K258:K321" si="21">LEN(J258)</f>
        <v>4</v>
      </c>
      <c r="O258" s="1"/>
      <c r="S258" s="1"/>
      <c r="X258" t="s">
        <v>202</v>
      </c>
      <c r="Y258">
        <f t="shared" si="19"/>
        <v>1</v>
      </c>
      <c r="Z258">
        <f t="shared" si="20"/>
        <v>4</v>
      </c>
    </row>
    <row r="259" spans="1:26" ht="15.75">
      <c r="A259" s="1" t="s">
        <v>708</v>
      </c>
      <c r="B259" s="4" t="s">
        <v>1399</v>
      </c>
      <c r="C259" s="4" t="s">
        <v>279</v>
      </c>
      <c r="D259" s="7" t="s">
        <v>708</v>
      </c>
      <c r="J259" t="s">
        <v>525</v>
      </c>
      <c r="K259">
        <f t="shared" si="21"/>
        <v>4</v>
      </c>
      <c r="O259" s="1"/>
      <c r="S259" s="1"/>
      <c r="X259" t="s">
        <v>1974</v>
      </c>
      <c r="Y259">
        <f t="shared" si="19"/>
        <v>2</v>
      </c>
      <c r="Z259">
        <f t="shared" si="20"/>
        <v>3</v>
      </c>
    </row>
    <row r="260" spans="1:26" ht="15.75">
      <c r="A260" s="1" t="s">
        <v>709</v>
      </c>
      <c r="B260" s="4" t="s">
        <v>428</v>
      </c>
      <c r="C260" s="4" t="s">
        <v>217</v>
      </c>
      <c r="D260" s="7" t="s">
        <v>709</v>
      </c>
      <c r="J260" t="s">
        <v>529</v>
      </c>
      <c r="K260">
        <f t="shared" si="21"/>
        <v>4</v>
      </c>
      <c r="O260" s="1"/>
      <c r="S260" s="1"/>
      <c r="X260" t="s">
        <v>203</v>
      </c>
      <c r="Y260">
        <f t="shared" si="19"/>
        <v>2</v>
      </c>
      <c r="Z260">
        <f t="shared" si="20"/>
        <v>3</v>
      </c>
    </row>
    <row r="261" spans="1:26" ht="15.75">
      <c r="A261" s="1" t="s">
        <v>710</v>
      </c>
      <c r="B261" s="4" t="s">
        <v>1860</v>
      </c>
      <c r="C261" s="4" t="s">
        <v>910</v>
      </c>
      <c r="D261" s="7" t="s">
        <v>710</v>
      </c>
      <c r="J261" t="s">
        <v>534</v>
      </c>
      <c r="K261">
        <f t="shared" si="21"/>
        <v>4</v>
      </c>
      <c r="O261" s="1"/>
      <c r="S261" s="1"/>
      <c r="X261" t="s">
        <v>204</v>
      </c>
      <c r="Y261">
        <f t="shared" si="19"/>
        <v>2</v>
      </c>
      <c r="Z261">
        <f t="shared" si="20"/>
        <v>4</v>
      </c>
    </row>
    <row r="262" spans="1:26" ht="15.75">
      <c r="A262" s="1" t="s">
        <v>711</v>
      </c>
      <c r="B262" s="4" t="s">
        <v>274</v>
      </c>
      <c r="C262" s="4" t="s">
        <v>9</v>
      </c>
      <c r="D262" s="7" t="s">
        <v>711</v>
      </c>
      <c r="J262" t="s">
        <v>777</v>
      </c>
      <c r="K262">
        <f t="shared" si="21"/>
        <v>4</v>
      </c>
      <c r="O262" s="1"/>
      <c r="S262" s="1"/>
      <c r="X262" t="s">
        <v>1886</v>
      </c>
      <c r="Y262">
        <f t="shared" si="19"/>
        <v>2</v>
      </c>
      <c r="Z262">
        <f t="shared" si="20"/>
        <v>3</v>
      </c>
    </row>
    <row r="263" spans="1:26" ht="15.75">
      <c r="A263" s="1" t="s">
        <v>712</v>
      </c>
      <c r="B263" s="4" t="s">
        <v>722</v>
      </c>
      <c r="C263" s="4" t="s">
        <v>477</v>
      </c>
      <c r="D263" s="7" t="s">
        <v>712</v>
      </c>
      <c r="J263" t="s">
        <v>827</v>
      </c>
      <c r="K263">
        <f t="shared" si="21"/>
        <v>4</v>
      </c>
      <c r="O263" s="1"/>
      <c r="S263" s="1"/>
      <c r="X263" t="s">
        <v>205</v>
      </c>
      <c r="Y263">
        <f t="shared" si="19"/>
        <v>1</v>
      </c>
      <c r="Z263">
        <f t="shared" si="20"/>
        <v>2</v>
      </c>
    </row>
    <row r="264" spans="1:26" ht="15.75">
      <c r="A264" s="1" t="s">
        <v>193</v>
      </c>
      <c r="B264" s="4" t="s">
        <v>1400</v>
      </c>
      <c r="C264" s="4" t="s">
        <v>284</v>
      </c>
      <c r="D264" s="8" t="s">
        <v>716</v>
      </c>
      <c r="J264" t="s">
        <v>636</v>
      </c>
      <c r="K264">
        <f t="shared" si="21"/>
        <v>4</v>
      </c>
      <c r="O264" s="1"/>
      <c r="S264" s="1"/>
      <c r="X264" t="s">
        <v>207</v>
      </c>
      <c r="Y264">
        <f t="shared" si="19"/>
        <v>1</v>
      </c>
      <c r="Z264">
        <f t="shared" si="20"/>
        <v>4</v>
      </c>
    </row>
    <row r="265" spans="1:26" ht="15.75">
      <c r="A265" s="1" t="s">
        <v>713</v>
      </c>
      <c r="B265" s="4" t="s">
        <v>704</v>
      </c>
      <c r="C265" s="4" t="s">
        <v>1179</v>
      </c>
      <c r="D265" s="7" t="s">
        <v>713</v>
      </c>
      <c r="J265" t="s">
        <v>826</v>
      </c>
      <c r="K265">
        <f t="shared" si="21"/>
        <v>4</v>
      </c>
      <c r="O265" s="1"/>
      <c r="S265" s="1"/>
      <c r="X265" t="s">
        <v>208</v>
      </c>
      <c r="Y265">
        <f t="shared" si="19"/>
        <v>1</v>
      </c>
      <c r="Z265">
        <f t="shared" si="20"/>
        <v>3</v>
      </c>
    </row>
    <row r="266" spans="1:26" ht="15.75">
      <c r="A266" s="1" t="s">
        <v>714</v>
      </c>
      <c r="B266" s="4" t="s">
        <v>829</v>
      </c>
      <c r="C266" s="4" t="s">
        <v>465</v>
      </c>
      <c r="D266" s="7" t="s">
        <v>714</v>
      </c>
      <c r="J266" t="s">
        <v>578</v>
      </c>
      <c r="K266">
        <f t="shared" si="21"/>
        <v>4</v>
      </c>
      <c r="O266" s="1"/>
      <c r="S266" s="1"/>
      <c r="X266" t="s">
        <v>1925</v>
      </c>
      <c r="Y266">
        <f t="shared" si="19"/>
        <v>2</v>
      </c>
      <c r="Z266">
        <f t="shared" si="20"/>
        <v>3</v>
      </c>
    </row>
    <row r="267" spans="1:26" ht="15.75">
      <c r="A267" s="1" t="s">
        <v>530</v>
      </c>
      <c r="B267" s="4" t="s">
        <v>48</v>
      </c>
      <c r="C267" s="4" t="s">
        <v>1378</v>
      </c>
      <c r="D267" s="7" t="s">
        <v>530</v>
      </c>
      <c r="J267" t="s">
        <v>837</v>
      </c>
      <c r="K267">
        <f t="shared" si="21"/>
        <v>4</v>
      </c>
      <c r="O267" s="1"/>
      <c r="S267" s="1"/>
      <c r="X267" t="s">
        <v>210</v>
      </c>
      <c r="Y267">
        <f t="shared" si="19"/>
        <v>2</v>
      </c>
      <c r="Z267">
        <f t="shared" si="20"/>
        <v>3</v>
      </c>
    </row>
    <row r="268" spans="1:26" ht="15.75">
      <c r="A268" s="1" t="s">
        <v>55</v>
      </c>
      <c r="B268" s="4" t="s">
        <v>678</v>
      </c>
      <c r="C268" s="4" t="s">
        <v>728</v>
      </c>
      <c r="D268" s="7" t="s">
        <v>55</v>
      </c>
      <c r="J268" t="s">
        <v>709</v>
      </c>
      <c r="K268">
        <f t="shared" si="21"/>
        <v>4</v>
      </c>
      <c r="O268" s="1"/>
      <c r="S268" s="1"/>
      <c r="X268" t="s">
        <v>212</v>
      </c>
      <c r="Y268">
        <f t="shared" si="19"/>
        <v>1</v>
      </c>
      <c r="Z268">
        <f t="shared" si="20"/>
        <v>2</v>
      </c>
    </row>
    <row r="269" spans="1:26" ht="15.75">
      <c r="A269" s="1" t="s">
        <v>715</v>
      </c>
      <c r="B269" s="4" t="s">
        <v>941</v>
      </c>
      <c r="C269" s="4" t="s">
        <v>1401</v>
      </c>
      <c r="D269" s="7" t="s">
        <v>715</v>
      </c>
      <c r="J269" t="s">
        <v>584</v>
      </c>
      <c r="K269">
        <f t="shared" si="21"/>
        <v>4</v>
      </c>
      <c r="O269" s="1"/>
      <c r="S269" s="1"/>
      <c r="X269" t="s">
        <v>791</v>
      </c>
      <c r="Y269">
        <f t="shared" si="19"/>
        <v>2</v>
      </c>
      <c r="Z269">
        <f t="shared" si="20"/>
        <v>4</v>
      </c>
    </row>
    <row r="270" spans="1:26" ht="15.75">
      <c r="A270" s="1" t="s">
        <v>716</v>
      </c>
      <c r="B270" s="4" t="s">
        <v>806</v>
      </c>
      <c r="C270" s="4" t="s">
        <v>666</v>
      </c>
      <c r="D270" s="7" t="s">
        <v>53</v>
      </c>
      <c r="J270" t="s">
        <v>855</v>
      </c>
      <c r="K270">
        <f t="shared" si="21"/>
        <v>4</v>
      </c>
      <c r="O270" s="1"/>
      <c r="S270" s="1"/>
      <c r="X270" t="s">
        <v>213</v>
      </c>
      <c r="Y270">
        <f t="shared" si="19"/>
        <v>2</v>
      </c>
      <c r="Z270">
        <f t="shared" si="20"/>
        <v>4</v>
      </c>
    </row>
    <row r="271" spans="1:26" ht="15.75">
      <c r="A271" s="1" t="s">
        <v>717</v>
      </c>
      <c r="B271" s="4" t="s">
        <v>706</v>
      </c>
      <c r="C271" s="4" t="s">
        <v>962</v>
      </c>
      <c r="D271" s="7" t="s">
        <v>717</v>
      </c>
      <c r="J271" t="s">
        <v>590</v>
      </c>
      <c r="K271">
        <f t="shared" si="21"/>
        <v>4</v>
      </c>
      <c r="O271" s="1"/>
      <c r="S271" s="1"/>
      <c r="X271" t="s">
        <v>620</v>
      </c>
      <c r="Y271">
        <f t="shared" si="19"/>
        <v>2</v>
      </c>
      <c r="Z271">
        <f t="shared" si="20"/>
        <v>3</v>
      </c>
    </row>
    <row r="272" spans="1:26" ht="15.75">
      <c r="A272" s="1" t="s">
        <v>718</v>
      </c>
      <c r="B272" s="4" t="s">
        <v>465</v>
      </c>
      <c r="C272" s="4" t="s">
        <v>1384</v>
      </c>
      <c r="D272" s="7" t="s">
        <v>718</v>
      </c>
      <c r="J272" t="s">
        <v>653</v>
      </c>
      <c r="K272">
        <f t="shared" si="21"/>
        <v>4</v>
      </c>
      <c r="O272" s="1"/>
      <c r="S272" s="1"/>
      <c r="X272" t="s">
        <v>784</v>
      </c>
      <c r="Y272">
        <f t="shared" si="19"/>
        <v>2</v>
      </c>
      <c r="Z272">
        <f t="shared" si="20"/>
        <v>4</v>
      </c>
    </row>
    <row r="273" spans="1:26" ht="15.75">
      <c r="A273" s="1" t="s">
        <v>719</v>
      </c>
      <c r="B273" s="4" t="s">
        <v>753</v>
      </c>
      <c r="C273" s="4" t="s">
        <v>718</v>
      </c>
      <c r="D273" s="7" t="s">
        <v>719</v>
      </c>
      <c r="J273" t="s">
        <v>591</v>
      </c>
      <c r="K273">
        <f t="shared" si="21"/>
        <v>4</v>
      </c>
      <c r="O273" s="1"/>
      <c r="S273" s="1"/>
      <c r="X273" t="s">
        <v>217</v>
      </c>
      <c r="Y273">
        <f t="shared" si="19"/>
        <v>3</v>
      </c>
      <c r="Z273">
        <f t="shared" si="20"/>
        <v>5</v>
      </c>
    </row>
    <row r="274" spans="1:26" ht="15.75">
      <c r="A274" s="1" t="s">
        <v>720</v>
      </c>
      <c r="B274" s="4" t="s">
        <v>1401</v>
      </c>
      <c r="C274" s="4" t="s">
        <v>404</v>
      </c>
      <c r="D274" s="7" t="s">
        <v>720</v>
      </c>
      <c r="J274" t="s">
        <v>792</v>
      </c>
      <c r="K274">
        <f t="shared" si="21"/>
        <v>4</v>
      </c>
      <c r="O274" s="1"/>
      <c r="S274" s="1"/>
      <c r="X274" t="s">
        <v>218</v>
      </c>
      <c r="Y274">
        <f t="shared" si="19"/>
        <v>1</v>
      </c>
      <c r="Z274">
        <f t="shared" si="20"/>
        <v>3</v>
      </c>
    </row>
    <row r="275" spans="1:26" ht="15.75">
      <c r="A275" s="1" t="s">
        <v>63</v>
      </c>
      <c r="B275" s="4" t="s">
        <v>1200</v>
      </c>
      <c r="C275" s="4" t="s">
        <v>784</v>
      </c>
      <c r="D275" s="7" t="s">
        <v>63</v>
      </c>
      <c r="J275" t="s">
        <v>593</v>
      </c>
      <c r="K275">
        <f t="shared" si="21"/>
        <v>4</v>
      </c>
      <c r="O275" s="1"/>
      <c r="S275" s="1"/>
      <c r="X275" t="s">
        <v>219</v>
      </c>
      <c r="Y275">
        <f t="shared" si="19"/>
        <v>1</v>
      </c>
      <c r="Z275">
        <f t="shared" si="20"/>
        <v>2</v>
      </c>
    </row>
    <row r="276" spans="1:26" ht="15.75">
      <c r="A276" s="1" t="s">
        <v>721</v>
      </c>
      <c r="B276" s="4" t="s">
        <v>319</v>
      </c>
      <c r="C276" s="4" t="s">
        <v>182</v>
      </c>
      <c r="D276" s="7" t="s">
        <v>721</v>
      </c>
      <c r="J276" t="s">
        <v>594</v>
      </c>
      <c r="K276">
        <f t="shared" si="21"/>
        <v>4</v>
      </c>
      <c r="O276" s="1"/>
      <c r="S276" s="1"/>
      <c r="X276" t="s">
        <v>220</v>
      </c>
      <c r="Y276">
        <f t="shared" si="19"/>
        <v>1</v>
      </c>
      <c r="Z276">
        <f t="shared" si="20"/>
        <v>2</v>
      </c>
    </row>
    <row r="277" spans="1:26" ht="15.75">
      <c r="A277" s="1" t="s">
        <v>64</v>
      </c>
      <c r="B277" s="4" t="s">
        <v>389</v>
      </c>
      <c r="C277" s="4" t="s">
        <v>716</v>
      </c>
      <c r="D277" s="7" t="s">
        <v>64</v>
      </c>
      <c r="J277" t="s">
        <v>603</v>
      </c>
      <c r="K277">
        <f t="shared" si="21"/>
        <v>4</v>
      </c>
      <c r="O277" s="1"/>
      <c r="S277" s="1"/>
      <c r="X277" t="s">
        <v>1975</v>
      </c>
      <c r="Y277">
        <f t="shared" si="19"/>
        <v>1</v>
      </c>
      <c r="Z277">
        <f t="shared" si="20"/>
        <v>3</v>
      </c>
    </row>
    <row r="278" spans="1:26" ht="15.75">
      <c r="A278" s="1" t="s">
        <v>722</v>
      </c>
      <c r="B278" s="4" t="s">
        <v>916</v>
      </c>
      <c r="C278" s="4" t="s">
        <v>919</v>
      </c>
      <c r="D278" s="7" t="s">
        <v>722</v>
      </c>
      <c r="J278" t="s">
        <v>605</v>
      </c>
      <c r="K278">
        <f t="shared" si="21"/>
        <v>4</v>
      </c>
      <c r="O278" s="1"/>
      <c r="S278" s="1"/>
      <c r="X278" t="s">
        <v>221</v>
      </c>
      <c r="Y278">
        <f t="shared" si="19"/>
        <v>1</v>
      </c>
      <c r="Z278">
        <f t="shared" si="20"/>
        <v>2</v>
      </c>
    </row>
    <row r="279" spans="1:26" ht="15.75">
      <c r="A279" s="1" t="s">
        <v>53</v>
      </c>
      <c r="B279" s="4" t="s">
        <v>716</v>
      </c>
      <c r="C279" s="4" t="s">
        <v>274</v>
      </c>
      <c r="D279" s="7" t="s">
        <v>193</v>
      </c>
      <c r="J279" t="s">
        <v>621</v>
      </c>
      <c r="K279">
        <f t="shared" si="21"/>
        <v>4</v>
      </c>
      <c r="O279" s="1"/>
      <c r="S279" s="1"/>
      <c r="X279" t="s">
        <v>222</v>
      </c>
      <c r="Y279">
        <f t="shared" si="19"/>
        <v>1</v>
      </c>
      <c r="Z279">
        <f t="shared" si="20"/>
        <v>3</v>
      </c>
    </row>
    <row r="280" spans="1:26" ht="15.75">
      <c r="A280" s="1" t="s">
        <v>723</v>
      </c>
      <c r="B280" s="4" t="s">
        <v>636</v>
      </c>
      <c r="C280" s="4" t="s">
        <v>1433</v>
      </c>
      <c r="D280" s="7" t="s">
        <v>723</v>
      </c>
      <c r="J280" t="s">
        <v>610</v>
      </c>
      <c r="K280">
        <f t="shared" si="21"/>
        <v>4</v>
      </c>
      <c r="O280" s="1"/>
      <c r="S280" s="1"/>
      <c r="X280" t="s">
        <v>223</v>
      </c>
      <c r="Y280">
        <f t="shared" si="19"/>
        <v>2</v>
      </c>
      <c r="Z280">
        <f t="shared" si="20"/>
        <v>3</v>
      </c>
    </row>
    <row r="281" spans="1:26" ht="15.75">
      <c r="A281" s="1" t="s">
        <v>724</v>
      </c>
      <c r="B281" s="4" t="s">
        <v>1402</v>
      </c>
      <c r="C281" s="4" t="s">
        <v>138</v>
      </c>
      <c r="D281" s="7" t="s">
        <v>724</v>
      </c>
      <c r="J281" t="s">
        <v>613</v>
      </c>
      <c r="K281">
        <f t="shared" si="21"/>
        <v>4</v>
      </c>
      <c r="O281" s="1"/>
      <c r="S281" s="1"/>
      <c r="X281" t="s">
        <v>224</v>
      </c>
      <c r="Y281">
        <f t="shared" si="19"/>
        <v>2</v>
      </c>
      <c r="Z281">
        <f t="shared" si="20"/>
        <v>2</v>
      </c>
    </row>
    <row r="282" spans="1:26" ht="15.75">
      <c r="A282" s="1" t="s">
        <v>725</v>
      </c>
      <c r="B282" s="4" t="s">
        <v>679</v>
      </c>
      <c r="C282" s="4" t="s">
        <v>916</v>
      </c>
      <c r="D282" s="7" t="s">
        <v>819</v>
      </c>
      <c r="J282" t="s">
        <v>617</v>
      </c>
      <c r="K282">
        <f t="shared" si="21"/>
        <v>4</v>
      </c>
      <c r="O282" s="1"/>
      <c r="S282" s="1"/>
      <c r="X282" t="s">
        <v>225</v>
      </c>
      <c r="Y282">
        <f t="shared" si="19"/>
        <v>3</v>
      </c>
      <c r="Z282">
        <f t="shared" si="20"/>
        <v>3</v>
      </c>
    </row>
    <row r="283" spans="1:26" ht="15.75">
      <c r="A283" s="1" t="s">
        <v>726</v>
      </c>
      <c r="B283" s="4" t="s">
        <v>163</v>
      </c>
      <c r="C283" s="4" t="s">
        <v>157</v>
      </c>
      <c r="D283" s="7" t="s">
        <v>726</v>
      </c>
      <c r="J283" t="s">
        <v>5</v>
      </c>
      <c r="K283">
        <f t="shared" si="21"/>
        <v>3</v>
      </c>
      <c r="O283" s="1"/>
      <c r="S283" s="1"/>
      <c r="X283" t="s">
        <v>730</v>
      </c>
      <c r="Y283">
        <f t="shared" si="19"/>
        <v>3</v>
      </c>
      <c r="Z283">
        <f t="shared" si="20"/>
        <v>4</v>
      </c>
    </row>
    <row r="284" spans="1:26" ht="15.75">
      <c r="A284" s="1" t="s">
        <v>727</v>
      </c>
      <c r="B284" s="4" t="s">
        <v>1403</v>
      </c>
      <c r="C284" s="4" t="s">
        <v>668</v>
      </c>
      <c r="D284" s="7" t="s">
        <v>727</v>
      </c>
      <c r="J284" t="s">
        <v>7</v>
      </c>
      <c r="K284">
        <f t="shared" si="21"/>
        <v>3</v>
      </c>
      <c r="O284" s="1"/>
      <c r="S284" s="1"/>
      <c r="X284" t="s">
        <v>226</v>
      </c>
      <c r="Y284">
        <f t="shared" si="19"/>
        <v>2</v>
      </c>
      <c r="Z284">
        <f t="shared" si="20"/>
        <v>2</v>
      </c>
    </row>
    <row r="285" spans="1:26" ht="15.75">
      <c r="A285" s="1" t="s">
        <v>728</v>
      </c>
      <c r="B285" s="4" t="s">
        <v>599</v>
      </c>
      <c r="C285" s="4" t="s">
        <v>1119</v>
      </c>
      <c r="D285" s="7" t="s">
        <v>728</v>
      </c>
      <c r="J285" t="s">
        <v>11</v>
      </c>
      <c r="K285">
        <f t="shared" si="21"/>
        <v>3</v>
      </c>
      <c r="O285" s="1"/>
      <c r="S285" s="1"/>
      <c r="X285" t="s">
        <v>227</v>
      </c>
      <c r="Y285">
        <f t="shared" si="19"/>
        <v>3</v>
      </c>
      <c r="Z285">
        <f t="shared" si="20"/>
        <v>3</v>
      </c>
    </row>
    <row r="286" spans="1:26" ht="15.75">
      <c r="A286" s="1" t="s">
        <v>729</v>
      </c>
      <c r="B286" s="4" t="s">
        <v>83</v>
      </c>
      <c r="C286" s="4" t="s">
        <v>1724</v>
      </c>
      <c r="D286" s="7" t="s">
        <v>729</v>
      </c>
      <c r="J286" t="s">
        <v>901</v>
      </c>
      <c r="K286">
        <f t="shared" si="21"/>
        <v>3</v>
      </c>
      <c r="O286" s="1"/>
      <c r="S286" s="1"/>
      <c r="X286" t="s">
        <v>228</v>
      </c>
      <c r="Y286">
        <f t="shared" si="19"/>
        <v>1</v>
      </c>
      <c r="Z286">
        <f t="shared" si="20"/>
        <v>2</v>
      </c>
    </row>
    <row r="287" spans="1:26" ht="15.75">
      <c r="A287" s="1" t="s">
        <v>730</v>
      </c>
      <c r="B287" s="4" t="s">
        <v>866</v>
      </c>
      <c r="C287" s="4" t="s">
        <v>1379</v>
      </c>
      <c r="D287" s="7" t="s">
        <v>730</v>
      </c>
      <c r="J287" t="s">
        <v>643</v>
      </c>
      <c r="K287">
        <f t="shared" si="21"/>
        <v>3</v>
      </c>
      <c r="O287" s="1"/>
      <c r="S287" s="1"/>
      <c r="X287" t="s">
        <v>229</v>
      </c>
      <c r="Y287">
        <f t="shared" si="19"/>
        <v>1</v>
      </c>
      <c r="Z287">
        <f t="shared" si="20"/>
        <v>2</v>
      </c>
    </row>
    <row r="288" spans="1:26" ht="15.75">
      <c r="A288" s="1" t="s">
        <v>731</v>
      </c>
      <c r="B288" s="4" t="s">
        <v>302</v>
      </c>
      <c r="C288" s="4" t="s">
        <v>1455</v>
      </c>
      <c r="D288" s="7" t="s">
        <v>731</v>
      </c>
      <c r="J288" t="s">
        <v>14</v>
      </c>
      <c r="K288">
        <f t="shared" si="21"/>
        <v>3</v>
      </c>
      <c r="O288" s="1"/>
      <c r="S288" s="1"/>
      <c r="X288" t="s">
        <v>230</v>
      </c>
      <c r="Y288">
        <f t="shared" si="19"/>
        <v>1</v>
      </c>
      <c r="Z288">
        <f t="shared" si="20"/>
        <v>3</v>
      </c>
    </row>
    <row r="289" spans="1:26" ht="15.75">
      <c r="A289" s="1" t="s">
        <v>732</v>
      </c>
      <c r="B289" s="4" t="s">
        <v>1404</v>
      </c>
      <c r="C289" s="4" t="s">
        <v>1073</v>
      </c>
      <c r="D289" s="7" t="s">
        <v>732</v>
      </c>
      <c r="J289" t="s">
        <v>19</v>
      </c>
      <c r="K289">
        <f t="shared" si="21"/>
        <v>3</v>
      </c>
      <c r="O289" s="1"/>
      <c r="S289" s="1"/>
      <c r="X289" t="s">
        <v>232</v>
      </c>
      <c r="Y289">
        <f t="shared" si="19"/>
        <v>1</v>
      </c>
      <c r="Z289">
        <f t="shared" si="20"/>
        <v>2</v>
      </c>
    </row>
    <row r="290" spans="1:26" ht="15.75">
      <c r="A290" s="1" t="s">
        <v>733</v>
      </c>
      <c r="B290" s="4" t="s">
        <v>606</v>
      </c>
      <c r="C290" s="4" t="s">
        <v>1032</v>
      </c>
      <c r="D290" s="7" t="s">
        <v>703</v>
      </c>
      <c r="J290" t="s">
        <v>21</v>
      </c>
      <c r="K290">
        <f t="shared" si="21"/>
        <v>3</v>
      </c>
      <c r="O290" s="1"/>
      <c r="S290" s="1"/>
      <c r="X290" t="s">
        <v>233</v>
      </c>
      <c r="Y290">
        <f t="shared" si="19"/>
        <v>1</v>
      </c>
      <c r="Z290">
        <f t="shared" si="20"/>
        <v>3</v>
      </c>
    </row>
    <row r="291" spans="1:26" ht="15.75">
      <c r="A291" s="1" t="s">
        <v>734</v>
      </c>
      <c r="B291" s="4" t="s">
        <v>848</v>
      </c>
      <c r="C291" s="4" t="s">
        <v>1009</v>
      </c>
      <c r="D291" s="7" t="s">
        <v>734</v>
      </c>
      <c r="J291" t="s">
        <v>652</v>
      </c>
      <c r="K291">
        <f t="shared" si="21"/>
        <v>3</v>
      </c>
      <c r="O291" s="1"/>
      <c r="S291" s="1"/>
      <c r="X291" t="s">
        <v>234</v>
      </c>
      <c r="Y291">
        <f t="shared" si="19"/>
        <v>1</v>
      </c>
      <c r="Z291">
        <f t="shared" si="20"/>
        <v>2</v>
      </c>
    </row>
    <row r="292" spans="1:26" ht="15.75">
      <c r="A292" s="1" t="s">
        <v>735</v>
      </c>
      <c r="B292" s="4" t="s">
        <v>1405</v>
      </c>
      <c r="C292" s="4" t="s">
        <v>63</v>
      </c>
      <c r="D292" s="7" t="s">
        <v>735</v>
      </c>
      <c r="J292" t="s">
        <v>954</v>
      </c>
      <c r="K292">
        <f t="shared" si="21"/>
        <v>3</v>
      </c>
      <c r="O292" s="1"/>
      <c r="S292" s="1"/>
      <c r="X292" t="s">
        <v>236</v>
      </c>
      <c r="Y292">
        <f t="shared" si="19"/>
        <v>2</v>
      </c>
      <c r="Z292">
        <f t="shared" si="20"/>
        <v>2</v>
      </c>
    </row>
    <row r="293" spans="1:26" ht="15.75">
      <c r="A293" s="1" t="s">
        <v>736</v>
      </c>
      <c r="B293" s="4" t="s">
        <v>1406</v>
      </c>
      <c r="C293" s="4" t="s">
        <v>73</v>
      </c>
      <c r="D293" s="7" t="s">
        <v>736</v>
      </c>
      <c r="J293" t="s">
        <v>48</v>
      </c>
      <c r="K293">
        <f t="shared" si="21"/>
        <v>3</v>
      </c>
      <c r="O293" s="1"/>
      <c r="S293" s="1"/>
      <c r="X293" t="s">
        <v>1918</v>
      </c>
      <c r="Y293">
        <f t="shared" si="19"/>
        <v>2</v>
      </c>
      <c r="Z293">
        <f t="shared" si="20"/>
        <v>3</v>
      </c>
    </row>
    <row r="294" spans="1:26" ht="15.75">
      <c r="A294" s="1" t="s">
        <v>737</v>
      </c>
      <c r="B294" s="4" t="s">
        <v>1407</v>
      </c>
      <c r="C294" s="4" t="s">
        <v>1392</v>
      </c>
      <c r="D294" s="7" t="s">
        <v>737</v>
      </c>
      <c r="J294" t="s">
        <v>640</v>
      </c>
      <c r="K294">
        <f t="shared" si="21"/>
        <v>3</v>
      </c>
      <c r="O294" s="1"/>
      <c r="S294" s="1"/>
      <c r="X294" t="s">
        <v>1936</v>
      </c>
      <c r="Y294">
        <f t="shared" si="19"/>
        <v>2</v>
      </c>
      <c r="Z294">
        <f t="shared" si="20"/>
        <v>3</v>
      </c>
    </row>
    <row r="295" spans="1:26" ht="15.75">
      <c r="A295" s="1" t="s">
        <v>738</v>
      </c>
      <c r="B295" s="4" t="s">
        <v>1051</v>
      </c>
      <c r="C295" s="4" t="s">
        <v>237</v>
      </c>
      <c r="D295" s="7" t="s">
        <v>738</v>
      </c>
      <c r="J295" t="s">
        <v>57</v>
      </c>
      <c r="K295">
        <f t="shared" si="21"/>
        <v>3</v>
      </c>
      <c r="O295" s="1"/>
      <c r="S295" s="1"/>
      <c r="X295" t="s">
        <v>1891</v>
      </c>
      <c r="Y295">
        <f t="shared" si="19"/>
        <v>3</v>
      </c>
      <c r="Z295">
        <f t="shared" si="20"/>
        <v>3</v>
      </c>
    </row>
    <row r="296" spans="1:26" ht="15.75">
      <c r="A296" s="1" t="s">
        <v>739</v>
      </c>
      <c r="B296" s="4" t="s">
        <v>855</v>
      </c>
      <c r="C296" s="4" t="s">
        <v>1236</v>
      </c>
      <c r="D296" s="7" t="s">
        <v>739</v>
      </c>
      <c r="J296" t="s">
        <v>62</v>
      </c>
      <c r="K296">
        <f t="shared" si="21"/>
        <v>3</v>
      </c>
      <c r="O296" s="1"/>
      <c r="S296" s="1"/>
      <c r="X296" t="s">
        <v>239</v>
      </c>
      <c r="Y296">
        <f t="shared" si="19"/>
        <v>3</v>
      </c>
      <c r="Z296">
        <f t="shared" si="20"/>
        <v>3</v>
      </c>
    </row>
    <row r="297" spans="1:26" ht="15.75">
      <c r="A297" s="1" t="s">
        <v>740</v>
      </c>
      <c r="B297" s="4" t="s">
        <v>45</v>
      </c>
      <c r="C297" s="4" t="s">
        <v>466</v>
      </c>
      <c r="D297" s="7" t="s">
        <v>740</v>
      </c>
      <c r="J297" t="s">
        <v>63</v>
      </c>
      <c r="K297">
        <f t="shared" si="21"/>
        <v>3</v>
      </c>
      <c r="O297" s="1"/>
      <c r="S297" s="1"/>
      <c r="X297" t="s">
        <v>241</v>
      </c>
      <c r="Y297">
        <f t="shared" si="19"/>
        <v>2</v>
      </c>
      <c r="Z297">
        <f t="shared" si="20"/>
        <v>3</v>
      </c>
    </row>
    <row r="298" spans="1:26" ht="15.75">
      <c r="A298" s="1" t="s">
        <v>741</v>
      </c>
      <c r="B298" s="4" t="s">
        <v>70</v>
      </c>
      <c r="C298" s="4" t="s">
        <v>1391</v>
      </c>
      <c r="D298" s="7" t="s">
        <v>741</v>
      </c>
      <c r="J298" t="s">
        <v>738</v>
      </c>
      <c r="K298">
        <f t="shared" si="21"/>
        <v>3</v>
      </c>
      <c r="O298" s="1"/>
      <c r="S298" s="1"/>
      <c r="X298" t="s">
        <v>1949</v>
      </c>
      <c r="Y298">
        <f t="shared" si="19"/>
        <v>3</v>
      </c>
      <c r="Z298">
        <f t="shared" si="20"/>
        <v>3</v>
      </c>
    </row>
    <row r="299" spans="1:26" ht="15.75">
      <c r="A299" s="1" t="s">
        <v>742</v>
      </c>
      <c r="B299" s="4" t="s">
        <v>655</v>
      </c>
      <c r="C299" s="4" t="s">
        <v>1435</v>
      </c>
      <c r="D299" s="7" t="s">
        <v>742</v>
      </c>
      <c r="J299" t="s">
        <v>100</v>
      </c>
      <c r="K299">
        <f t="shared" si="21"/>
        <v>3</v>
      </c>
      <c r="O299" s="1"/>
      <c r="S299" s="1"/>
      <c r="X299" t="s">
        <v>242</v>
      </c>
      <c r="Y299">
        <f t="shared" si="19"/>
        <v>3</v>
      </c>
      <c r="Z299">
        <f t="shared" si="20"/>
        <v>3</v>
      </c>
    </row>
    <row r="300" spans="1:26" ht="15.75">
      <c r="A300" s="1" t="s">
        <v>743</v>
      </c>
      <c r="B300" s="4" t="s">
        <v>729</v>
      </c>
      <c r="C300" s="4" t="s">
        <v>314</v>
      </c>
      <c r="D300" s="7" t="s">
        <v>743</v>
      </c>
      <c r="J300" t="s">
        <v>138</v>
      </c>
      <c r="K300">
        <f t="shared" si="21"/>
        <v>3</v>
      </c>
      <c r="O300" s="1"/>
      <c r="S300" s="1"/>
      <c r="X300" t="s">
        <v>244</v>
      </c>
      <c r="Y300">
        <f t="shared" si="19"/>
        <v>2</v>
      </c>
      <c r="Z300">
        <f t="shared" si="20"/>
        <v>2</v>
      </c>
    </row>
    <row r="301" spans="1:26" ht="15.75">
      <c r="A301" s="1" t="s">
        <v>293</v>
      </c>
      <c r="B301" s="4" t="s">
        <v>1064</v>
      </c>
      <c r="C301" s="4" t="s">
        <v>319</v>
      </c>
      <c r="D301" s="7" t="s">
        <v>293</v>
      </c>
      <c r="J301" t="s">
        <v>680</v>
      </c>
      <c r="K301">
        <f t="shared" si="21"/>
        <v>3</v>
      </c>
      <c r="O301" s="1"/>
      <c r="S301" s="1"/>
      <c r="X301" t="s">
        <v>245</v>
      </c>
      <c r="Y301">
        <f t="shared" si="19"/>
        <v>3</v>
      </c>
      <c r="Z301">
        <f t="shared" si="20"/>
        <v>3</v>
      </c>
    </row>
    <row r="302" spans="1:26" ht="15.75">
      <c r="A302" s="1" t="s">
        <v>744</v>
      </c>
      <c r="B302" s="4" t="s">
        <v>157</v>
      </c>
      <c r="C302" s="4" t="s">
        <v>787</v>
      </c>
      <c r="D302" s="7" t="s">
        <v>744</v>
      </c>
      <c r="J302" t="s">
        <v>692</v>
      </c>
      <c r="K302">
        <f t="shared" si="21"/>
        <v>3</v>
      </c>
      <c r="O302" s="1"/>
      <c r="S302" s="1"/>
      <c r="X302" t="s">
        <v>247</v>
      </c>
      <c r="Y302">
        <f t="shared" si="19"/>
        <v>2</v>
      </c>
      <c r="Z302">
        <f t="shared" si="20"/>
        <v>2</v>
      </c>
    </row>
    <row r="303" spans="1:26" ht="15.75">
      <c r="A303" s="1" t="s">
        <v>745</v>
      </c>
      <c r="B303" s="4" t="s">
        <v>1032</v>
      </c>
      <c r="C303" s="4" t="s">
        <v>734</v>
      </c>
      <c r="D303" s="7" t="s">
        <v>745</v>
      </c>
      <c r="J303" t="s">
        <v>702</v>
      </c>
      <c r="K303">
        <f t="shared" si="21"/>
        <v>3</v>
      </c>
      <c r="O303" s="1"/>
      <c r="S303" s="1"/>
      <c r="X303" t="s">
        <v>1987</v>
      </c>
      <c r="Y303">
        <f t="shared" si="19"/>
        <v>3</v>
      </c>
      <c r="Z303">
        <f t="shared" si="20"/>
        <v>3</v>
      </c>
    </row>
    <row r="304" spans="1:26" ht="15.75">
      <c r="A304" s="1" t="s">
        <v>746</v>
      </c>
      <c r="B304" s="4" t="s">
        <v>936</v>
      </c>
      <c r="C304" s="4" t="s">
        <v>599</v>
      </c>
      <c r="D304" s="7" t="s">
        <v>746</v>
      </c>
      <c r="J304" t="s">
        <v>172</v>
      </c>
      <c r="K304">
        <f t="shared" si="21"/>
        <v>3</v>
      </c>
      <c r="O304" s="1"/>
      <c r="S304" s="1"/>
      <c r="X304" t="s">
        <v>248</v>
      </c>
      <c r="Y304">
        <f t="shared" si="19"/>
        <v>2</v>
      </c>
      <c r="Z304">
        <f t="shared" si="20"/>
        <v>2</v>
      </c>
    </row>
    <row r="305" spans="1:26" ht="15.75">
      <c r="A305" s="1" t="s">
        <v>747</v>
      </c>
      <c r="B305" s="4" t="s">
        <v>1105</v>
      </c>
      <c r="C305" s="4" t="s">
        <v>1105</v>
      </c>
      <c r="D305" s="7" t="s">
        <v>747</v>
      </c>
      <c r="J305" t="s">
        <v>186</v>
      </c>
      <c r="K305">
        <f t="shared" si="21"/>
        <v>3</v>
      </c>
      <c r="O305" s="1"/>
      <c r="S305" s="1"/>
      <c r="X305" t="s">
        <v>249</v>
      </c>
      <c r="Y305">
        <f t="shared" si="19"/>
        <v>3</v>
      </c>
      <c r="Z305">
        <f t="shared" si="20"/>
        <v>3</v>
      </c>
    </row>
    <row r="306" spans="1:26" ht="15.75">
      <c r="A306" s="1" t="s">
        <v>748</v>
      </c>
      <c r="B306" s="4" t="s">
        <v>1408</v>
      </c>
      <c r="C306" s="4" t="s">
        <v>1397</v>
      </c>
      <c r="D306" s="7" t="s">
        <v>748</v>
      </c>
      <c r="J306" t="s">
        <v>196</v>
      </c>
      <c r="K306">
        <f t="shared" si="21"/>
        <v>3</v>
      </c>
      <c r="O306" s="1"/>
      <c r="S306" s="1"/>
      <c r="X306" t="s">
        <v>250</v>
      </c>
      <c r="Y306">
        <f t="shared" si="19"/>
        <v>2</v>
      </c>
      <c r="Z306">
        <f t="shared" si="20"/>
        <v>2</v>
      </c>
    </row>
    <row r="307" spans="1:26" ht="15.75">
      <c r="A307" s="1" t="s">
        <v>749</v>
      </c>
      <c r="B307" s="4" t="s">
        <v>768</v>
      </c>
      <c r="C307" s="4" t="s">
        <v>673</v>
      </c>
      <c r="D307" s="7" t="s">
        <v>749</v>
      </c>
      <c r="J307" t="s">
        <v>197</v>
      </c>
      <c r="K307">
        <f t="shared" si="21"/>
        <v>3</v>
      </c>
      <c r="O307" s="1"/>
      <c r="S307" s="1"/>
      <c r="X307" t="s">
        <v>251</v>
      </c>
      <c r="Y307">
        <f t="shared" si="19"/>
        <v>3</v>
      </c>
      <c r="Z307">
        <f t="shared" si="20"/>
        <v>3</v>
      </c>
    </row>
    <row r="308" spans="1:26" ht="15.75">
      <c r="A308" s="1" t="s">
        <v>750</v>
      </c>
      <c r="B308" s="4" t="s">
        <v>5</v>
      </c>
      <c r="C308" s="4" t="s">
        <v>428</v>
      </c>
      <c r="D308" s="7" t="s">
        <v>750</v>
      </c>
      <c r="J308" t="s">
        <v>203</v>
      </c>
      <c r="K308">
        <f t="shared" si="21"/>
        <v>3</v>
      </c>
      <c r="O308" s="1"/>
      <c r="S308" s="1"/>
      <c r="X308" t="s">
        <v>254</v>
      </c>
      <c r="Y308">
        <f t="shared" si="19"/>
        <v>2</v>
      </c>
      <c r="Z308">
        <f t="shared" si="20"/>
        <v>3</v>
      </c>
    </row>
    <row r="309" spans="1:26" ht="15.75">
      <c r="A309" s="1" t="s">
        <v>157</v>
      </c>
      <c r="B309" s="4" t="s">
        <v>700</v>
      </c>
      <c r="C309" s="4" t="s">
        <v>70</v>
      </c>
      <c r="D309" s="7" t="s">
        <v>157</v>
      </c>
      <c r="J309" t="s">
        <v>208</v>
      </c>
      <c r="K309">
        <f t="shared" si="21"/>
        <v>3</v>
      </c>
      <c r="O309" s="1"/>
      <c r="S309" s="1"/>
      <c r="X309" t="s">
        <v>255</v>
      </c>
      <c r="Y309">
        <f t="shared" si="19"/>
        <v>2</v>
      </c>
      <c r="Z309">
        <f t="shared" si="20"/>
        <v>3</v>
      </c>
    </row>
    <row r="310" spans="1:26" ht="15.75">
      <c r="A310" s="1" t="s">
        <v>751</v>
      </c>
      <c r="B310" s="4" t="s">
        <v>638</v>
      </c>
      <c r="C310" s="4" t="s">
        <v>1127</v>
      </c>
      <c r="D310" s="7" t="s">
        <v>751</v>
      </c>
      <c r="J310" t="s">
        <v>210</v>
      </c>
      <c r="K310">
        <f t="shared" si="21"/>
        <v>3</v>
      </c>
      <c r="O310" s="1"/>
      <c r="S310" s="1"/>
      <c r="X310" t="s">
        <v>257</v>
      </c>
      <c r="Y310">
        <f t="shared" si="19"/>
        <v>2</v>
      </c>
      <c r="Z310">
        <f t="shared" si="20"/>
        <v>3</v>
      </c>
    </row>
    <row r="311" spans="1:26" ht="15.75">
      <c r="A311" s="1" t="s">
        <v>277</v>
      </c>
      <c r="B311" s="4" t="s">
        <v>761</v>
      </c>
      <c r="C311" s="4" t="s">
        <v>864</v>
      </c>
      <c r="D311" s="7" t="s">
        <v>277</v>
      </c>
      <c r="J311" t="s">
        <v>620</v>
      </c>
      <c r="K311">
        <f t="shared" si="21"/>
        <v>3</v>
      </c>
      <c r="O311" s="1"/>
      <c r="S311" s="1"/>
      <c r="X311" t="s">
        <v>258</v>
      </c>
      <c r="Y311">
        <f t="shared" si="19"/>
        <v>1</v>
      </c>
      <c r="Z311">
        <f t="shared" si="20"/>
        <v>2</v>
      </c>
    </row>
    <row r="312" spans="1:26" ht="15.75">
      <c r="A312" s="1" t="s">
        <v>752</v>
      </c>
      <c r="B312" s="4" t="s">
        <v>1409</v>
      </c>
      <c r="C312" s="4" t="s">
        <v>45</v>
      </c>
      <c r="D312" s="7" t="s">
        <v>752</v>
      </c>
      <c r="J312" t="s">
        <v>218</v>
      </c>
      <c r="K312">
        <f t="shared" si="21"/>
        <v>3</v>
      </c>
      <c r="O312" s="1"/>
      <c r="S312" s="1"/>
      <c r="X312" t="s">
        <v>259</v>
      </c>
      <c r="Y312">
        <f t="shared" si="19"/>
        <v>2</v>
      </c>
      <c r="Z312">
        <f t="shared" si="20"/>
        <v>3</v>
      </c>
    </row>
    <row r="313" spans="1:26" ht="15.75">
      <c r="A313" s="1" t="s">
        <v>753</v>
      </c>
      <c r="B313" s="4" t="s">
        <v>879</v>
      </c>
      <c r="C313" s="4" t="s">
        <v>806</v>
      </c>
      <c r="D313" s="7" t="s">
        <v>753</v>
      </c>
      <c r="J313" t="s">
        <v>810</v>
      </c>
      <c r="K313">
        <f t="shared" si="21"/>
        <v>3</v>
      </c>
      <c r="O313" s="1"/>
      <c r="S313" s="1"/>
      <c r="X313" t="s">
        <v>261</v>
      </c>
      <c r="Y313">
        <f t="shared" si="19"/>
        <v>2</v>
      </c>
      <c r="Z313">
        <f t="shared" si="20"/>
        <v>4</v>
      </c>
    </row>
    <row r="314" spans="1:26" ht="15.75">
      <c r="A314" s="1" t="s">
        <v>754</v>
      </c>
      <c r="B314" s="4" t="s">
        <v>672</v>
      </c>
      <c r="C314" s="4" t="s">
        <v>730</v>
      </c>
      <c r="D314" s="7" t="s">
        <v>754</v>
      </c>
      <c r="J314" t="s">
        <v>682</v>
      </c>
      <c r="K314">
        <f t="shared" si="21"/>
        <v>3</v>
      </c>
      <c r="O314" s="1"/>
      <c r="S314" s="1"/>
      <c r="X314" t="s">
        <v>262</v>
      </c>
      <c r="Y314">
        <f t="shared" si="19"/>
        <v>1</v>
      </c>
      <c r="Z314">
        <f t="shared" si="20"/>
        <v>2</v>
      </c>
    </row>
    <row r="315" spans="1:26" ht="15.75">
      <c r="A315" s="1" t="s">
        <v>755</v>
      </c>
      <c r="B315" s="4" t="s">
        <v>1861</v>
      </c>
      <c r="C315" s="4" t="s">
        <v>1725</v>
      </c>
      <c r="D315" s="7" t="s">
        <v>755</v>
      </c>
      <c r="J315" t="s">
        <v>1083</v>
      </c>
      <c r="K315">
        <f t="shared" si="21"/>
        <v>3</v>
      </c>
      <c r="O315" s="1"/>
      <c r="S315" s="1"/>
      <c r="X315" t="s">
        <v>679</v>
      </c>
      <c r="Y315">
        <f t="shared" si="19"/>
        <v>1</v>
      </c>
      <c r="Z315">
        <f t="shared" si="20"/>
        <v>4</v>
      </c>
    </row>
    <row r="316" spans="1:26" ht="15.75">
      <c r="A316" s="1" t="s">
        <v>756</v>
      </c>
      <c r="B316" s="4" t="s">
        <v>1410</v>
      </c>
      <c r="C316" s="4" t="s">
        <v>757</v>
      </c>
      <c r="D316" s="7" t="s">
        <v>756</v>
      </c>
      <c r="J316" t="s">
        <v>285</v>
      </c>
      <c r="K316">
        <f t="shared" si="21"/>
        <v>3</v>
      </c>
      <c r="O316" s="1"/>
      <c r="S316" s="1"/>
      <c r="X316" t="s">
        <v>655</v>
      </c>
      <c r="Y316">
        <f t="shared" si="19"/>
        <v>3</v>
      </c>
      <c r="Z316">
        <f t="shared" si="20"/>
        <v>4</v>
      </c>
    </row>
    <row r="317" spans="1:26" ht="15.75">
      <c r="A317" s="1" t="s">
        <v>757</v>
      </c>
      <c r="B317" s="4" t="s">
        <v>1411</v>
      </c>
      <c r="C317" s="4" t="s">
        <v>1422</v>
      </c>
      <c r="D317" s="7" t="s">
        <v>757</v>
      </c>
      <c r="J317" t="s">
        <v>630</v>
      </c>
      <c r="K317">
        <f t="shared" si="21"/>
        <v>3</v>
      </c>
      <c r="O317" s="1"/>
      <c r="S317" s="1"/>
      <c r="X317" t="s">
        <v>778</v>
      </c>
      <c r="Y317">
        <f t="shared" si="19"/>
        <v>2</v>
      </c>
      <c r="Z317">
        <f t="shared" si="20"/>
        <v>4</v>
      </c>
    </row>
    <row r="318" spans="1:26" ht="15.75">
      <c r="A318" s="1" t="s">
        <v>758</v>
      </c>
      <c r="B318" s="4" t="s">
        <v>764</v>
      </c>
      <c r="C318" s="4" t="s">
        <v>875</v>
      </c>
      <c r="D318" s="7" t="s">
        <v>758</v>
      </c>
      <c r="J318" t="s">
        <v>298</v>
      </c>
      <c r="K318">
        <f t="shared" si="21"/>
        <v>3</v>
      </c>
      <c r="O318" s="1"/>
      <c r="S318" s="1"/>
      <c r="X318" t="s">
        <v>264</v>
      </c>
      <c r="Y318">
        <f t="shared" si="19"/>
        <v>2</v>
      </c>
      <c r="Z318">
        <f t="shared" si="20"/>
        <v>4</v>
      </c>
    </row>
    <row r="319" spans="1:26" ht="15.75">
      <c r="A319" s="1" t="s">
        <v>163</v>
      </c>
      <c r="B319" s="4" t="s">
        <v>1305</v>
      </c>
      <c r="C319" s="4" t="s">
        <v>901</v>
      </c>
      <c r="D319" s="7" t="s">
        <v>163</v>
      </c>
      <c r="J319" t="s">
        <v>326</v>
      </c>
      <c r="K319">
        <f t="shared" si="21"/>
        <v>3</v>
      </c>
      <c r="O319" s="1"/>
      <c r="S319" s="1"/>
      <c r="X319" t="s">
        <v>265</v>
      </c>
      <c r="Y319">
        <f t="shared" si="19"/>
        <v>0</v>
      </c>
      <c r="Z319">
        <f t="shared" si="20"/>
        <v>2</v>
      </c>
    </row>
    <row r="320" spans="1:26" ht="15.75">
      <c r="A320" s="1" t="s">
        <v>759</v>
      </c>
      <c r="B320" s="4" t="s">
        <v>1164</v>
      </c>
      <c r="C320" s="4" t="s">
        <v>441</v>
      </c>
      <c r="D320" s="7" t="s">
        <v>759</v>
      </c>
      <c r="J320" t="s">
        <v>335</v>
      </c>
      <c r="K320">
        <f t="shared" si="21"/>
        <v>3</v>
      </c>
      <c r="O320" s="1"/>
      <c r="S320" s="1"/>
      <c r="X320" t="s">
        <v>1910</v>
      </c>
      <c r="Y320">
        <f t="shared" si="19"/>
        <v>1</v>
      </c>
      <c r="Z320">
        <f t="shared" si="20"/>
        <v>3</v>
      </c>
    </row>
    <row r="321" spans="1:26" ht="15.75">
      <c r="A321" s="1" t="s">
        <v>760</v>
      </c>
      <c r="B321" s="4" t="s">
        <v>1025</v>
      </c>
      <c r="C321" s="4" t="s">
        <v>832</v>
      </c>
      <c r="D321" s="7" t="s">
        <v>760</v>
      </c>
      <c r="J321" t="s">
        <v>347</v>
      </c>
      <c r="K321">
        <f t="shared" si="21"/>
        <v>3</v>
      </c>
      <c r="O321" s="1"/>
      <c r="S321" s="1"/>
      <c r="X321" t="s">
        <v>650</v>
      </c>
      <c r="Y321">
        <f t="shared" ref="Y321:Y384" si="22">IF(ISNUMBER(FIND("e",X321)),1,0)+IF(ISNUMBER(FIND("n",X321)),1,0)+IF(ISNUMBER(FIND("t",X321)),1,0)+IF(ISNUMBER(FIND("o",X321)),1,0)+IF(ISNUMBER(FIND("r",X321)),1,0)+IF(ISNUMBER(FIND("s",X321)),1,0)+IF(ISNUMBER(FIND("d",X321)),1,0)+IF(ISNUMBER(FIND("i",X321)),1,0)</f>
        <v>2</v>
      </c>
      <c r="Z321">
        <f t="shared" ref="Z321:Z384" si="23">LEN(X321)</f>
        <v>4</v>
      </c>
    </row>
    <row r="322" spans="1:26" ht="15.75">
      <c r="A322" s="1" t="s">
        <v>761</v>
      </c>
      <c r="B322" s="4" t="s">
        <v>535</v>
      </c>
      <c r="C322" s="4" t="s">
        <v>1395</v>
      </c>
      <c r="D322" s="7" t="s">
        <v>761</v>
      </c>
      <c r="J322" t="s">
        <v>352</v>
      </c>
      <c r="K322">
        <f t="shared" ref="K322:K372" si="24">LEN(J322)</f>
        <v>3</v>
      </c>
      <c r="O322" s="1"/>
      <c r="S322" s="1"/>
      <c r="X322" t="s">
        <v>648</v>
      </c>
      <c r="Y322">
        <f t="shared" si="22"/>
        <v>2</v>
      </c>
      <c r="Z322">
        <f t="shared" si="23"/>
        <v>5</v>
      </c>
    </row>
    <row r="323" spans="1:26" ht="15.75">
      <c r="A323" s="1" t="s">
        <v>762</v>
      </c>
      <c r="B323" s="4" t="s">
        <v>697</v>
      </c>
      <c r="C323" s="4" t="s">
        <v>1477</v>
      </c>
      <c r="D323" s="7" t="s">
        <v>762</v>
      </c>
      <c r="J323" t="s">
        <v>357</v>
      </c>
      <c r="K323">
        <f t="shared" si="24"/>
        <v>3</v>
      </c>
      <c r="O323" s="1"/>
      <c r="S323" s="1"/>
      <c r="X323" t="s">
        <v>266</v>
      </c>
      <c r="Y323">
        <f t="shared" si="22"/>
        <v>2</v>
      </c>
      <c r="Z323">
        <f t="shared" si="23"/>
        <v>4</v>
      </c>
    </row>
    <row r="324" spans="1:26" ht="15.75">
      <c r="A324" s="1" t="s">
        <v>763</v>
      </c>
      <c r="B324" s="4" t="s">
        <v>1412</v>
      </c>
      <c r="C324" s="4" t="s">
        <v>1014</v>
      </c>
      <c r="D324" s="7" t="s">
        <v>763</v>
      </c>
      <c r="J324" t="s">
        <v>377</v>
      </c>
      <c r="K324">
        <f t="shared" si="24"/>
        <v>3</v>
      </c>
      <c r="O324" s="1"/>
      <c r="S324" s="1"/>
      <c r="X324" t="s">
        <v>1996</v>
      </c>
      <c r="Y324">
        <f t="shared" si="22"/>
        <v>1</v>
      </c>
      <c r="Z324">
        <f t="shared" si="23"/>
        <v>3</v>
      </c>
    </row>
    <row r="325" spans="1:26" ht="15.75">
      <c r="A325" s="1" t="s">
        <v>764</v>
      </c>
      <c r="B325" s="4" t="s">
        <v>63</v>
      </c>
      <c r="C325" s="4" t="s">
        <v>38</v>
      </c>
      <c r="D325" s="7" t="s">
        <v>492</v>
      </c>
      <c r="J325" t="s">
        <v>378</v>
      </c>
      <c r="K325">
        <f t="shared" si="24"/>
        <v>3</v>
      </c>
      <c r="O325" s="1"/>
      <c r="S325" s="1"/>
      <c r="X325" t="s">
        <v>696</v>
      </c>
      <c r="Y325">
        <f t="shared" si="22"/>
        <v>2</v>
      </c>
      <c r="Z325">
        <f t="shared" si="23"/>
        <v>4</v>
      </c>
    </row>
    <row r="326" spans="1:26" ht="15.75">
      <c r="A326" s="1" t="s">
        <v>411</v>
      </c>
      <c r="B326" s="4" t="s">
        <v>710</v>
      </c>
      <c r="C326" s="4" t="s">
        <v>740</v>
      </c>
      <c r="D326" s="7" t="s">
        <v>411</v>
      </c>
      <c r="J326" t="s">
        <v>382</v>
      </c>
      <c r="K326">
        <f t="shared" si="24"/>
        <v>3</v>
      </c>
      <c r="O326" s="1"/>
      <c r="S326" s="1"/>
      <c r="X326" t="s">
        <v>810</v>
      </c>
      <c r="Y326">
        <f t="shared" si="22"/>
        <v>0</v>
      </c>
      <c r="Z326">
        <f t="shared" si="23"/>
        <v>3</v>
      </c>
    </row>
    <row r="327" spans="1:26" ht="15.75">
      <c r="A327" s="1" t="s">
        <v>50</v>
      </c>
      <c r="B327" s="4" t="s">
        <v>1413</v>
      </c>
      <c r="C327" s="4" t="s">
        <v>705</v>
      </c>
      <c r="D327" s="7" t="s">
        <v>50</v>
      </c>
      <c r="J327" t="s">
        <v>645</v>
      </c>
      <c r="K327">
        <f t="shared" si="24"/>
        <v>3</v>
      </c>
      <c r="O327" s="1"/>
      <c r="S327" s="1"/>
      <c r="X327" t="s">
        <v>267</v>
      </c>
      <c r="Y327">
        <f t="shared" si="22"/>
        <v>1</v>
      </c>
      <c r="Z327">
        <f t="shared" si="23"/>
        <v>2</v>
      </c>
    </row>
    <row r="328" spans="1:26" ht="15.75">
      <c r="A328" s="1" t="s">
        <v>765</v>
      </c>
      <c r="B328" s="4" t="s">
        <v>780</v>
      </c>
      <c r="C328" s="4" t="s">
        <v>651</v>
      </c>
      <c r="D328" s="7" t="s">
        <v>765</v>
      </c>
      <c r="J328" t="s">
        <v>751</v>
      </c>
      <c r="K328">
        <f t="shared" si="24"/>
        <v>3</v>
      </c>
      <c r="O328" s="1"/>
      <c r="S328" s="1"/>
      <c r="X328" t="s">
        <v>268</v>
      </c>
      <c r="Y328">
        <f t="shared" si="22"/>
        <v>1</v>
      </c>
      <c r="Z328">
        <f t="shared" si="23"/>
        <v>2</v>
      </c>
    </row>
    <row r="329" spans="1:26" ht="15.75">
      <c r="A329" s="1" t="s">
        <v>766</v>
      </c>
      <c r="B329" s="4" t="s">
        <v>67</v>
      </c>
      <c r="C329" s="4" t="s">
        <v>1378</v>
      </c>
      <c r="D329" s="7" t="s">
        <v>766</v>
      </c>
      <c r="J329" t="s">
        <v>697</v>
      </c>
      <c r="K329">
        <f t="shared" si="24"/>
        <v>3</v>
      </c>
      <c r="O329" s="1"/>
      <c r="S329" s="1"/>
      <c r="X329" t="s">
        <v>1942</v>
      </c>
      <c r="Y329">
        <f t="shared" si="22"/>
        <v>1</v>
      </c>
      <c r="Z329">
        <f t="shared" si="23"/>
        <v>3</v>
      </c>
    </row>
    <row r="330" spans="1:26" ht="15.75">
      <c r="A330" s="1" t="s">
        <v>76</v>
      </c>
      <c r="B330" s="4" t="s">
        <v>1414</v>
      </c>
      <c r="C330" s="4" t="s">
        <v>1332</v>
      </c>
      <c r="D330" s="7" t="s">
        <v>76</v>
      </c>
      <c r="J330" t="s">
        <v>634</v>
      </c>
      <c r="K330">
        <f t="shared" si="24"/>
        <v>3</v>
      </c>
      <c r="O330" s="1"/>
      <c r="S330" s="1"/>
      <c r="X330" t="s">
        <v>832</v>
      </c>
      <c r="Y330">
        <f t="shared" si="22"/>
        <v>2</v>
      </c>
      <c r="Z330">
        <f t="shared" si="23"/>
        <v>4</v>
      </c>
    </row>
    <row r="331" spans="1:26" ht="15.75">
      <c r="A331" s="1" t="s">
        <v>767</v>
      </c>
      <c r="B331" s="4" t="s">
        <v>61</v>
      </c>
      <c r="C331" s="4" t="s">
        <v>359</v>
      </c>
      <c r="D331" s="7" t="s">
        <v>767</v>
      </c>
      <c r="J331" t="s">
        <v>462</v>
      </c>
      <c r="K331">
        <f t="shared" si="24"/>
        <v>3</v>
      </c>
      <c r="O331" s="1"/>
      <c r="S331" s="1"/>
      <c r="X331" t="s">
        <v>673</v>
      </c>
      <c r="Y331">
        <f t="shared" si="22"/>
        <v>3</v>
      </c>
      <c r="Z331">
        <f t="shared" si="23"/>
        <v>5</v>
      </c>
    </row>
    <row r="332" spans="1:26" ht="15.75">
      <c r="A332" s="1" t="s">
        <v>768</v>
      </c>
      <c r="B332" s="4" t="s">
        <v>787</v>
      </c>
      <c r="C332" s="4" t="s">
        <v>733</v>
      </c>
      <c r="D332" s="7" t="s">
        <v>768</v>
      </c>
      <c r="J332" t="s">
        <v>466</v>
      </c>
      <c r="K332">
        <f t="shared" si="24"/>
        <v>3</v>
      </c>
      <c r="O332" s="1"/>
      <c r="S332" s="1"/>
      <c r="X332" t="s">
        <v>761</v>
      </c>
      <c r="Y332">
        <f t="shared" si="22"/>
        <v>1</v>
      </c>
      <c r="Z332">
        <f t="shared" si="23"/>
        <v>5</v>
      </c>
    </row>
    <row r="333" spans="1:26" ht="15.75">
      <c r="A333" s="1" t="s">
        <v>769</v>
      </c>
      <c r="B333" s="4" t="s">
        <v>1415</v>
      </c>
      <c r="C333" s="4" t="s">
        <v>742</v>
      </c>
      <c r="D333" s="7" t="s">
        <v>769</v>
      </c>
      <c r="J333" t="s">
        <v>470</v>
      </c>
      <c r="K333">
        <f t="shared" si="24"/>
        <v>3</v>
      </c>
      <c r="O333" s="1"/>
      <c r="S333" s="1"/>
      <c r="X333" t="s">
        <v>695</v>
      </c>
      <c r="Y333">
        <f t="shared" si="22"/>
        <v>2</v>
      </c>
      <c r="Z333">
        <f t="shared" si="23"/>
        <v>4</v>
      </c>
    </row>
    <row r="334" spans="1:26" ht="15.75">
      <c r="A334" s="1" t="s">
        <v>770</v>
      </c>
      <c r="B334" s="4" t="s">
        <v>857</v>
      </c>
      <c r="C334" s="4" t="s">
        <v>1427</v>
      </c>
      <c r="D334" s="7" t="s">
        <v>770</v>
      </c>
      <c r="J334" t="s">
        <v>800</v>
      </c>
      <c r="K334">
        <f t="shared" si="24"/>
        <v>3</v>
      </c>
      <c r="O334" s="1"/>
      <c r="S334" s="1"/>
      <c r="X334" t="s">
        <v>1889</v>
      </c>
      <c r="Y334">
        <f t="shared" si="22"/>
        <v>2</v>
      </c>
      <c r="Z334">
        <f t="shared" si="23"/>
        <v>3</v>
      </c>
    </row>
    <row r="335" spans="1:26" ht="15.75">
      <c r="A335" s="1" t="s">
        <v>771</v>
      </c>
      <c r="B335" s="4" t="s">
        <v>838</v>
      </c>
      <c r="C335" s="4" t="s">
        <v>1196</v>
      </c>
      <c r="D335" s="7" t="s">
        <v>771</v>
      </c>
      <c r="J335" t="s">
        <v>804</v>
      </c>
      <c r="K335">
        <f t="shared" si="24"/>
        <v>3</v>
      </c>
      <c r="O335" s="1"/>
      <c r="S335" s="1"/>
      <c r="X335" t="s">
        <v>802</v>
      </c>
      <c r="Y335">
        <f t="shared" si="22"/>
        <v>2</v>
      </c>
      <c r="Z335">
        <f t="shared" si="23"/>
        <v>4</v>
      </c>
    </row>
    <row r="336" spans="1:26" ht="15.75">
      <c r="A336" s="1" t="s">
        <v>25</v>
      </c>
      <c r="B336" s="4" t="s">
        <v>1145</v>
      </c>
      <c r="C336" s="4" t="s">
        <v>416</v>
      </c>
      <c r="D336" s="7" t="s">
        <v>25</v>
      </c>
      <c r="J336" t="s">
        <v>518</v>
      </c>
      <c r="K336">
        <f t="shared" si="24"/>
        <v>3</v>
      </c>
      <c r="O336" s="1"/>
      <c r="S336" s="1"/>
      <c r="X336" t="s">
        <v>682</v>
      </c>
      <c r="Y336">
        <f t="shared" si="22"/>
        <v>2</v>
      </c>
      <c r="Z336">
        <f t="shared" si="23"/>
        <v>3</v>
      </c>
    </row>
    <row r="337" spans="1:26" ht="15.75">
      <c r="A337" s="1" t="s">
        <v>772</v>
      </c>
      <c r="B337" s="4" t="s">
        <v>640</v>
      </c>
      <c r="C337" s="4" t="s">
        <v>1432</v>
      </c>
      <c r="D337" s="7" t="s">
        <v>772</v>
      </c>
      <c r="J337" t="s">
        <v>641</v>
      </c>
      <c r="K337">
        <f t="shared" si="24"/>
        <v>3</v>
      </c>
      <c r="O337" s="1"/>
      <c r="S337" s="1"/>
      <c r="X337" t="s">
        <v>717</v>
      </c>
      <c r="Y337">
        <f t="shared" si="22"/>
        <v>3</v>
      </c>
      <c r="Z337">
        <f t="shared" si="23"/>
        <v>6</v>
      </c>
    </row>
    <row r="338" spans="1:26" ht="15.75">
      <c r="A338" s="1" t="s">
        <v>773</v>
      </c>
      <c r="B338" s="4" t="s">
        <v>721</v>
      </c>
      <c r="C338" s="4" t="s">
        <v>934</v>
      </c>
      <c r="D338" s="7" t="s">
        <v>773</v>
      </c>
      <c r="J338" t="s">
        <v>543</v>
      </c>
      <c r="K338">
        <f t="shared" si="24"/>
        <v>3</v>
      </c>
      <c r="O338" s="1"/>
      <c r="S338" s="1"/>
      <c r="X338" t="s">
        <v>270</v>
      </c>
      <c r="Y338">
        <f t="shared" si="22"/>
        <v>1</v>
      </c>
      <c r="Z338">
        <f t="shared" si="23"/>
        <v>2</v>
      </c>
    </row>
    <row r="339" spans="1:26" ht="15.75">
      <c r="A339" s="1" t="s">
        <v>366</v>
      </c>
      <c r="B339" s="4" t="s">
        <v>1179</v>
      </c>
      <c r="C339" s="4" t="s">
        <v>1404</v>
      </c>
      <c r="D339" s="7" t="s">
        <v>366</v>
      </c>
      <c r="J339" t="s">
        <v>657</v>
      </c>
      <c r="K339">
        <f t="shared" si="24"/>
        <v>3</v>
      </c>
      <c r="O339" s="1"/>
      <c r="S339" s="1"/>
      <c r="X339" t="s">
        <v>1921</v>
      </c>
      <c r="Y339">
        <f t="shared" si="22"/>
        <v>1</v>
      </c>
      <c r="Z339">
        <f t="shared" si="23"/>
        <v>3</v>
      </c>
    </row>
    <row r="340" spans="1:26" ht="15.75">
      <c r="A340" s="1" t="s">
        <v>774</v>
      </c>
      <c r="B340" s="4" t="s">
        <v>1416</v>
      </c>
      <c r="C340" s="4" t="s">
        <v>427</v>
      </c>
      <c r="D340" s="7" t="s">
        <v>774</v>
      </c>
      <c r="J340" t="s">
        <v>553</v>
      </c>
      <c r="K340">
        <f t="shared" si="24"/>
        <v>3</v>
      </c>
      <c r="O340" s="1"/>
      <c r="S340" s="1"/>
      <c r="X340" t="s">
        <v>271</v>
      </c>
      <c r="Y340">
        <f t="shared" si="22"/>
        <v>2</v>
      </c>
      <c r="Z340">
        <f t="shared" si="23"/>
        <v>4</v>
      </c>
    </row>
    <row r="341" spans="1:26" ht="15.75">
      <c r="A341" s="1" t="s">
        <v>485</v>
      </c>
      <c r="B341" s="4" t="s">
        <v>1181</v>
      </c>
      <c r="C341" s="4" t="s">
        <v>269</v>
      </c>
      <c r="D341" s="7" t="s">
        <v>485</v>
      </c>
      <c r="J341" t="s">
        <v>570</v>
      </c>
      <c r="K341">
        <f t="shared" si="24"/>
        <v>3</v>
      </c>
      <c r="O341" s="1"/>
      <c r="S341" s="1"/>
      <c r="X341" t="s">
        <v>654</v>
      </c>
      <c r="Y341">
        <f t="shared" si="22"/>
        <v>2</v>
      </c>
      <c r="Z341">
        <f t="shared" si="23"/>
        <v>5</v>
      </c>
    </row>
    <row r="342" spans="1:26" ht="15.75">
      <c r="A342" s="1" t="s">
        <v>775</v>
      </c>
      <c r="B342" s="4" t="s">
        <v>757</v>
      </c>
      <c r="C342" s="4" t="s">
        <v>1228</v>
      </c>
      <c r="D342" s="7" t="s">
        <v>775</v>
      </c>
      <c r="J342" t="s">
        <v>809</v>
      </c>
      <c r="K342">
        <f t="shared" si="24"/>
        <v>3</v>
      </c>
      <c r="O342" s="1"/>
      <c r="S342" s="1"/>
      <c r="X342" t="s">
        <v>272</v>
      </c>
      <c r="Y342">
        <f t="shared" si="22"/>
        <v>2</v>
      </c>
      <c r="Z342">
        <f t="shared" si="23"/>
        <v>4</v>
      </c>
    </row>
    <row r="343" spans="1:26" ht="15.75">
      <c r="A343" s="1" t="s">
        <v>776</v>
      </c>
      <c r="B343" s="4" t="s">
        <v>644</v>
      </c>
      <c r="C343" s="4" t="s">
        <v>7</v>
      </c>
      <c r="D343" s="7" t="s">
        <v>776</v>
      </c>
      <c r="J343" t="s">
        <v>585</v>
      </c>
      <c r="K343">
        <f t="shared" si="24"/>
        <v>3</v>
      </c>
      <c r="O343" s="1"/>
      <c r="S343" s="1"/>
      <c r="X343" t="s">
        <v>273</v>
      </c>
      <c r="Y343">
        <f t="shared" si="22"/>
        <v>2</v>
      </c>
      <c r="Z343">
        <f t="shared" si="23"/>
        <v>3</v>
      </c>
    </row>
    <row r="344" spans="1:26" ht="15.75">
      <c r="A344" s="1" t="s">
        <v>777</v>
      </c>
      <c r="B344" s="4" t="s">
        <v>1417</v>
      </c>
      <c r="C344" s="4" t="s">
        <v>348</v>
      </c>
      <c r="D344" s="7" t="s">
        <v>777</v>
      </c>
      <c r="J344" t="s">
        <v>587</v>
      </c>
      <c r="K344">
        <f t="shared" si="24"/>
        <v>3</v>
      </c>
      <c r="O344" s="1"/>
      <c r="S344" s="1"/>
      <c r="X344" t="s">
        <v>274</v>
      </c>
      <c r="Y344">
        <f t="shared" si="22"/>
        <v>3</v>
      </c>
      <c r="Z344">
        <f t="shared" si="23"/>
        <v>4</v>
      </c>
    </row>
    <row r="345" spans="1:26" ht="15.75">
      <c r="A345" s="1" t="s">
        <v>778</v>
      </c>
      <c r="B345" s="4" t="s">
        <v>541</v>
      </c>
      <c r="C345" s="4" t="s">
        <v>1339</v>
      </c>
      <c r="D345" s="7" t="s">
        <v>778</v>
      </c>
      <c r="J345" t="s">
        <v>600</v>
      </c>
      <c r="K345">
        <f t="shared" si="24"/>
        <v>3</v>
      </c>
      <c r="O345" s="1"/>
      <c r="S345" s="1"/>
      <c r="X345" t="s">
        <v>1983</v>
      </c>
      <c r="Y345">
        <f t="shared" si="22"/>
        <v>2</v>
      </c>
      <c r="Z345">
        <f t="shared" si="23"/>
        <v>3</v>
      </c>
    </row>
    <row r="346" spans="1:26" ht="15.75">
      <c r="A346" s="1" t="s">
        <v>779</v>
      </c>
      <c r="B346" s="4" t="s">
        <v>1418</v>
      </c>
      <c r="C346" s="4" t="s">
        <v>764</v>
      </c>
      <c r="D346" s="7" t="s">
        <v>779</v>
      </c>
      <c r="J346" t="s">
        <v>601</v>
      </c>
      <c r="K346">
        <f t="shared" si="24"/>
        <v>3</v>
      </c>
      <c r="O346" s="1"/>
      <c r="S346" s="1"/>
      <c r="X346" t="s">
        <v>277</v>
      </c>
      <c r="Y346">
        <f t="shared" si="22"/>
        <v>3</v>
      </c>
      <c r="Z346">
        <f t="shared" si="23"/>
        <v>4</v>
      </c>
    </row>
    <row r="347" spans="1:26" ht="15.75">
      <c r="A347" s="1" t="s">
        <v>477</v>
      </c>
      <c r="B347" s="4" t="s">
        <v>1129</v>
      </c>
      <c r="C347" s="4" t="s">
        <v>201</v>
      </c>
      <c r="D347" s="7" t="s">
        <v>686</v>
      </c>
      <c r="J347" t="s">
        <v>910</v>
      </c>
      <c r="K347">
        <f t="shared" si="24"/>
        <v>3</v>
      </c>
      <c r="O347" s="1"/>
      <c r="S347" s="1"/>
      <c r="X347" t="s">
        <v>1999</v>
      </c>
      <c r="Y347">
        <f t="shared" si="22"/>
        <v>2</v>
      </c>
      <c r="Z347">
        <f t="shared" si="23"/>
        <v>3</v>
      </c>
    </row>
    <row r="348" spans="1:26" ht="15.75">
      <c r="A348" s="1" t="s">
        <v>543</v>
      </c>
      <c r="B348" s="4" t="s">
        <v>942</v>
      </c>
      <c r="C348" s="4" t="s">
        <v>815</v>
      </c>
      <c r="D348" s="7" t="s">
        <v>543</v>
      </c>
      <c r="J348" t="s">
        <v>919</v>
      </c>
      <c r="K348">
        <f t="shared" si="24"/>
        <v>3</v>
      </c>
      <c r="O348" s="1"/>
      <c r="S348" s="1"/>
      <c r="X348" t="s">
        <v>279</v>
      </c>
      <c r="Y348">
        <f t="shared" si="22"/>
        <v>3</v>
      </c>
      <c r="Z348">
        <f t="shared" si="23"/>
        <v>6</v>
      </c>
    </row>
    <row r="349" spans="1:26" ht="15.75">
      <c r="A349" s="1" t="s">
        <v>780</v>
      </c>
      <c r="B349" s="4" t="s">
        <v>843</v>
      </c>
      <c r="C349" s="4" t="s">
        <v>26</v>
      </c>
      <c r="D349" s="7" t="s">
        <v>780</v>
      </c>
      <c r="J349" t="s">
        <v>616</v>
      </c>
      <c r="K349">
        <f t="shared" si="24"/>
        <v>3</v>
      </c>
      <c r="O349" s="1"/>
      <c r="S349" s="1"/>
      <c r="X349" t="s">
        <v>628</v>
      </c>
      <c r="Y349">
        <f t="shared" si="22"/>
        <v>2</v>
      </c>
      <c r="Z349">
        <f t="shared" si="23"/>
        <v>4</v>
      </c>
    </row>
    <row r="350" spans="1:26" ht="15.75">
      <c r="A350" s="1" t="s">
        <v>781</v>
      </c>
      <c r="B350" s="4" t="s">
        <v>282</v>
      </c>
      <c r="C350" s="4" t="s">
        <v>739</v>
      </c>
      <c r="D350" s="7" t="s">
        <v>781</v>
      </c>
      <c r="J350" t="s">
        <v>27</v>
      </c>
      <c r="K350">
        <f t="shared" si="24"/>
        <v>2</v>
      </c>
      <c r="O350" s="1"/>
      <c r="S350" s="1"/>
      <c r="X350" t="s">
        <v>280</v>
      </c>
      <c r="Y350">
        <f t="shared" si="22"/>
        <v>0</v>
      </c>
      <c r="Z350">
        <f t="shared" si="23"/>
        <v>2</v>
      </c>
    </row>
    <row r="351" spans="1:26" ht="15.75">
      <c r="A351" s="1" t="s">
        <v>782</v>
      </c>
      <c r="B351" s="4" t="s">
        <v>1419</v>
      </c>
      <c r="C351" s="4" t="s">
        <v>502</v>
      </c>
      <c r="D351" s="7" t="s">
        <v>480</v>
      </c>
      <c r="J351" t="s">
        <v>28</v>
      </c>
      <c r="K351">
        <f t="shared" si="24"/>
        <v>2</v>
      </c>
      <c r="O351" s="1"/>
      <c r="S351" s="1"/>
      <c r="X351" t="s">
        <v>1957</v>
      </c>
      <c r="Y351">
        <f t="shared" si="22"/>
        <v>1</v>
      </c>
      <c r="Z351">
        <f t="shared" si="23"/>
        <v>3</v>
      </c>
    </row>
    <row r="352" spans="1:26" ht="15.75">
      <c r="A352" s="1" t="s">
        <v>783</v>
      </c>
      <c r="B352" s="4" t="s">
        <v>16</v>
      </c>
      <c r="C352" s="4" t="s">
        <v>809</v>
      </c>
      <c r="D352" s="7" t="s">
        <v>783</v>
      </c>
      <c r="J352" t="s">
        <v>40</v>
      </c>
      <c r="K352">
        <f t="shared" si="24"/>
        <v>2</v>
      </c>
      <c r="O352" s="1"/>
      <c r="S352" s="1"/>
      <c r="X352" t="s">
        <v>281</v>
      </c>
      <c r="Y352">
        <f t="shared" si="22"/>
        <v>1</v>
      </c>
      <c r="Z352">
        <f t="shared" si="23"/>
        <v>2</v>
      </c>
    </row>
    <row r="353" spans="1:26" ht="15.75">
      <c r="A353" s="1" t="s">
        <v>45</v>
      </c>
      <c r="B353" s="4" t="s">
        <v>1420</v>
      </c>
      <c r="C353" s="4" t="s">
        <v>211</v>
      </c>
      <c r="D353" s="7" t="s">
        <v>45</v>
      </c>
      <c r="J353" t="s">
        <v>59</v>
      </c>
      <c r="K353">
        <f t="shared" si="24"/>
        <v>2</v>
      </c>
      <c r="O353" s="1"/>
      <c r="S353" s="1"/>
      <c r="X353" t="s">
        <v>284</v>
      </c>
      <c r="Y353">
        <f t="shared" si="22"/>
        <v>2</v>
      </c>
      <c r="Z353">
        <f t="shared" si="23"/>
        <v>4</v>
      </c>
    </row>
    <row r="354" spans="1:26" ht="15.75">
      <c r="A354" s="1" t="s">
        <v>784</v>
      </c>
      <c r="B354" s="4" t="s">
        <v>947</v>
      </c>
      <c r="C354" s="4" t="s">
        <v>1174</v>
      </c>
      <c r="D354" s="7" t="s">
        <v>784</v>
      </c>
      <c r="J354" t="s">
        <v>110</v>
      </c>
      <c r="K354">
        <f t="shared" si="24"/>
        <v>2</v>
      </c>
      <c r="O354" s="1"/>
      <c r="S354" s="1"/>
      <c r="X354" t="s">
        <v>624</v>
      </c>
      <c r="Y354">
        <f t="shared" si="22"/>
        <v>1</v>
      </c>
      <c r="Z354">
        <f t="shared" si="23"/>
        <v>4</v>
      </c>
    </row>
    <row r="355" spans="1:26" ht="15.75">
      <c r="A355" s="1" t="s">
        <v>785</v>
      </c>
      <c r="B355" s="4" t="s">
        <v>1421</v>
      </c>
      <c r="C355" s="4" t="s">
        <v>606</v>
      </c>
      <c r="D355" s="7" t="s">
        <v>785</v>
      </c>
      <c r="J355" t="s">
        <v>189</v>
      </c>
      <c r="K355">
        <f t="shared" si="24"/>
        <v>2</v>
      </c>
      <c r="O355" s="1"/>
      <c r="S355" s="1"/>
      <c r="X355" t="s">
        <v>1083</v>
      </c>
      <c r="Y355">
        <f t="shared" si="22"/>
        <v>2</v>
      </c>
      <c r="Z355">
        <f t="shared" si="23"/>
        <v>3</v>
      </c>
    </row>
    <row r="356" spans="1:26" ht="15.75">
      <c r="A356" s="3"/>
      <c r="B356" s="4" t="s">
        <v>868</v>
      </c>
      <c r="C356" s="4" t="s">
        <v>671</v>
      </c>
      <c r="D356" s="7"/>
      <c r="J356" t="s">
        <v>200</v>
      </c>
      <c r="K356">
        <f t="shared" si="24"/>
        <v>2</v>
      </c>
      <c r="O356" s="1"/>
      <c r="S356" s="1"/>
      <c r="X356" t="s">
        <v>814</v>
      </c>
      <c r="Y356">
        <f t="shared" si="22"/>
        <v>2</v>
      </c>
      <c r="Z356">
        <f t="shared" si="23"/>
        <v>4</v>
      </c>
    </row>
    <row r="357" spans="1:26" ht="15.75">
      <c r="A357" s="1" t="s">
        <v>118</v>
      </c>
      <c r="B357" s="4" t="s">
        <v>1862</v>
      </c>
      <c r="C357" s="4" t="s">
        <v>1025</v>
      </c>
      <c r="D357" s="7" t="s">
        <v>118</v>
      </c>
      <c r="J357" t="s">
        <v>228</v>
      </c>
      <c r="K357">
        <f t="shared" si="24"/>
        <v>2</v>
      </c>
      <c r="O357" s="1"/>
      <c r="S357" s="1"/>
      <c r="X357" t="s">
        <v>285</v>
      </c>
      <c r="Y357">
        <f t="shared" si="22"/>
        <v>1</v>
      </c>
      <c r="Z357">
        <f t="shared" si="23"/>
        <v>3</v>
      </c>
    </row>
    <row r="358" spans="1:26" ht="15.75">
      <c r="A358" s="1" t="s">
        <v>786</v>
      </c>
      <c r="B358" s="4" t="s">
        <v>1422</v>
      </c>
      <c r="C358" s="4" t="s">
        <v>364</v>
      </c>
      <c r="D358" s="7" t="s">
        <v>786</v>
      </c>
      <c r="J358" t="s">
        <v>236</v>
      </c>
      <c r="K358">
        <f t="shared" si="24"/>
        <v>2</v>
      </c>
      <c r="O358" s="1"/>
      <c r="S358" s="1"/>
      <c r="X358" t="s">
        <v>286</v>
      </c>
      <c r="Y358">
        <f t="shared" si="22"/>
        <v>1</v>
      </c>
      <c r="Z358">
        <f t="shared" si="23"/>
        <v>2</v>
      </c>
    </row>
    <row r="359" spans="1:26" ht="15.75">
      <c r="A359" s="1" t="s">
        <v>787</v>
      </c>
      <c r="B359" s="4" t="s">
        <v>839</v>
      </c>
      <c r="C359" s="4" t="s">
        <v>70</v>
      </c>
      <c r="D359" s="7" t="s">
        <v>16</v>
      </c>
      <c r="J359" t="s">
        <v>248</v>
      </c>
      <c r="K359">
        <f t="shared" si="24"/>
        <v>2</v>
      </c>
      <c r="O359" s="1"/>
      <c r="S359" s="1"/>
      <c r="X359" t="s">
        <v>287</v>
      </c>
      <c r="Y359">
        <f t="shared" si="22"/>
        <v>1</v>
      </c>
      <c r="Z359">
        <f t="shared" si="23"/>
        <v>2</v>
      </c>
    </row>
    <row r="360" spans="1:26" ht="15.75">
      <c r="A360" s="1" t="s">
        <v>788</v>
      </c>
      <c r="B360" s="4" t="s">
        <v>696</v>
      </c>
      <c r="C360" s="4" t="s">
        <v>803</v>
      </c>
      <c r="D360" s="7" t="s">
        <v>788</v>
      </c>
      <c r="J360" t="s">
        <v>250</v>
      </c>
      <c r="K360">
        <f t="shared" si="24"/>
        <v>2</v>
      </c>
      <c r="O360" s="1"/>
      <c r="S360" s="1"/>
      <c r="X360" t="s">
        <v>289</v>
      </c>
      <c r="Y360">
        <f t="shared" si="22"/>
        <v>0</v>
      </c>
      <c r="Z360">
        <f t="shared" si="23"/>
        <v>2</v>
      </c>
    </row>
    <row r="361" spans="1:26" ht="15.75">
      <c r="A361" s="1" t="s">
        <v>789</v>
      </c>
      <c r="B361" s="4" t="s">
        <v>750</v>
      </c>
      <c r="C361" s="4" t="s">
        <v>709</v>
      </c>
      <c r="D361" s="7" t="s">
        <v>789</v>
      </c>
      <c r="J361" t="s">
        <v>300</v>
      </c>
      <c r="K361">
        <f t="shared" si="24"/>
        <v>2</v>
      </c>
      <c r="O361" s="1"/>
      <c r="S361" s="1"/>
      <c r="X361" t="s">
        <v>293</v>
      </c>
      <c r="Y361">
        <f t="shared" si="22"/>
        <v>2</v>
      </c>
      <c r="Z361">
        <f t="shared" si="23"/>
        <v>4</v>
      </c>
    </row>
    <row r="362" spans="1:26" ht="15.75">
      <c r="A362" s="1" t="s">
        <v>790</v>
      </c>
      <c r="B362" s="4" t="s">
        <v>211</v>
      </c>
      <c r="C362" s="4" t="s">
        <v>947</v>
      </c>
      <c r="D362" s="7" t="s">
        <v>790</v>
      </c>
      <c r="J362" t="s">
        <v>316</v>
      </c>
      <c r="K362">
        <f t="shared" si="24"/>
        <v>2</v>
      </c>
      <c r="O362" s="1"/>
      <c r="S362" s="1"/>
      <c r="X362" t="s">
        <v>294</v>
      </c>
      <c r="Y362">
        <f t="shared" si="22"/>
        <v>1</v>
      </c>
      <c r="Z362">
        <f t="shared" si="23"/>
        <v>4</v>
      </c>
    </row>
    <row r="363" spans="1:26" ht="15.75">
      <c r="A363" s="1" t="s">
        <v>791</v>
      </c>
      <c r="B363" s="4" t="s">
        <v>814</v>
      </c>
      <c r="C363" s="4" t="s">
        <v>285</v>
      </c>
      <c r="D363" s="7" t="s">
        <v>791</v>
      </c>
      <c r="J363" t="s">
        <v>332</v>
      </c>
      <c r="K363">
        <f t="shared" si="24"/>
        <v>2</v>
      </c>
      <c r="O363" s="1"/>
      <c r="S363" s="1"/>
      <c r="X363" t="s">
        <v>630</v>
      </c>
      <c r="Y363">
        <f t="shared" si="22"/>
        <v>1</v>
      </c>
      <c r="Z363">
        <f t="shared" si="23"/>
        <v>3</v>
      </c>
    </row>
    <row r="364" spans="1:26" ht="15.75">
      <c r="A364" s="1" t="s">
        <v>792</v>
      </c>
      <c r="B364" s="4" t="s">
        <v>746</v>
      </c>
      <c r="C364" s="4" t="s">
        <v>1317</v>
      </c>
      <c r="D364" s="7" t="s">
        <v>792</v>
      </c>
      <c r="J364" t="s">
        <v>346</v>
      </c>
      <c r="K364">
        <f t="shared" si="24"/>
        <v>2</v>
      </c>
      <c r="O364" s="1"/>
      <c r="S364" s="1"/>
      <c r="X364" t="s">
        <v>296</v>
      </c>
      <c r="Y364">
        <f t="shared" si="22"/>
        <v>1</v>
      </c>
      <c r="Z364">
        <f t="shared" si="23"/>
        <v>4</v>
      </c>
    </row>
    <row r="365" spans="1:26" ht="15.75">
      <c r="A365" s="1" t="s">
        <v>793</v>
      </c>
      <c r="B365" s="4" t="s">
        <v>1019</v>
      </c>
      <c r="C365" s="4" t="s">
        <v>433</v>
      </c>
      <c r="D365" s="7" t="s">
        <v>793</v>
      </c>
      <c r="J365" t="s">
        <v>859</v>
      </c>
      <c r="K365">
        <f t="shared" si="24"/>
        <v>2</v>
      </c>
      <c r="O365" s="1"/>
      <c r="S365" s="1"/>
      <c r="X365" t="s">
        <v>1923</v>
      </c>
      <c r="Y365">
        <f t="shared" si="22"/>
        <v>1</v>
      </c>
      <c r="Z365">
        <f t="shared" si="23"/>
        <v>3</v>
      </c>
    </row>
    <row r="366" spans="1:26" ht="15.75">
      <c r="A366" s="1" t="s">
        <v>794</v>
      </c>
      <c r="B366" s="4" t="s">
        <v>487</v>
      </c>
      <c r="C366" s="4" t="s">
        <v>746</v>
      </c>
      <c r="D366" s="7" t="s">
        <v>794</v>
      </c>
      <c r="J366" t="s">
        <v>355</v>
      </c>
      <c r="K366">
        <f t="shared" si="24"/>
        <v>2</v>
      </c>
      <c r="O366" s="1"/>
      <c r="S366" s="1"/>
      <c r="X366" t="s">
        <v>298</v>
      </c>
      <c r="Y366">
        <f t="shared" si="22"/>
        <v>0</v>
      </c>
      <c r="Z366">
        <f t="shared" si="23"/>
        <v>3</v>
      </c>
    </row>
    <row r="367" spans="1:26" ht="15.75">
      <c r="A367" s="1" t="s">
        <v>795</v>
      </c>
      <c r="B367" s="4" t="s">
        <v>639</v>
      </c>
      <c r="C367" s="4" t="s">
        <v>1726</v>
      </c>
      <c r="D367" s="7" t="s">
        <v>795</v>
      </c>
      <c r="J367" t="s">
        <v>365</v>
      </c>
      <c r="K367">
        <f t="shared" si="24"/>
        <v>2</v>
      </c>
      <c r="O367" s="1"/>
      <c r="S367" s="1"/>
      <c r="X367" t="s">
        <v>300</v>
      </c>
      <c r="Y367">
        <f t="shared" si="22"/>
        <v>1</v>
      </c>
      <c r="Z367">
        <f t="shared" si="23"/>
        <v>2</v>
      </c>
    </row>
    <row r="368" spans="1:26" ht="15.75">
      <c r="A368" s="1" t="s">
        <v>796</v>
      </c>
      <c r="B368" s="4" t="s">
        <v>815</v>
      </c>
      <c r="C368" s="4" t="s">
        <v>790</v>
      </c>
      <c r="D368" s="7" t="s">
        <v>796</v>
      </c>
      <c r="J368" t="s">
        <v>482</v>
      </c>
      <c r="K368">
        <f t="shared" si="24"/>
        <v>2</v>
      </c>
      <c r="O368" s="1"/>
      <c r="S368" s="1"/>
      <c r="X368" t="s">
        <v>638</v>
      </c>
      <c r="Y368">
        <f t="shared" si="22"/>
        <v>2</v>
      </c>
      <c r="Z368">
        <f t="shared" si="23"/>
        <v>4</v>
      </c>
    </row>
    <row r="369" spans="1:26" ht="15.75">
      <c r="A369" s="1" t="s">
        <v>797</v>
      </c>
      <c r="B369" s="4" t="s">
        <v>1014</v>
      </c>
      <c r="C369" s="4" t="s">
        <v>676</v>
      </c>
      <c r="D369" s="7" t="s">
        <v>787</v>
      </c>
      <c r="J369" t="s">
        <v>540</v>
      </c>
      <c r="K369">
        <f t="shared" si="24"/>
        <v>2</v>
      </c>
      <c r="O369" s="1"/>
      <c r="S369" s="1"/>
      <c r="X369" t="s">
        <v>303</v>
      </c>
      <c r="Y369">
        <f t="shared" si="22"/>
        <v>2</v>
      </c>
      <c r="Z369">
        <f t="shared" si="23"/>
        <v>3</v>
      </c>
    </row>
    <row r="370" spans="1:26" ht="15.75">
      <c r="A370" s="1" t="s">
        <v>798</v>
      </c>
      <c r="B370" s="4" t="s">
        <v>80</v>
      </c>
      <c r="C370" s="4" t="s">
        <v>43</v>
      </c>
      <c r="D370" s="7" t="s">
        <v>798</v>
      </c>
      <c r="J370" t="s">
        <v>565</v>
      </c>
      <c r="K370">
        <f t="shared" si="24"/>
        <v>2</v>
      </c>
      <c r="O370" s="1"/>
      <c r="S370" s="1"/>
      <c r="X370" t="s">
        <v>305</v>
      </c>
      <c r="Y370">
        <f t="shared" si="22"/>
        <v>1</v>
      </c>
      <c r="Z370">
        <f t="shared" si="23"/>
        <v>2</v>
      </c>
    </row>
    <row r="371" spans="1:26" ht="15.75">
      <c r="A371" s="1" t="s">
        <v>799</v>
      </c>
      <c r="B371" s="4" t="s">
        <v>739</v>
      </c>
      <c r="C371" s="4" t="s">
        <v>1059</v>
      </c>
      <c r="D371" s="7" t="s">
        <v>799</v>
      </c>
      <c r="J371" t="s">
        <v>568</v>
      </c>
      <c r="K371">
        <f t="shared" si="24"/>
        <v>2</v>
      </c>
      <c r="O371" s="1"/>
      <c r="S371" s="1"/>
      <c r="X371" t="s">
        <v>689</v>
      </c>
      <c r="Y371">
        <f t="shared" si="22"/>
        <v>2</v>
      </c>
      <c r="Z371">
        <f t="shared" si="23"/>
        <v>5</v>
      </c>
    </row>
    <row r="372" spans="1:26" ht="15.75">
      <c r="A372" s="1" t="s">
        <v>800</v>
      </c>
      <c r="B372" s="4" t="s">
        <v>1423</v>
      </c>
      <c r="C372" s="4" t="s">
        <v>1377</v>
      </c>
      <c r="D372" s="7" t="s">
        <v>800</v>
      </c>
      <c r="J372" t="s">
        <v>588</v>
      </c>
      <c r="K372">
        <f t="shared" si="24"/>
        <v>2</v>
      </c>
      <c r="O372" s="1"/>
      <c r="S372" s="1"/>
      <c r="X372" t="s">
        <v>1946</v>
      </c>
      <c r="Y372">
        <f t="shared" si="22"/>
        <v>2</v>
      </c>
      <c r="Z372">
        <f t="shared" si="23"/>
        <v>3</v>
      </c>
    </row>
    <row r="373" spans="1:26" ht="15.75">
      <c r="A373" s="1" t="s">
        <v>801</v>
      </c>
      <c r="B373" s="4" t="s">
        <v>1024</v>
      </c>
      <c r="C373" s="4" t="s">
        <v>643</v>
      </c>
      <c r="D373" s="7" t="s">
        <v>801</v>
      </c>
      <c r="O373" s="1"/>
      <c r="S373" s="1"/>
      <c r="X373" t="s">
        <v>866</v>
      </c>
      <c r="Y373">
        <f t="shared" si="22"/>
        <v>3</v>
      </c>
      <c r="Z373">
        <f t="shared" si="23"/>
        <v>4</v>
      </c>
    </row>
    <row r="374" spans="1:26" ht="15.75">
      <c r="A374" s="1" t="s">
        <v>548</v>
      </c>
      <c r="B374" s="4" t="s">
        <v>1424</v>
      </c>
      <c r="C374" s="4" t="s">
        <v>1727</v>
      </c>
      <c r="D374" s="7" t="s">
        <v>548</v>
      </c>
      <c r="O374" s="1"/>
      <c r="S374" s="1"/>
      <c r="X374" t="s">
        <v>904</v>
      </c>
      <c r="Y374">
        <f t="shared" si="22"/>
        <v>2</v>
      </c>
      <c r="Z374">
        <f t="shared" si="23"/>
        <v>4</v>
      </c>
    </row>
    <row r="375" spans="1:26" ht="15.75">
      <c r="A375" s="1" t="s">
        <v>802</v>
      </c>
      <c r="B375" s="4" t="s">
        <v>1425</v>
      </c>
      <c r="C375" s="4" t="s">
        <v>879</v>
      </c>
      <c r="D375" s="7" t="s">
        <v>802</v>
      </c>
      <c r="O375" s="1"/>
      <c r="S375" s="1"/>
      <c r="X375" t="s">
        <v>307</v>
      </c>
      <c r="Y375">
        <f t="shared" si="22"/>
        <v>1</v>
      </c>
      <c r="Z375">
        <f t="shared" si="23"/>
        <v>2</v>
      </c>
    </row>
    <row r="376" spans="1:26" ht="15.75">
      <c r="A376" s="1" t="s">
        <v>803</v>
      </c>
      <c r="B376" s="4" t="s">
        <v>26</v>
      </c>
      <c r="C376" s="4" t="s">
        <v>1351</v>
      </c>
      <c r="D376" s="7" t="s">
        <v>803</v>
      </c>
      <c r="O376" s="1"/>
      <c r="S376" s="1"/>
      <c r="X376" t="s">
        <v>308</v>
      </c>
      <c r="Y376">
        <f t="shared" si="22"/>
        <v>3</v>
      </c>
      <c r="Z376">
        <f t="shared" si="23"/>
        <v>5</v>
      </c>
    </row>
    <row r="377" spans="1:26" ht="15.75">
      <c r="A377" s="1" t="s">
        <v>804</v>
      </c>
      <c r="B377" s="4" t="s">
        <v>177</v>
      </c>
      <c r="C377" s="4" t="s">
        <v>744</v>
      </c>
      <c r="D377" s="7" t="s">
        <v>804</v>
      </c>
      <c r="O377" s="1"/>
      <c r="S377" s="1"/>
      <c r="X377" t="s">
        <v>1959</v>
      </c>
      <c r="Y377">
        <f t="shared" si="22"/>
        <v>2</v>
      </c>
      <c r="Z377">
        <f t="shared" si="23"/>
        <v>3</v>
      </c>
    </row>
    <row r="378" spans="1:26" ht="15.75">
      <c r="A378" s="1" t="s">
        <v>805</v>
      </c>
      <c r="B378" s="4" t="s">
        <v>1426</v>
      </c>
      <c r="C378" s="4" t="s">
        <v>55</v>
      </c>
      <c r="D378" s="7" t="s">
        <v>805</v>
      </c>
      <c r="O378" s="1"/>
      <c r="S378" s="1"/>
      <c r="X378" t="s">
        <v>309</v>
      </c>
      <c r="Y378">
        <f t="shared" si="22"/>
        <v>3</v>
      </c>
      <c r="Z378">
        <f t="shared" si="23"/>
        <v>4</v>
      </c>
    </row>
    <row r="379" spans="1:26" ht="15.75">
      <c r="A379" s="1" t="s">
        <v>806</v>
      </c>
      <c r="B379" s="4" t="s">
        <v>1285</v>
      </c>
      <c r="C379" s="4" t="s">
        <v>1439</v>
      </c>
      <c r="D379" s="7" t="s">
        <v>806</v>
      </c>
      <c r="O379" s="1"/>
      <c r="S379" s="1"/>
      <c r="X379" t="s">
        <v>310</v>
      </c>
      <c r="Y379">
        <f t="shared" si="22"/>
        <v>3</v>
      </c>
      <c r="Z379">
        <f t="shared" si="23"/>
        <v>4</v>
      </c>
    </row>
    <row r="380" spans="1:26" ht="15.75">
      <c r="A380" s="1" t="s">
        <v>807</v>
      </c>
      <c r="B380" s="4" t="s">
        <v>1053</v>
      </c>
      <c r="C380" s="4" t="s">
        <v>1426</v>
      </c>
      <c r="D380" s="7" t="s">
        <v>807</v>
      </c>
      <c r="O380" s="1"/>
      <c r="S380" s="1"/>
      <c r="X380" t="s">
        <v>639</v>
      </c>
      <c r="Y380">
        <f t="shared" si="22"/>
        <v>2</v>
      </c>
      <c r="Z380">
        <f t="shared" si="23"/>
        <v>4</v>
      </c>
    </row>
    <row r="381" spans="1:26" ht="15.75">
      <c r="A381" s="1" t="s">
        <v>808</v>
      </c>
      <c r="B381" s="4" t="s">
        <v>872</v>
      </c>
      <c r="C381" s="4" t="s">
        <v>1414</v>
      </c>
      <c r="D381" s="7" t="s">
        <v>808</v>
      </c>
      <c r="O381" s="1"/>
      <c r="S381" s="1"/>
      <c r="X381" t="s">
        <v>312</v>
      </c>
      <c r="Y381">
        <f t="shared" si="22"/>
        <v>0</v>
      </c>
      <c r="Z381">
        <f t="shared" si="23"/>
        <v>2</v>
      </c>
    </row>
    <row r="382" spans="1:26" ht="15.75">
      <c r="A382" s="1" t="s">
        <v>809</v>
      </c>
      <c r="B382" s="4" t="s">
        <v>1045</v>
      </c>
      <c r="C382" s="4" t="s">
        <v>788</v>
      </c>
      <c r="D382" s="7" t="s">
        <v>809</v>
      </c>
      <c r="O382" s="1"/>
      <c r="S382" s="1"/>
      <c r="X382" t="s">
        <v>314</v>
      </c>
      <c r="Y382">
        <f t="shared" si="22"/>
        <v>0</v>
      </c>
      <c r="Z382">
        <f t="shared" si="23"/>
        <v>4</v>
      </c>
    </row>
    <row r="383" spans="1:26" ht="15.75">
      <c r="A383" s="1" t="s">
        <v>810</v>
      </c>
      <c r="B383" s="4" t="s">
        <v>1427</v>
      </c>
      <c r="C383" s="4" t="s">
        <v>887</v>
      </c>
      <c r="D383" s="7" t="s">
        <v>810</v>
      </c>
      <c r="O383" s="1"/>
      <c r="S383" s="1"/>
      <c r="X383" t="s">
        <v>714</v>
      </c>
      <c r="Y383">
        <f t="shared" si="22"/>
        <v>2</v>
      </c>
      <c r="Z383">
        <f t="shared" si="23"/>
        <v>5</v>
      </c>
    </row>
    <row r="384" spans="1:26" ht="15.75">
      <c r="A384" s="1" t="s">
        <v>811</v>
      </c>
      <c r="B384" s="4" t="s">
        <v>1428</v>
      </c>
      <c r="C384" s="4" t="s">
        <v>722</v>
      </c>
      <c r="D384" s="7" t="s">
        <v>811</v>
      </c>
      <c r="O384" s="1"/>
      <c r="S384" s="1"/>
      <c r="X384" t="s">
        <v>315</v>
      </c>
      <c r="Y384">
        <f t="shared" si="22"/>
        <v>2</v>
      </c>
      <c r="Z384">
        <f t="shared" si="23"/>
        <v>4</v>
      </c>
    </row>
    <row r="385" spans="1:26" ht="15.75">
      <c r="A385" s="1" t="s">
        <v>812</v>
      </c>
      <c r="B385" s="4" t="s">
        <v>989</v>
      </c>
      <c r="C385" s="4" t="s">
        <v>640</v>
      </c>
      <c r="D385" s="7" t="s">
        <v>812</v>
      </c>
      <c r="O385" s="1"/>
      <c r="S385" s="1"/>
      <c r="X385" t="s">
        <v>316</v>
      </c>
      <c r="Y385">
        <f t="shared" ref="Y385:Y448" si="25">IF(ISNUMBER(FIND("e",X385)),1,0)+IF(ISNUMBER(FIND("n",X385)),1,0)+IF(ISNUMBER(FIND("t",X385)),1,0)+IF(ISNUMBER(FIND("o",X385)),1,0)+IF(ISNUMBER(FIND("r",X385)),1,0)+IF(ISNUMBER(FIND("s",X385)),1,0)+IF(ISNUMBER(FIND("d",X385)),1,0)+IF(ISNUMBER(FIND("i",X385)),1,0)</f>
        <v>0</v>
      </c>
      <c r="Z385">
        <f t="shared" ref="Z385:Z448" si="26">LEN(X385)</f>
        <v>2</v>
      </c>
    </row>
    <row r="386" spans="1:26" ht="15.75">
      <c r="A386" s="1" t="s">
        <v>813</v>
      </c>
      <c r="B386" s="4" t="s">
        <v>905</v>
      </c>
      <c r="C386" s="4" t="s">
        <v>1615</v>
      </c>
      <c r="D386" s="7" t="s">
        <v>813</v>
      </c>
      <c r="O386" s="1"/>
      <c r="S386" s="1"/>
      <c r="X386" t="s">
        <v>317</v>
      </c>
      <c r="Y386">
        <f t="shared" si="25"/>
        <v>1</v>
      </c>
      <c r="Z386">
        <f t="shared" si="26"/>
        <v>2</v>
      </c>
    </row>
    <row r="387" spans="1:26" ht="15.75">
      <c r="A387" s="1" t="s">
        <v>67</v>
      </c>
      <c r="B387" s="4" t="s">
        <v>1059</v>
      </c>
      <c r="C387" s="4" t="s">
        <v>808</v>
      </c>
      <c r="D387" s="7" t="s">
        <v>67</v>
      </c>
      <c r="O387" s="1"/>
      <c r="S387" s="1"/>
      <c r="X387" t="s">
        <v>318</v>
      </c>
      <c r="Y387">
        <f t="shared" si="25"/>
        <v>1</v>
      </c>
      <c r="Z387">
        <f t="shared" si="26"/>
        <v>3</v>
      </c>
    </row>
    <row r="388" spans="1:26" ht="15.75">
      <c r="A388" s="1" t="s">
        <v>814</v>
      </c>
      <c r="B388" s="4" t="s">
        <v>89</v>
      </c>
      <c r="C388" s="4" t="s">
        <v>846</v>
      </c>
      <c r="D388" s="7" t="s">
        <v>814</v>
      </c>
      <c r="O388" s="1"/>
      <c r="S388" s="1"/>
      <c r="X388" t="s">
        <v>319</v>
      </c>
      <c r="Y388">
        <f t="shared" si="25"/>
        <v>2</v>
      </c>
      <c r="Z388">
        <f t="shared" si="26"/>
        <v>4</v>
      </c>
    </row>
    <row r="389" spans="1:26" ht="15.75">
      <c r="A389" s="1" t="s">
        <v>815</v>
      </c>
      <c r="B389" s="4" t="s">
        <v>348</v>
      </c>
      <c r="C389" s="4" t="s">
        <v>11</v>
      </c>
      <c r="D389" s="7" t="s">
        <v>815</v>
      </c>
      <c r="O389" s="1"/>
      <c r="S389" s="1"/>
      <c r="X389" t="s">
        <v>320</v>
      </c>
      <c r="Y389">
        <f t="shared" si="25"/>
        <v>1</v>
      </c>
      <c r="Z389">
        <f t="shared" si="26"/>
        <v>2</v>
      </c>
    </row>
    <row r="390" spans="1:26" ht="15.75">
      <c r="A390" s="1" t="s">
        <v>308</v>
      </c>
      <c r="B390" s="4" t="s">
        <v>783</v>
      </c>
      <c r="C390" s="4" t="s">
        <v>347</v>
      </c>
      <c r="D390" s="7" t="s">
        <v>308</v>
      </c>
      <c r="O390" s="1"/>
      <c r="S390" s="1"/>
      <c r="X390" t="s">
        <v>321</v>
      </c>
      <c r="Y390">
        <f t="shared" si="25"/>
        <v>2</v>
      </c>
      <c r="Z390">
        <f t="shared" si="26"/>
        <v>3</v>
      </c>
    </row>
    <row r="391" spans="1:26" ht="15.75">
      <c r="A391" s="1" t="s">
        <v>816</v>
      </c>
      <c r="B391" s="4" t="s">
        <v>1429</v>
      </c>
      <c r="C391" s="4" t="s">
        <v>400</v>
      </c>
      <c r="D391" s="7" t="s">
        <v>816</v>
      </c>
      <c r="O391" s="1"/>
      <c r="S391" s="1"/>
      <c r="X391" t="s">
        <v>322</v>
      </c>
      <c r="Y391">
        <f t="shared" si="25"/>
        <v>2</v>
      </c>
      <c r="Z391">
        <f t="shared" si="26"/>
        <v>2</v>
      </c>
    </row>
    <row r="392" spans="1:26" ht="15.75">
      <c r="A392" s="1" t="s">
        <v>817</v>
      </c>
      <c r="B392" s="4" t="s">
        <v>1430</v>
      </c>
      <c r="C392" s="4" t="s">
        <v>1486</v>
      </c>
      <c r="D392" s="7" t="s">
        <v>817</v>
      </c>
      <c r="O392" s="1"/>
      <c r="S392" s="1"/>
      <c r="X392" t="s">
        <v>1972</v>
      </c>
      <c r="Y392">
        <f t="shared" si="25"/>
        <v>2</v>
      </c>
      <c r="Z392">
        <f t="shared" si="26"/>
        <v>3</v>
      </c>
    </row>
    <row r="393" spans="1:26" ht="15.75">
      <c r="A393" s="1" t="s">
        <v>818</v>
      </c>
      <c r="B393" s="4" t="s">
        <v>180</v>
      </c>
      <c r="C393" s="4" t="s">
        <v>814</v>
      </c>
      <c r="D393" s="7" t="s">
        <v>818</v>
      </c>
      <c r="O393" s="1"/>
      <c r="S393" s="1"/>
      <c r="X393" t="s">
        <v>1906</v>
      </c>
      <c r="Y393">
        <f t="shared" si="25"/>
        <v>3</v>
      </c>
      <c r="Z393">
        <f t="shared" si="26"/>
        <v>3</v>
      </c>
    </row>
    <row r="394" spans="1:26" ht="15.75">
      <c r="A394" s="1" t="s">
        <v>297</v>
      </c>
      <c r="B394" s="4" t="s">
        <v>662</v>
      </c>
      <c r="C394" s="4" t="s">
        <v>1190</v>
      </c>
      <c r="D394" s="7" t="s">
        <v>297</v>
      </c>
      <c r="O394" s="1"/>
      <c r="S394" s="1"/>
      <c r="X394" t="s">
        <v>1941</v>
      </c>
      <c r="Y394">
        <f t="shared" si="25"/>
        <v>3</v>
      </c>
      <c r="Z394">
        <f t="shared" si="26"/>
        <v>3</v>
      </c>
    </row>
    <row r="395" spans="1:26" ht="15.75">
      <c r="A395" s="1" t="s">
        <v>819</v>
      </c>
      <c r="B395" s="4" t="s">
        <v>772</v>
      </c>
      <c r="C395" s="4" t="s">
        <v>714</v>
      </c>
      <c r="D395" s="7" t="s">
        <v>725</v>
      </c>
      <c r="O395" s="1"/>
      <c r="S395" s="1"/>
      <c r="X395" t="s">
        <v>1997</v>
      </c>
      <c r="Y395">
        <f t="shared" si="25"/>
        <v>3</v>
      </c>
      <c r="Z395">
        <f t="shared" si="26"/>
        <v>3</v>
      </c>
    </row>
    <row r="396" spans="1:26" ht="15.75">
      <c r="A396" s="1" t="s">
        <v>820</v>
      </c>
      <c r="B396" s="4" t="s">
        <v>1365</v>
      </c>
      <c r="C396" s="4" t="s">
        <v>238</v>
      </c>
      <c r="D396" s="7" t="s">
        <v>820</v>
      </c>
      <c r="O396" s="1"/>
      <c r="S396" s="1"/>
      <c r="X396" t="s">
        <v>323</v>
      </c>
      <c r="Y396">
        <f t="shared" si="25"/>
        <v>2</v>
      </c>
      <c r="Z396">
        <f t="shared" si="26"/>
        <v>2</v>
      </c>
    </row>
    <row r="397" spans="1:26" ht="15.75">
      <c r="A397" s="1" t="s">
        <v>821</v>
      </c>
      <c r="B397" s="4" t="s">
        <v>791</v>
      </c>
      <c r="C397" s="4" t="s">
        <v>1031</v>
      </c>
      <c r="D397" s="7" t="s">
        <v>821</v>
      </c>
      <c r="O397" s="1"/>
      <c r="S397" s="1"/>
      <c r="X397" t="s">
        <v>662</v>
      </c>
      <c r="Y397">
        <f t="shared" si="25"/>
        <v>3</v>
      </c>
      <c r="Z397">
        <f t="shared" si="26"/>
        <v>4</v>
      </c>
    </row>
    <row r="398" spans="1:26" ht="15.75">
      <c r="A398" s="1" t="s">
        <v>822</v>
      </c>
      <c r="B398" s="4" t="s">
        <v>628</v>
      </c>
      <c r="C398" s="4" t="s">
        <v>817</v>
      </c>
      <c r="D398" s="7" t="s">
        <v>822</v>
      </c>
      <c r="O398" s="1"/>
      <c r="S398" s="1"/>
      <c r="X398" t="s">
        <v>324</v>
      </c>
      <c r="Y398">
        <f t="shared" si="25"/>
        <v>3</v>
      </c>
      <c r="Z398">
        <f t="shared" si="26"/>
        <v>4</v>
      </c>
    </row>
    <row r="399" spans="1:26" ht="15.75">
      <c r="A399" s="1" t="s">
        <v>823</v>
      </c>
      <c r="B399" s="4" t="s">
        <v>34</v>
      </c>
      <c r="C399" s="4" t="s">
        <v>1728</v>
      </c>
      <c r="D399" s="7" t="s">
        <v>823</v>
      </c>
      <c r="O399" s="1"/>
      <c r="S399" s="1"/>
      <c r="X399" t="s">
        <v>1926</v>
      </c>
      <c r="Y399">
        <f t="shared" si="25"/>
        <v>3</v>
      </c>
      <c r="Z399">
        <f t="shared" si="26"/>
        <v>3</v>
      </c>
    </row>
    <row r="400" spans="1:26" ht="15.75">
      <c r="A400" s="1" t="s">
        <v>824</v>
      </c>
      <c r="B400" s="4" t="s">
        <v>1431</v>
      </c>
      <c r="C400" s="4" t="s">
        <v>58</v>
      </c>
      <c r="D400" s="7" t="s">
        <v>824</v>
      </c>
      <c r="O400" s="1"/>
      <c r="S400" s="1"/>
      <c r="X400" t="s">
        <v>681</v>
      </c>
      <c r="Y400">
        <f t="shared" si="25"/>
        <v>3</v>
      </c>
      <c r="Z400">
        <f t="shared" si="26"/>
        <v>5</v>
      </c>
    </row>
    <row r="401" spans="1:26" ht="15.75">
      <c r="A401" s="1" t="s">
        <v>825</v>
      </c>
      <c r="B401" s="4" t="s">
        <v>52</v>
      </c>
      <c r="C401" s="4" t="s">
        <v>1423</v>
      </c>
      <c r="D401" s="7" t="s">
        <v>825</v>
      </c>
      <c r="O401" s="1"/>
      <c r="S401" s="1"/>
      <c r="X401" t="s">
        <v>326</v>
      </c>
      <c r="Y401">
        <f t="shared" si="25"/>
        <v>2</v>
      </c>
      <c r="Z401">
        <f t="shared" si="26"/>
        <v>3</v>
      </c>
    </row>
    <row r="402" spans="1:26" ht="15.75">
      <c r="A402" s="1" t="s">
        <v>826</v>
      </c>
      <c r="B402" s="4" t="s">
        <v>1165</v>
      </c>
      <c r="C402" s="4" t="s">
        <v>1164</v>
      </c>
      <c r="D402" s="7" t="s">
        <v>831</v>
      </c>
      <c r="O402" s="1"/>
      <c r="S402" s="1"/>
      <c r="X402" t="s">
        <v>328</v>
      </c>
      <c r="Y402">
        <f t="shared" si="25"/>
        <v>3</v>
      </c>
      <c r="Z402">
        <f t="shared" si="26"/>
        <v>4</v>
      </c>
    </row>
    <row r="403" spans="1:26" ht="15.75">
      <c r="A403" s="1" t="s">
        <v>404</v>
      </c>
      <c r="B403" s="4" t="s">
        <v>1432</v>
      </c>
      <c r="C403" s="4" t="s">
        <v>837</v>
      </c>
      <c r="D403" s="7" t="s">
        <v>404</v>
      </c>
      <c r="O403" s="1"/>
      <c r="S403" s="1"/>
      <c r="X403" t="s">
        <v>330</v>
      </c>
      <c r="Y403">
        <f t="shared" si="25"/>
        <v>1</v>
      </c>
      <c r="Z403">
        <f t="shared" si="26"/>
        <v>2</v>
      </c>
    </row>
    <row r="404" spans="1:26" ht="15.75">
      <c r="A404" s="1" t="s">
        <v>827</v>
      </c>
      <c r="B404" s="4" t="s">
        <v>1732</v>
      </c>
      <c r="C404" s="4" t="s">
        <v>816</v>
      </c>
      <c r="D404" s="7" t="s">
        <v>827</v>
      </c>
      <c r="O404" s="1"/>
      <c r="S404" s="1"/>
      <c r="X404" t="s">
        <v>1986</v>
      </c>
      <c r="Y404">
        <f t="shared" si="25"/>
        <v>2</v>
      </c>
      <c r="Z404">
        <f t="shared" si="26"/>
        <v>3</v>
      </c>
    </row>
    <row r="405" spans="1:26" ht="15.75">
      <c r="A405" s="1" t="s">
        <v>828</v>
      </c>
      <c r="B405" s="4" t="s">
        <v>308</v>
      </c>
      <c r="C405" s="4" t="s">
        <v>1356</v>
      </c>
      <c r="D405" s="7" t="s">
        <v>828</v>
      </c>
      <c r="O405" s="1"/>
      <c r="S405" s="1"/>
      <c r="X405" t="s">
        <v>331</v>
      </c>
      <c r="Y405">
        <f t="shared" si="25"/>
        <v>2</v>
      </c>
      <c r="Z405">
        <f t="shared" si="26"/>
        <v>2</v>
      </c>
    </row>
    <row r="406" spans="1:26" ht="15.75">
      <c r="A406" s="1" t="s">
        <v>829</v>
      </c>
      <c r="B406" s="4" t="s">
        <v>927</v>
      </c>
      <c r="C406" s="4" t="s">
        <v>1104</v>
      </c>
      <c r="D406" s="7" t="s">
        <v>829</v>
      </c>
      <c r="O406" s="1"/>
      <c r="S406" s="1"/>
      <c r="X406" t="s">
        <v>701</v>
      </c>
      <c r="Y406">
        <f t="shared" si="25"/>
        <v>3</v>
      </c>
      <c r="Z406">
        <f t="shared" si="26"/>
        <v>5</v>
      </c>
    </row>
    <row r="407" spans="1:26" ht="15.75">
      <c r="A407" s="1" t="s">
        <v>830</v>
      </c>
      <c r="B407" s="4" t="s">
        <v>959</v>
      </c>
      <c r="C407" s="4" t="s">
        <v>463</v>
      </c>
      <c r="D407" s="7" t="s">
        <v>830</v>
      </c>
      <c r="O407" s="1"/>
      <c r="S407" s="1"/>
      <c r="X407" t="s">
        <v>1945</v>
      </c>
      <c r="Y407">
        <f t="shared" si="25"/>
        <v>2</v>
      </c>
      <c r="Z407">
        <f t="shared" si="26"/>
        <v>3</v>
      </c>
    </row>
    <row r="408" spans="1:26" ht="15.75">
      <c r="A408" s="1" t="s">
        <v>831</v>
      </c>
      <c r="B408" s="4" t="s">
        <v>11</v>
      </c>
      <c r="C408" s="4" t="s">
        <v>1167</v>
      </c>
      <c r="D408" s="7" t="s">
        <v>826</v>
      </c>
      <c r="O408" s="1"/>
      <c r="S408" s="1"/>
      <c r="X408" t="s">
        <v>332</v>
      </c>
      <c r="Y408">
        <f t="shared" si="25"/>
        <v>2</v>
      </c>
      <c r="Z408">
        <f t="shared" si="26"/>
        <v>2</v>
      </c>
    </row>
    <row r="409" spans="1:26" ht="15.75">
      <c r="A409" s="1" t="s">
        <v>832</v>
      </c>
      <c r="B409" s="4" t="s">
        <v>705</v>
      </c>
      <c r="C409" s="4" t="s">
        <v>213</v>
      </c>
      <c r="D409" s="7" t="s">
        <v>832</v>
      </c>
      <c r="O409" s="1"/>
      <c r="S409" s="1"/>
      <c r="X409" t="s">
        <v>703</v>
      </c>
      <c r="Y409">
        <f t="shared" si="25"/>
        <v>4</v>
      </c>
      <c r="Z409">
        <f t="shared" si="26"/>
        <v>5</v>
      </c>
    </row>
    <row r="410" spans="1:26" ht="15.75">
      <c r="A410" s="1" t="s">
        <v>833</v>
      </c>
      <c r="B410" s="4" t="s">
        <v>469</v>
      </c>
      <c r="C410" s="4" t="s">
        <v>1051</v>
      </c>
      <c r="D410" s="7" t="s">
        <v>833</v>
      </c>
      <c r="O410" s="1"/>
      <c r="S410" s="1"/>
      <c r="X410" t="s">
        <v>334</v>
      </c>
      <c r="Y410">
        <f t="shared" si="25"/>
        <v>3</v>
      </c>
      <c r="Z410">
        <f t="shared" si="26"/>
        <v>3</v>
      </c>
    </row>
    <row r="411" spans="1:26" ht="15.75">
      <c r="A411" s="1" t="s">
        <v>834</v>
      </c>
      <c r="B411" s="5" t="b">
        <v>1</v>
      </c>
      <c r="C411" s="4" t="s">
        <v>663</v>
      </c>
      <c r="D411" s="7" t="s">
        <v>834</v>
      </c>
      <c r="O411" s="1"/>
      <c r="S411" s="1"/>
      <c r="X411" t="s">
        <v>836</v>
      </c>
      <c r="Y411">
        <f t="shared" si="25"/>
        <v>4</v>
      </c>
      <c r="Z411">
        <f t="shared" si="26"/>
        <v>4</v>
      </c>
    </row>
    <row r="412" spans="1:26" ht="15.75">
      <c r="A412" s="1" t="s">
        <v>835</v>
      </c>
      <c r="B412" s="4" t="s">
        <v>1433</v>
      </c>
      <c r="C412" s="4" t="s">
        <v>877</v>
      </c>
      <c r="D412" s="7" t="s">
        <v>835</v>
      </c>
      <c r="O412" s="1"/>
      <c r="S412" s="1"/>
      <c r="X412" t="s">
        <v>875</v>
      </c>
      <c r="Y412">
        <f t="shared" si="25"/>
        <v>4</v>
      </c>
      <c r="Z412">
        <f t="shared" si="26"/>
        <v>7</v>
      </c>
    </row>
    <row r="413" spans="1:26" ht="15.75">
      <c r="A413" s="1" t="s">
        <v>836</v>
      </c>
      <c r="B413" s="4" t="s">
        <v>1434</v>
      </c>
      <c r="C413" s="4" t="s">
        <v>831</v>
      </c>
      <c r="D413" s="7" t="s">
        <v>836</v>
      </c>
      <c r="O413" s="1"/>
      <c r="S413" s="1"/>
      <c r="X413" t="s">
        <v>335</v>
      </c>
      <c r="Y413">
        <f t="shared" si="25"/>
        <v>2</v>
      </c>
      <c r="Z413">
        <f t="shared" si="26"/>
        <v>3</v>
      </c>
    </row>
    <row r="414" spans="1:26" ht="15.75">
      <c r="A414" s="1" t="s">
        <v>837</v>
      </c>
      <c r="B414" s="4" t="s">
        <v>431</v>
      </c>
      <c r="C414" s="4" t="s">
        <v>859</v>
      </c>
      <c r="D414" s="7" t="s">
        <v>837</v>
      </c>
      <c r="O414" s="1"/>
      <c r="S414" s="1"/>
      <c r="X414" t="s">
        <v>336</v>
      </c>
      <c r="Y414">
        <f t="shared" si="25"/>
        <v>2</v>
      </c>
      <c r="Z414">
        <f t="shared" si="26"/>
        <v>2</v>
      </c>
    </row>
    <row r="415" spans="1:26" ht="15.75">
      <c r="A415" s="1" t="s">
        <v>838</v>
      </c>
      <c r="B415" s="4" t="s">
        <v>269</v>
      </c>
      <c r="C415" s="4" t="s">
        <v>1067</v>
      </c>
      <c r="D415" s="7" t="s">
        <v>838</v>
      </c>
      <c r="O415" s="1"/>
      <c r="S415" s="1"/>
      <c r="X415" t="s">
        <v>337</v>
      </c>
      <c r="Y415">
        <f t="shared" si="25"/>
        <v>2</v>
      </c>
      <c r="Z415">
        <f t="shared" si="26"/>
        <v>2</v>
      </c>
    </row>
    <row r="416" spans="1:26" ht="15.75">
      <c r="A416" s="1" t="s">
        <v>839</v>
      </c>
      <c r="B416" s="4" t="s">
        <v>422</v>
      </c>
      <c r="C416" s="4" t="s">
        <v>838</v>
      </c>
      <c r="D416" s="7" t="s">
        <v>839</v>
      </c>
      <c r="O416" s="1"/>
      <c r="S416" s="1"/>
      <c r="X416" t="s">
        <v>1896</v>
      </c>
      <c r="Y416">
        <f t="shared" si="25"/>
        <v>2</v>
      </c>
      <c r="Z416">
        <f t="shared" si="26"/>
        <v>3</v>
      </c>
    </row>
    <row r="417" spans="1:26" ht="15.75">
      <c r="A417" s="1" t="s">
        <v>840</v>
      </c>
      <c r="B417" s="4" t="s">
        <v>643</v>
      </c>
      <c r="C417" s="4" t="s">
        <v>738</v>
      </c>
      <c r="D417" s="7" t="s">
        <v>840</v>
      </c>
      <c r="O417" s="1"/>
      <c r="S417" s="1"/>
      <c r="X417" t="s">
        <v>338</v>
      </c>
      <c r="Y417">
        <f t="shared" si="25"/>
        <v>3</v>
      </c>
      <c r="Z417">
        <f t="shared" si="26"/>
        <v>3</v>
      </c>
    </row>
    <row r="418" spans="1:26" ht="15.75">
      <c r="A418" s="1" t="s">
        <v>841</v>
      </c>
      <c r="B418" s="4" t="s">
        <v>1073</v>
      </c>
      <c r="C418" s="4" t="s">
        <v>80</v>
      </c>
      <c r="D418" s="7" t="s">
        <v>841</v>
      </c>
      <c r="O418" s="1"/>
      <c r="S418" s="1"/>
      <c r="X418" t="s">
        <v>339</v>
      </c>
      <c r="Y418">
        <f t="shared" si="25"/>
        <v>2</v>
      </c>
      <c r="Z418">
        <f t="shared" si="26"/>
        <v>3</v>
      </c>
    </row>
    <row r="419" spans="1:26" ht="15.75">
      <c r="A419" s="1" t="s">
        <v>842</v>
      </c>
      <c r="B419" s="4" t="s">
        <v>1435</v>
      </c>
      <c r="C419" s="4" t="s">
        <v>794</v>
      </c>
      <c r="D419" s="7" t="s">
        <v>842</v>
      </c>
      <c r="O419" s="1"/>
      <c r="S419" s="1"/>
      <c r="X419" t="s">
        <v>1938</v>
      </c>
      <c r="Y419">
        <f t="shared" si="25"/>
        <v>3</v>
      </c>
      <c r="Z419">
        <f t="shared" si="26"/>
        <v>3</v>
      </c>
    </row>
    <row r="420" spans="1:26" ht="15.75">
      <c r="A420" s="1" t="s">
        <v>843</v>
      </c>
      <c r="B420" s="4" t="s">
        <v>770</v>
      </c>
      <c r="C420" s="4" t="s">
        <v>1285</v>
      </c>
      <c r="D420" s="7" t="s">
        <v>843</v>
      </c>
      <c r="O420" s="1"/>
      <c r="S420" s="1"/>
      <c r="X420" t="s">
        <v>1992</v>
      </c>
      <c r="Y420">
        <f t="shared" si="25"/>
        <v>3</v>
      </c>
      <c r="Z420">
        <f t="shared" si="26"/>
        <v>3</v>
      </c>
    </row>
    <row r="421" spans="1:26" ht="15.75">
      <c r="A421" s="1" t="s">
        <v>844</v>
      </c>
      <c r="B421" s="4" t="s">
        <v>714</v>
      </c>
      <c r="C421" s="4" t="s">
        <v>876</v>
      </c>
      <c r="D421" s="7" t="s">
        <v>844</v>
      </c>
      <c r="O421" s="1"/>
      <c r="S421" s="1"/>
      <c r="X421" t="s">
        <v>340</v>
      </c>
      <c r="Y421">
        <f t="shared" si="25"/>
        <v>3</v>
      </c>
      <c r="Z421">
        <f t="shared" si="26"/>
        <v>3</v>
      </c>
    </row>
    <row r="422" spans="1:26" ht="15.75">
      <c r="A422" s="1" t="s">
        <v>845</v>
      </c>
      <c r="B422" s="4" t="s">
        <v>1193</v>
      </c>
      <c r="C422" s="4" t="s">
        <v>1729</v>
      </c>
      <c r="D422" s="7" t="s">
        <v>845</v>
      </c>
      <c r="O422" s="1"/>
      <c r="S422" s="1"/>
      <c r="X422" t="s">
        <v>341</v>
      </c>
      <c r="Y422">
        <f t="shared" si="25"/>
        <v>3</v>
      </c>
      <c r="Z422">
        <f t="shared" si="26"/>
        <v>6</v>
      </c>
    </row>
    <row r="423" spans="1:26" ht="15.75">
      <c r="A423" s="1" t="s">
        <v>846</v>
      </c>
      <c r="B423" s="4" t="s">
        <v>1436</v>
      </c>
      <c r="C423" s="4" t="s">
        <v>1305</v>
      </c>
      <c r="D423" s="7" t="s">
        <v>846</v>
      </c>
      <c r="O423" s="1"/>
      <c r="S423" s="1"/>
      <c r="X423" t="s">
        <v>344</v>
      </c>
      <c r="Y423">
        <f t="shared" si="25"/>
        <v>1</v>
      </c>
      <c r="Z423">
        <f t="shared" si="26"/>
        <v>2</v>
      </c>
    </row>
    <row r="424" spans="1:26" ht="15.75">
      <c r="A424" s="1" t="s">
        <v>847</v>
      </c>
      <c r="B424" s="4" t="s">
        <v>867</v>
      </c>
      <c r="C424" s="4" t="s">
        <v>867</v>
      </c>
      <c r="D424" s="7" t="s">
        <v>847</v>
      </c>
      <c r="O424" s="1"/>
      <c r="S424" s="1"/>
      <c r="X424" t="s">
        <v>345</v>
      </c>
      <c r="Y424">
        <f t="shared" si="25"/>
        <v>2</v>
      </c>
      <c r="Z424">
        <f t="shared" si="26"/>
        <v>2</v>
      </c>
    </row>
    <row r="425" spans="1:26" ht="15.75">
      <c r="A425" s="1" t="s">
        <v>848</v>
      </c>
      <c r="B425" s="4" t="s">
        <v>555</v>
      </c>
      <c r="C425" s="4" t="s">
        <v>795</v>
      </c>
      <c r="D425" s="7" t="s">
        <v>848</v>
      </c>
      <c r="O425" s="1"/>
      <c r="S425" s="1"/>
      <c r="X425" t="s">
        <v>346</v>
      </c>
      <c r="Y425">
        <f t="shared" si="25"/>
        <v>1</v>
      </c>
      <c r="Z425">
        <f t="shared" si="26"/>
        <v>2</v>
      </c>
    </row>
    <row r="426" spans="1:26" ht="15.75">
      <c r="A426" s="1" t="s">
        <v>849</v>
      </c>
      <c r="B426" s="4" t="s">
        <v>427</v>
      </c>
      <c r="C426" s="4" t="s">
        <v>282</v>
      </c>
      <c r="D426" s="7" t="s">
        <v>849</v>
      </c>
      <c r="O426" s="1"/>
      <c r="S426" s="1"/>
      <c r="X426" t="s">
        <v>347</v>
      </c>
      <c r="Y426">
        <f t="shared" si="25"/>
        <v>1</v>
      </c>
      <c r="Z426">
        <f t="shared" si="26"/>
        <v>3</v>
      </c>
    </row>
    <row r="427" spans="1:26" ht="15.75">
      <c r="A427" s="1" t="s">
        <v>850</v>
      </c>
      <c r="B427" s="4" t="s">
        <v>730</v>
      </c>
      <c r="C427" s="4" t="s">
        <v>1056</v>
      </c>
      <c r="D427" s="7" t="s">
        <v>850</v>
      </c>
      <c r="O427" s="1"/>
      <c r="S427" s="1"/>
      <c r="X427" t="s">
        <v>349</v>
      </c>
      <c r="Y427">
        <f t="shared" si="25"/>
        <v>2</v>
      </c>
      <c r="Z427">
        <f t="shared" si="26"/>
        <v>3</v>
      </c>
    </row>
    <row r="428" spans="1:26" ht="15.75">
      <c r="A428" s="1" t="s">
        <v>851</v>
      </c>
      <c r="B428" s="4" t="s">
        <v>1437</v>
      </c>
      <c r="C428" s="4" t="s">
        <v>800</v>
      </c>
      <c r="D428" s="7" t="s">
        <v>851</v>
      </c>
      <c r="O428" s="1"/>
      <c r="S428" s="1"/>
      <c r="X428" t="s">
        <v>716</v>
      </c>
      <c r="Y428">
        <f t="shared" si="25"/>
        <v>4</v>
      </c>
      <c r="Z428">
        <f t="shared" si="26"/>
        <v>5</v>
      </c>
    </row>
    <row r="429" spans="1:26" ht="15.75">
      <c r="A429" s="1" t="s">
        <v>852</v>
      </c>
      <c r="B429" s="4" t="s">
        <v>650</v>
      </c>
      <c r="C429" s="4" t="s">
        <v>1599</v>
      </c>
      <c r="D429" s="7" t="s">
        <v>852</v>
      </c>
      <c r="O429" s="1"/>
      <c r="S429" s="1"/>
      <c r="X429" t="s">
        <v>859</v>
      </c>
      <c r="Y429">
        <f t="shared" si="25"/>
        <v>1</v>
      </c>
      <c r="Z429">
        <f t="shared" si="26"/>
        <v>2</v>
      </c>
    </row>
    <row r="430" spans="1:26" ht="15.75">
      <c r="A430" s="1" t="s">
        <v>853</v>
      </c>
      <c r="B430" s="4" t="s">
        <v>1174</v>
      </c>
      <c r="C430" s="4" t="s">
        <v>1165</v>
      </c>
      <c r="D430" s="7" t="s">
        <v>853</v>
      </c>
      <c r="O430" s="1"/>
      <c r="S430" s="1"/>
      <c r="X430" t="s">
        <v>351</v>
      </c>
      <c r="Y430">
        <f t="shared" si="25"/>
        <v>1</v>
      </c>
      <c r="Z430">
        <f t="shared" si="26"/>
        <v>2</v>
      </c>
    </row>
    <row r="431" spans="1:26" ht="15.75">
      <c r="A431" s="1" t="s">
        <v>854</v>
      </c>
      <c r="B431" s="4" t="s">
        <v>76</v>
      </c>
      <c r="C431" s="4" t="s">
        <v>570</v>
      </c>
      <c r="D431" s="7" t="s">
        <v>854</v>
      </c>
      <c r="O431" s="1"/>
      <c r="S431" s="1"/>
      <c r="X431" t="s">
        <v>352</v>
      </c>
      <c r="Y431">
        <f t="shared" si="25"/>
        <v>2</v>
      </c>
      <c r="Z431">
        <f t="shared" si="26"/>
        <v>3</v>
      </c>
    </row>
    <row r="432" spans="1:26" ht="15.75">
      <c r="A432" s="1" t="s">
        <v>855</v>
      </c>
      <c r="B432" s="4" t="s">
        <v>1438</v>
      </c>
      <c r="C432" s="4" t="s">
        <v>1730</v>
      </c>
      <c r="D432" s="7" t="s">
        <v>855</v>
      </c>
      <c r="O432" s="1"/>
      <c r="S432" s="1"/>
      <c r="X432" t="s">
        <v>353</v>
      </c>
      <c r="Y432">
        <f t="shared" si="25"/>
        <v>1</v>
      </c>
      <c r="Z432">
        <f t="shared" si="26"/>
        <v>2</v>
      </c>
    </row>
    <row r="433" spans="1:26" ht="15.75">
      <c r="A433" s="1" t="s">
        <v>856</v>
      </c>
      <c r="B433" s="4" t="s">
        <v>437</v>
      </c>
      <c r="C433" s="4" t="s">
        <v>1113</v>
      </c>
      <c r="D433" s="7" t="s">
        <v>856</v>
      </c>
      <c r="O433" s="1"/>
      <c r="S433" s="1"/>
      <c r="X433" t="s">
        <v>354</v>
      </c>
      <c r="Y433">
        <f t="shared" si="25"/>
        <v>2</v>
      </c>
      <c r="Z433">
        <f t="shared" si="26"/>
        <v>3</v>
      </c>
    </row>
    <row r="434" spans="1:26" ht="15.75">
      <c r="A434" s="1" t="s">
        <v>857</v>
      </c>
      <c r="B434" s="4" t="s">
        <v>103</v>
      </c>
      <c r="C434" s="4" t="s">
        <v>76</v>
      </c>
      <c r="D434" s="7" t="s">
        <v>857</v>
      </c>
      <c r="O434" s="1"/>
      <c r="S434" s="1"/>
      <c r="X434" t="s">
        <v>1993</v>
      </c>
      <c r="Y434">
        <f t="shared" si="25"/>
        <v>1</v>
      </c>
      <c r="Z434">
        <f t="shared" si="26"/>
        <v>3</v>
      </c>
    </row>
    <row r="435" spans="1:26" ht="15.75">
      <c r="A435" s="1" t="s">
        <v>858</v>
      </c>
      <c r="B435" s="4" t="s">
        <v>1439</v>
      </c>
      <c r="C435" s="4" t="s">
        <v>89</v>
      </c>
      <c r="D435" s="7" t="s">
        <v>858</v>
      </c>
      <c r="O435" s="1"/>
      <c r="S435" s="1"/>
      <c r="X435" t="s">
        <v>1948</v>
      </c>
      <c r="Y435">
        <f t="shared" si="25"/>
        <v>1</v>
      </c>
      <c r="Z435">
        <f t="shared" si="26"/>
        <v>3</v>
      </c>
    </row>
    <row r="436" spans="1:26" ht="15.75">
      <c r="A436" s="1" t="s">
        <v>859</v>
      </c>
      <c r="B436" s="4" t="s">
        <v>171</v>
      </c>
      <c r="C436" s="4" t="s">
        <v>1011</v>
      </c>
      <c r="D436" s="7" t="s">
        <v>859</v>
      </c>
      <c r="O436" s="1"/>
      <c r="S436" s="1"/>
      <c r="X436" t="s">
        <v>355</v>
      </c>
      <c r="Y436">
        <f t="shared" si="25"/>
        <v>2</v>
      </c>
      <c r="Z436">
        <f t="shared" si="26"/>
        <v>2</v>
      </c>
    </row>
    <row r="437" spans="1:26" ht="15.75">
      <c r="A437" s="1" t="s">
        <v>860</v>
      </c>
      <c r="B437" s="4" t="s">
        <v>661</v>
      </c>
      <c r="C437" s="4" t="s">
        <v>64</v>
      </c>
      <c r="D437" s="7" t="s">
        <v>860</v>
      </c>
      <c r="O437" s="1"/>
      <c r="S437" s="1"/>
      <c r="X437" t="s">
        <v>356</v>
      </c>
      <c r="Y437">
        <f t="shared" si="25"/>
        <v>2</v>
      </c>
      <c r="Z437">
        <f t="shared" si="26"/>
        <v>3</v>
      </c>
    </row>
    <row r="438" spans="1:26" ht="15.75">
      <c r="A438" s="1" t="s">
        <v>861</v>
      </c>
      <c r="B438" s="4" t="s">
        <v>626</v>
      </c>
      <c r="C438" s="4" t="s">
        <v>942</v>
      </c>
      <c r="D438" s="7" t="s">
        <v>861</v>
      </c>
      <c r="O438" s="1"/>
      <c r="S438" s="1"/>
      <c r="X438" t="s">
        <v>734</v>
      </c>
      <c r="Y438">
        <f t="shared" si="25"/>
        <v>3</v>
      </c>
      <c r="Z438">
        <f t="shared" si="26"/>
        <v>4</v>
      </c>
    </row>
    <row r="439" spans="1:26" ht="15.75">
      <c r="A439" s="1" t="s">
        <v>862</v>
      </c>
      <c r="B439" s="4" t="s">
        <v>901</v>
      </c>
      <c r="C439" s="4" t="s">
        <v>279</v>
      </c>
      <c r="D439" s="7" t="s">
        <v>967</v>
      </c>
      <c r="O439" s="1"/>
      <c r="S439" s="1"/>
      <c r="X439" t="s">
        <v>357</v>
      </c>
      <c r="Y439">
        <f t="shared" si="25"/>
        <v>3</v>
      </c>
      <c r="Z439">
        <f t="shared" si="26"/>
        <v>3</v>
      </c>
    </row>
    <row r="440" spans="1:26" ht="15.75">
      <c r="A440" s="1" t="s">
        <v>863</v>
      </c>
      <c r="B440" s="4" t="s">
        <v>1067</v>
      </c>
      <c r="C440" s="4" t="s">
        <v>696</v>
      </c>
      <c r="D440" s="7" t="s">
        <v>863</v>
      </c>
      <c r="O440" s="1"/>
      <c r="S440" s="1"/>
      <c r="X440" t="s">
        <v>359</v>
      </c>
      <c r="Y440">
        <f t="shared" si="25"/>
        <v>2</v>
      </c>
      <c r="Z440">
        <f t="shared" si="26"/>
        <v>4</v>
      </c>
    </row>
    <row r="441" spans="1:26" ht="15.75">
      <c r="A441" s="1" t="s">
        <v>177</v>
      </c>
      <c r="B441" s="4" t="s">
        <v>825</v>
      </c>
      <c r="C441" s="4" t="s">
        <v>687</v>
      </c>
      <c r="D441" s="7" t="s">
        <v>177</v>
      </c>
      <c r="O441" s="1"/>
      <c r="S441" s="1"/>
      <c r="X441" t="s">
        <v>360</v>
      </c>
      <c r="Y441">
        <f t="shared" si="25"/>
        <v>3</v>
      </c>
      <c r="Z441">
        <f t="shared" si="26"/>
        <v>3</v>
      </c>
    </row>
    <row r="442" spans="1:26" ht="15.75">
      <c r="A442" s="1" t="s">
        <v>864</v>
      </c>
      <c r="B442" s="4" t="s">
        <v>800</v>
      </c>
      <c r="C442" s="4" t="s">
        <v>843</v>
      </c>
      <c r="D442" s="7" t="s">
        <v>864</v>
      </c>
      <c r="O442" s="1"/>
      <c r="S442" s="1"/>
      <c r="X442" t="s">
        <v>361</v>
      </c>
      <c r="Y442">
        <f t="shared" si="25"/>
        <v>3</v>
      </c>
      <c r="Z442">
        <f t="shared" si="26"/>
        <v>3</v>
      </c>
    </row>
    <row r="443" spans="1:26" ht="15.75">
      <c r="A443" s="1" t="s">
        <v>865</v>
      </c>
      <c r="B443" s="4" t="s">
        <v>909</v>
      </c>
      <c r="C443" s="4" t="s">
        <v>1052</v>
      </c>
      <c r="D443" s="7" t="s">
        <v>865</v>
      </c>
      <c r="O443" s="1"/>
      <c r="S443" s="1"/>
      <c r="X443" t="s">
        <v>362</v>
      </c>
      <c r="Y443">
        <f t="shared" si="25"/>
        <v>1</v>
      </c>
      <c r="Z443">
        <f t="shared" si="26"/>
        <v>2</v>
      </c>
    </row>
    <row r="444" spans="1:26" ht="15.75">
      <c r="A444" s="1" t="s">
        <v>487</v>
      </c>
      <c r="B444" s="4" t="s">
        <v>1248</v>
      </c>
      <c r="C444" s="4" t="s">
        <v>779</v>
      </c>
      <c r="D444" s="7" t="s">
        <v>487</v>
      </c>
      <c r="O444" s="1"/>
      <c r="S444" s="1"/>
      <c r="X444" t="s">
        <v>363</v>
      </c>
      <c r="Y444">
        <f t="shared" si="25"/>
        <v>1</v>
      </c>
      <c r="Z444">
        <f t="shared" si="26"/>
        <v>2</v>
      </c>
    </row>
    <row r="445" spans="1:26" ht="15.75">
      <c r="A445" s="1" t="s">
        <v>866</v>
      </c>
      <c r="B445" s="4" t="s">
        <v>892</v>
      </c>
      <c r="C445" s="4" t="s">
        <v>1589</v>
      </c>
      <c r="D445" s="7" t="s">
        <v>866</v>
      </c>
      <c r="O445" s="1"/>
      <c r="S445" s="1"/>
      <c r="X445" t="s">
        <v>364</v>
      </c>
      <c r="Y445">
        <f t="shared" si="25"/>
        <v>3</v>
      </c>
      <c r="Z445">
        <f t="shared" si="26"/>
        <v>4</v>
      </c>
    </row>
    <row r="446" spans="1:26" ht="15.75">
      <c r="A446" s="1" t="s">
        <v>867</v>
      </c>
      <c r="B446" s="4" t="s">
        <v>485</v>
      </c>
      <c r="C446" s="4" t="s">
        <v>1239</v>
      </c>
      <c r="D446" s="7" t="s">
        <v>867</v>
      </c>
      <c r="O446" s="1"/>
      <c r="S446" s="1"/>
      <c r="X446" t="s">
        <v>365</v>
      </c>
      <c r="Y446">
        <f t="shared" si="25"/>
        <v>2</v>
      </c>
      <c r="Z446">
        <f t="shared" si="26"/>
        <v>2</v>
      </c>
    </row>
    <row r="447" spans="1:26" ht="15.75">
      <c r="A447" s="1" t="s">
        <v>868</v>
      </c>
      <c r="B447" s="4" t="s">
        <v>865</v>
      </c>
      <c r="C447" s="4" t="s">
        <v>1224</v>
      </c>
      <c r="D447" s="7" t="s">
        <v>868</v>
      </c>
      <c r="O447" s="1"/>
      <c r="S447" s="1"/>
      <c r="X447" t="s">
        <v>1976</v>
      </c>
      <c r="Y447">
        <f t="shared" si="25"/>
        <v>3</v>
      </c>
      <c r="Z447">
        <f t="shared" si="26"/>
        <v>3</v>
      </c>
    </row>
    <row r="448" spans="1:26" ht="15.75">
      <c r="A448" s="1" t="s">
        <v>869</v>
      </c>
      <c r="B448" s="4" t="s">
        <v>827</v>
      </c>
      <c r="C448" s="4" t="s">
        <v>1449</v>
      </c>
      <c r="D448" s="7" t="s">
        <v>869</v>
      </c>
      <c r="O448" s="1"/>
      <c r="S448" s="1"/>
      <c r="X448" t="s">
        <v>366</v>
      </c>
      <c r="Y448">
        <f t="shared" si="25"/>
        <v>4</v>
      </c>
      <c r="Z448">
        <f t="shared" si="26"/>
        <v>5</v>
      </c>
    </row>
    <row r="449" spans="1:26" ht="15.75">
      <c r="A449" s="1" t="s">
        <v>870</v>
      </c>
      <c r="B449" s="4" t="s">
        <v>53</v>
      </c>
      <c r="C449" s="4" t="s">
        <v>1274</v>
      </c>
      <c r="D449" s="7" t="s">
        <v>870</v>
      </c>
      <c r="O449" s="1"/>
      <c r="S449" s="1"/>
      <c r="X449" t="s">
        <v>367</v>
      </c>
      <c r="Y449">
        <f t="shared" ref="Y449:Y512" si="27">IF(ISNUMBER(FIND("e",X449)),1,0)+IF(ISNUMBER(FIND("n",X449)),1,0)+IF(ISNUMBER(FIND("t",X449)),1,0)+IF(ISNUMBER(FIND("o",X449)),1,0)+IF(ISNUMBER(FIND("r",X449)),1,0)+IF(ISNUMBER(FIND("s",X449)),1,0)+IF(ISNUMBER(FIND("d",X449)),1,0)+IF(ISNUMBER(FIND("i",X449)),1,0)</f>
        <v>3</v>
      </c>
      <c r="Z449">
        <f t="shared" ref="Z449:Z512" si="28">LEN(X449)</f>
        <v>3</v>
      </c>
    </row>
    <row r="450" spans="1:26" ht="15.75">
      <c r="A450" s="1" t="s">
        <v>871</v>
      </c>
      <c r="B450" s="4" t="s">
        <v>1440</v>
      </c>
      <c r="C450" s="4" t="s">
        <v>1405</v>
      </c>
      <c r="D450" s="7" t="s">
        <v>871</v>
      </c>
      <c r="O450" s="1"/>
      <c r="S450" s="1"/>
      <c r="X450" t="s">
        <v>1979</v>
      </c>
      <c r="Y450">
        <f t="shared" si="27"/>
        <v>3</v>
      </c>
      <c r="Z450">
        <f t="shared" si="28"/>
        <v>3</v>
      </c>
    </row>
    <row r="451" spans="1:26" ht="15.75">
      <c r="A451" s="1" t="s">
        <v>872</v>
      </c>
      <c r="B451" s="4" t="s">
        <v>736</v>
      </c>
      <c r="C451" s="4" t="s">
        <v>1402</v>
      </c>
      <c r="D451" s="7" t="s">
        <v>872</v>
      </c>
      <c r="O451" s="1"/>
      <c r="S451" s="1"/>
      <c r="X451" t="s">
        <v>1913</v>
      </c>
      <c r="Y451">
        <f t="shared" si="27"/>
        <v>2</v>
      </c>
      <c r="Z451">
        <f t="shared" si="28"/>
        <v>3</v>
      </c>
    </row>
    <row r="452" spans="1:26" ht="15.75">
      <c r="A452" s="1" t="s">
        <v>873</v>
      </c>
      <c r="B452" s="4" t="s">
        <v>1000</v>
      </c>
      <c r="C452" s="4" t="s">
        <v>1421</v>
      </c>
      <c r="D452" s="7" t="s">
        <v>873</v>
      </c>
      <c r="O452" s="1"/>
      <c r="S452" s="1"/>
      <c r="X452" t="s">
        <v>368</v>
      </c>
      <c r="Y452">
        <f t="shared" si="27"/>
        <v>3</v>
      </c>
      <c r="Z452">
        <f t="shared" si="28"/>
        <v>3</v>
      </c>
    </row>
    <row r="453" spans="1:26" ht="15.75">
      <c r="A453" s="1" t="s">
        <v>874</v>
      </c>
      <c r="B453" s="4" t="s">
        <v>846</v>
      </c>
      <c r="C453" s="4" t="s">
        <v>431</v>
      </c>
      <c r="D453" s="7" t="s">
        <v>1083</v>
      </c>
      <c r="O453" s="1"/>
      <c r="S453" s="1"/>
      <c r="X453" t="s">
        <v>369</v>
      </c>
      <c r="Y453">
        <f t="shared" si="27"/>
        <v>2</v>
      </c>
      <c r="Z453">
        <f t="shared" si="28"/>
        <v>2</v>
      </c>
    </row>
    <row r="454" spans="1:26" ht="15.75">
      <c r="A454" s="1" t="s">
        <v>875</v>
      </c>
      <c r="B454" s="4" t="s">
        <v>1044</v>
      </c>
      <c r="C454" s="4" t="s">
        <v>1731</v>
      </c>
      <c r="D454" s="7" t="s">
        <v>875</v>
      </c>
      <c r="O454" s="1"/>
      <c r="S454" s="1"/>
      <c r="X454" t="s">
        <v>1915</v>
      </c>
      <c r="Y454">
        <f t="shared" si="27"/>
        <v>3</v>
      </c>
      <c r="Z454">
        <f t="shared" si="28"/>
        <v>3</v>
      </c>
    </row>
    <row r="455" spans="1:26" ht="15.75">
      <c r="A455" s="1" t="s">
        <v>876</v>
      </c>
      <c r="B455" s="4" t="s">
        <v>668</v>
      </c>
      <c r="C455" s="4" t="s">
        <v>785</v>
      </c>
      <c r="D455" s="7" t="s">
        <v>876</v>
      </c>
      <c r="O455" s="1"/>
      <c r="S455" s="1"/>
      <c r="X455" t="s">
        <v>370</v>
      </c>
      <c r="Y455">
        <f t="shared" si="27"/>
        <v>2</v>
      </c>
      <c r="Z455">
        <f t="shared" si="28"/>
        <v>2</v>
      </c>
    </row>
    <row r="456" spans="1:26" ht="15.75">
      <c r="A456" s="1" t="s">
        <v>877</v>
      </c>
      <c r="B456" s="4" t="s">
        <v>1441</v>
      </c>
      <c r="C456" s="4" t="s">
        <v>1732</v>
      </c>
      <c r="D456" s="7" t="s">
        <v>877</v>
      </c>
      <c r="O456" s="1"/>
      <c r="S456" s="1"/>
      <c r="X456" t="s">
        <v>371</v>
      </c>
      <c r="Y456">
        <f t="shared" si="27"/>
        <v>2</v>
      </c>
      <c r="Z456">
        <f t="shared" si="28"/>
        <v>3</v>
      </c>
    </row>
    <row r="457" spans="1:26" ht="15.75">
      <c r="A457" s="1" t="s">
        <v>878</v>
      </c>
      <c r="B457" s="4" t="s">
        <v>792</v>
      </c>
      <c r="C457" s="4" t="s">
        <v>1488</v>
      </c>
      <c r="D457" s="7" t="s">
        <v>878</v>
      </c>
      <c r="O457" s="1"/>
      <c r="S457" s="1"/>
      <c r="X457" t="s">
        <v>372</v>
      </c>
      <c r="Y457">
        <f t="shared" si="27"/>
        <v>4</v>
      </c>
      <c r="Z457">
        <f t="shared" si="28"/>
        <v>5</v>
      </c>
    </row>
    <row r="458" spans="1:26" ht="15.75">
      <c r="A458" s="1" t="s">
        <v>180</v>
      </c>
      <c r="B458" s="4" t="s">
        <v>1009</v>
      </c>
      <c r="C458" s="4" t="s">
        <v>565</v>
      </c>
      <c r="D458" s="7" t="s">
        <v>180</v>
      </c>
      <c r="O458" s="1"/>
      <c r="S458" s="1"/>
      <c r="X458" t="s">
        <v>373</v>
      </c>
      <c r="Y458">
        <f t="shared" si="27"/>
        <v>1</v>
      </c>
      <c r="Z458">
        <f t="shared" si="28"/>
        <v>2</v>
      </c>
    </row>
    <row r="459" spans="1:26" ht="15.75">
      <c r="A459" s="1" t="s">
        <v>879</v>
      </c>
      <c r="B459" s="4" t="s">
        <v>1243</v>
      </c>
      <c r="C459" s="4" t="s">
        <v>882</v>
      </c>
      <c r="D459" s="7" t="s">
        <v>879</v>
      </c>
      <c r="O459" s="1"/>
      <c r="S459" s="1"/>
      <c r="X459" t="s">
        <v>376</v>
      </c>
      <c r="Y459">
        <f t="shared" si="27"/>
        <v>2</v>
      </c>
      <c r="Z459">
        <f t="shared" si="28"/>
        <v>3</v>
      </c>
    </row>
    <row r="460" spans="1:26" ht="15.75">
      <c r="A460" s="1" t="s">
        <v>880</v>
      </c>
      <c r="B460" s="4" t="s">
        <v>738</v>
      </c>
      <c r="C460" s="4" t="s">
        <v>422</v>
      </c>
      <c r="D460" s="7" t="s">
        <v>880</v>
      </c>
      <c r="O460" s="1"/>
      <c r="S460" s="1"/>
      <c r="X460" t="s">
        <v>377</v>
      </c>
      <c r="Y460">
        <f t="shared" si="27"/>
        <v>2</v>
      </c>
      <c r="Z460">
        <f t="shared" si="28"/>
        <v>3</v>
      </c>
    </row>
    <row r="461" spans="1:26" ht="15.75">
      <c r="A461" s="1" t="s">
        <v>881</v>
      </c>
      <c r="B461" s="4" t="s">
        <v>765</v>
      </c>
      <c r="C461" s="4" t="s">
        <v>865</v>
      </c>
      <c r="D461" s="7" t="s">
        <v>881</v>
      </c>
      <c r="O461" s="1"/>
      <c r="S461" s="1"/>
      <c r="X461" t="s">
        <v>378</v>
      </c>
      <c r="Y461">
        <f t="shared" si="27"/>
        <v>2</v>
      </c>
      <c r="Z461">
        <f t="shared" si="28"/>
        <v>3</v>
      </c>
    </row>
    <row r="462" spans="1:26" ht="15.75">
      <c r="A462" s="1" t="s">
        <v>882</v>
      </c>
      <c r="B462" s="4" t="s">
        <v>851</v>
      </c>
      <c r="C462" s="4" t="s">
        <v>894</v>
      </c>
      <c r="D462" s="7" t="s">
        <v>882</v>
      </c>
      <c r="O462" s="1"/>
      <c r="S462" s="1"/>
      <c r="X462" t="s">
        <v>379</v>
      </c>
      <c r="Y462">
        <f t="shared" si="27"/>
        <v>1</v>
      </c>
      <c r="Z462">
        <f t="shared" si="28"/>
        <v>2</v>
      </c>
    </row>
    <row r="463" spans="1:26" ht="15.75">
      <c r="A463" s="1" t="s">
        <v>883</v>
      </c>
      <c r="B463" s="4" t="s">
        <v>1442</v>
      </c>
      <c r="C463" s="4" t="s">
        <v>922</v>
      </c>
      <c r="D463" s="7" t="s">
        <v>883</v>
      </c>
      <c r="O463" s="1"/>
      <c r="S463" s="1"/>
      <c r="X463" t="s">
        <v>1905</v>
      </c>
      <c r="Y463">
        <f t="shared" si="27"/>
        <v>2</v>
      </c>
      <c r="Z463">
        <f t="shared" si="28"/>
        <v>3</v>
      </c>
    </row>
    <row r="464" spans="1:26" ht="15.75">
      <c r="A464" s="1" t="s">
        <v>884</v>
      </c>
      <c r="B464" s="4" t="s">
        <v>1443</v>
      </c>
      <c r="C464" s="4" t="s">
        <v>1733</v>
      </c>
      <c r="D464" s="7" t="s">
        <v>884</v>
      </c>
      <c r="O464" s="1"/>
      <c r="S464" s="1"/>
      <c r="X464" t="s">
        <v>380</v>
      </c>
      <c r="Y464">
        <f t="shared" si="27"/>
        <v>3</v>
      </c>
      <c r="Z464">
        <f t="shared" si="28"/>
        <v>4</v>
      </c>
    </row>
    <row r="465" spans="1:26" ht="15.75">
      <c r="A465" s="1" t="s">
        <v>885</v>
      </c>
      <c r="B465" s="4" t="s">
        <v>688</v>
      </c>
      <c r="C465" s="4" t="s">
        <v>473</v>
      </c>
      <c r="D465" s="7" t="s">
        <v>885</v>
      </c>
      <c r="O465" s="1"/>
      <c r="S465" s="1"/>
      <c r="X465" t="s">
        <v>381</v>
      </c>
      <c r="Y465">
        <f t="shared" si="27"/>
        <v>1</v>
      </c>
      <c r="Z465">
        <f t="shared" si="28"/>
        <v>2</v>
      </c>
    </row>
    <row r="466" spans="1:26" ht="15.75">
      <c r="A466" s="1" t="s">
        <v>886</v>
      </c>
      <c r="B466" s="4" t="s">
        <v>545</v>
      </c>
      <c r="C466" s="4" t="s">
        <v>1734</v>
      </c>
      <c r="D466" s="7" t="s">
        <v>886</v>
      </c>
      <c r="O466" s="1"/>
      <c r="S466" s="1"/>
      <c r="X466" t="s">
        <v>382</v>
      </c>
      <c r="Y466">
        <f t="shared" si="27"/>
        <v>2</v>
      </c>
      <c r="Z466">
        <f t="shared" si="28"/>
        <v>3</v>
      </c>
    </row>
    <row r="467" spans="1:26" ht="15.75">
      <c r="A467" s="1" t="s">
        <v>887</v>
      </c>
      <c r="B467" s="4" t="s">
        <v>1444</v>
      </c>
      <c r="C467" s="4" t="s">
        <v>654</v>
      </c>
      <c r="D467" s="7" t="s">
        <v>887</v>
      </c>
      <c r="O467" s="1"/>
      <c r="S467" s="1"/>
      <c r="X467" t="s">
        <v>383</v>
      </c>
      <c r="Y467">
        <f t="shared" si="27"/>
        <v>0</v>
      </c>
      <c r="Z467">
        <f t="shared" si="28"/>
        <v>2</v>
      </c>
    </row>
    <row r="468" spans="1:26" ht="15.75">
      <c r="A468" s="1" t="s">
        <v>504</v>
      </c>
      <c r="B468" s="4" t="s">
        <v>853</v>
      </c>
      <c r="C468" s="4" t="s">
        <v>825</v>
      </c>
      <c r="D468" s="7" t="s">
        <v>919</v>
      </c>
      <c r="O468" s="1"/>
      <c r="S468" s="1"/>
      <c r="X468" t="s">
        <v>712</v>
      </c>
      <c r="Y468">
        <f t="shared" si="27"/>
        <v>2</v>
      </c>
      <c r="Z468">
        <f t="shared" si="28"/>
        <v>5</v>
      </c>
    </row>
    <row r="469" spans="1:26" ht="15.75">
      <c r="A469" s="1" t="s">
        <v>888</v>
      </c>
      <c r="B469" s="4" t="s">
        <v>285</v>
      </c>
      <c r="C469" s="4" t="s">
        <v>1248</v>
      </c>
      <c r="D469" s="7" t="s">
        <v>888</v>
      </c>
      <c r="O469" s="1"/>
      <c r="S469" s="1"/>
      <c r="X469" t="s">
        <v>1904</v>
      </c>
      <c r="Y469">
        <f t="shared" si="27"/>
        <v>1</v>
      </c>
      <c r="Z469">
        <f t="shared" si="28"/>
        <v>3</v>
      </c>
    </row>
    <row r="470" spans="1:26" ht="15.75">
      <c r="A470" s="1" t="s">
        <v>889</v>
      </c>
      <c r="B470" s="4" t="s">
        <v>1030</v>
      </c>
      <c r="C470" s="4" t="s">
        <v>780</v>
      </c>
      <c r="D470" s="7" t="s">
        <v>889</v>
      </c>
      <c r="O470" s="1"/>
      <c r="S470" s="1"/>
      <c r="X470" t="s">
        <v>386</v>
      </c>
      <c r="Y470">
        <f t="shared" si="27"/>
        <v>2</v>
      </c>
      <c r="Z470">
        <f t="shared" si="28"/>
        <v>4</v>
      </c>
    </row>
    <row r="471" spans="1:26" ht="15.75">
      <c r="A471" s="1" t="s">
        <v>890</v>
      </c>
      <c r="B471" s="4" t="s">
        <v>1863</v>
      </c>
      <c r="C471" s="4" t="s">
        <v>1539</v>
      </c>
      <c r="D471" s="7" t="s">
        <v>890</v>
      </c>
      <c r="O471" s="1"/>
      <c r="S471" s="1"/>
      <c r="X471" t="s">
        <v>779</v>
      </c>
      <c r="Y471">
        <f t="shared" si="27"/>
        <v>1</v>
      </c>
      <c r="Z471">
        <f t="shared" si="28"/>
        <v>4</v>
      </c>
    </row>
    <row r="472" spans="1:26" ht="15.75">
      <c r="A472" s="1" t="s">
        <v>891</v>
      </c>
      <c r="B472" s="4" t="s">
        <v>1445</v>
      </c>
      <c r="C472" s="4" t="s">
        <v>866</v>
      </c>
      <c r="D472" s="7" t="s">
        <v>891</v>
      </c>
      <c r="O472" s="1"/>
      <c r="S472" s="1"/>
      <c r="X472" t="s">
        <v>387</v>
      </c>
      <c r="Y472">
        <f t="shared" si="27"/>
        <v>1</v>
      </c>
      <c r="Z472">
        <f t="shared" si="28"/>
        <v>2</v>
      </c>
    </row>
    <row r="473" spans="1:26" ht="15.75">
      <c r="A473" s="1" t="s">
        <v>892</v>
      </c>
      <c r="B473" s="4" t="s">
        <v>64</v>
      </c>
      <c r="C473" s="4" t="s">
        <v>1464</v>
      </c>
      <c r="D473" s="7" t="s">
        <v>892</v>
      </c>
      <c r="O473" s="1"/>
      <c r="S473" s="1"/>
      <c r="X473" t="s">
        <v>388</v>
      </c>
      <c r="Y473">
        <f t="shared" si="27"/>
        <v>2</v>
      </c>
      <c r="Z473">
        <f t="shared" si="28"/>
        <v>6</v>
      </c>
    </row>
    <row r="474" spans="1:26" ht="15.75">
      <c r="A474" s="1" t="s">
        <v>893</v>
      </c>
      <c r="B474" s="4" t="s">
        <v>1446</v>
      </c>
      <c r="C474" s="4" t="s">
        <v>822</v>
      </c>
      <c r="D474" s="7" t="s">
        <v>893</v>
      </c>
      <c r="O474" s="1"/>
      <c r="S474" s="1"/>
      <c r="X474" t="s">
        <v>389</v>
      </c>
      <c r="Y474">
        <f t="shared" si="27"/>
        <v>2</v>
      </c>
      <c r="Z474">
        <f t="shared" si="28"/>
        <v>3</v>
      </c>
    </row>
    <row r="475" spans="1:26" ht="15.75">
      <c r="A475" s="1" t="s">
        <v>894</v>
      </c>
      <c r="B475" s="4" t="s">
        <v>1447</v>
      </c>
      <c r="C475" s="4" t="s">
        <v>437</v>
      </c>
      <c r="D475" s="7" t="s">
        <v>894</v>
      </c>
      <c r="O475" s="1"/>
      <c r="S475" s="1"/>
      <c r="X475" t="s">
        <v>942</v>
      </c>
      <c r="Y475">
        <f t="shared" si="27"/>
        <v>3</v>
      </c>
      <c r="Z475">
        <f t="shared" si="28"/>
        <v>7</v>
      </c>
    </row>
    <row r="476" spans="1:26" ht="15.75">
      <c r="A476" s="1" t="s">
        <v>895</v>
      </c>
      <c r="B476" s="4" t="s">
        <v>1448</v>
      </c>
      <c r="C476" s="4" t="s">
        <v>177</v>
      </c>
      <c r="D476" s="7" t="s">
        <v>895</v>
      </c>
      <c r="O476" s="1"/>
      <c r="S476" s="1"/>
      <c r="X476" t="s">
        <v>815</v>
      </c>
      <c r="Y476">
        <f t="shared" si="27"/>
        <v>5</v>
      </c>
      <c r="Z476">
        <f t="shared" si="28"/>
        <v>6</v>
      </c>
    </row>
    <row r="477" spans="1:26" ht="15.75">
      <c r="A477" s="1" t="s">
        <v>896</v>
      </c>
      <c r="B477" s="4" t="s">
        <v>996</v>
      </c>
      <c r="C477" s="4" t="s">
        <v>1735</v>
      </c>
      <c r="D477" s="7" t="s">
        <v>11</v>
      </c>
      <c r="O477" s="1"/>
      <c r="S477" s="1"/>
      <c r="X477" t="s">
        <v>776</v>
      </c>
      <c r="Y477">
        <f t="shared" si="27"/>
        <v>2</v>
      </c>
      <c r="Z477">
        <f t="shared" si="28"/>
        <v>5</v>
      </c>
    </row>
    <row r="478" spans="1:26" ht="15.75">
      <c r="A478" s="1" t="s">
        <v>897</v>
      </c>
      <c r="B478" s="4" t="s">
        <v>805</v>
      </c>
      <c r="C478" s="4" t="s">
        <v>408</v>
      </c>
      <c r="D478" s="7" t="s">
        <v>897</v>
      </c>
      <c r="O478" s="1"/>
      <c r="S478" s="1"/>
      <c r="X478" t="s">
        <v>395</v>
      </c>
      <c r="Y478">
        <f t="shared" si="27"/>
        <v>0</v>
      </c>
      <c r="Z478">
        <f t="shared" si="28"/>
        <v>2</v>
      </c>
    </row>
    <row r="479" spans="1:26" ht="15.75">
      <c r="A479" s="1" t="s">
        <v>898</v>
      </c>
      <c r="B479" s="4" t="s">
        <v>818</v>
      </c>
      <c r="C479" s="4" t="s">
        <v>431</v>
      </c>
      <c r="D479" s="7" t="s">
        <v>898</v>
      </c>
      <c r="O479" s="1"/>
      <c r="S479" s="1"/>
      <c r="X479" t="s">
        <v>1966</v>
      </c>
      <c r="Y479">
        <f t="shared" si="27"/>
        <v>0</v>
      </c>
      <c r="Z479">
        <f t="shared" si="28"/>
        <v>3</v>
      </c>
    </row>
    <row r="480" spans="1:26" ht="15.75">
      <c r="A480" s="1" t="s">
        <v>899</v>
      </c>
      <c r="B480" s="4" t="s">
        <v>1449</v>
      </c>
      <c r="C480" s="4" t="s">
        <v>802</v>
      </c>
      <c r="D480" s="7" t="s">
        <v>899</v>
      </c>
      <c r="O480" s="1"/>
      <c r="S480" s="1"/>
      <c r="X480" t="s">
        <v>396</v>
      </c>
      <c r="Y480">
        <f t="shared" si="27"/>
        <v>1</v>
      </c>
      <c r="Z480">
        <f t="shared" si="28"/>
        <v>5</v>
      </c>
    </row>
    <row r="481" spans="1:26" ht="15.75">
      <c r="A481" s="1" t="s">
        <v>900</v>
      </c>
      <c r="B481" s="4" t="s">
        <v>503</v>
      </c>
      <c r="C481" s="4" t="s">
        <v>1585</v>
      </c>
      <c r="D481" s="7" t="s">
        <v>900</v>
      </c>
      <c r="O481" s="1"/>
      <c r="S481" s="1"/>
      <c r="X481" t="s">
        <v>838</v>
      </c>
      <c r="Y481">
        <f t="shared" si="27"/>
        <v>1</v>
      </c>
      <c r="Z481">
        <f t="shared" si="28"/>
        <v>4</v>
      </c>
    </row>
    <row r="482" spans="1:26" ht="15.75">
      <c r="A482" s="1" t="s">
        <v>901</v>
      </c>
      <c r="B482" s="4" t="s">
        <v>581</v>
      </c>
      <c r="C482" s="4" t="s">
        <v>1601</v>
      </c>
      <c r="D482" s="7" t="s">
        <v>901</v>
      </c>
      <c r="O482" s="1"/>
      <c r="S482" s="1"/>
      <c r="X482" t="s">
        <v>674</v>
      </c>
      <c r="Y482">
        <f t="shared" si="27"/>
        <v>2</v>
      </c>
      <c r="Z482">
        <f t="shared" si="28"/>
        <v>5</v>
      </c>
    </row>
    <row r="483" spans="1:26" ht="15.75">
      <c r="A483" s="1" t="s">
        <v>420</v>
      </c>
      <c r="B483" s="4" t="s">
        <v>774</v>
      </c>
      <c r="C483" s="4" t="s">
        <v>1736</v>
      </c>
      <c r="D483" s="7" t="s">
        <v>420</v>
      </c>
      <c r="O483" s="1"/>
      <c r="S483" s="1"/>
      <c r="X483" t="s">
        <v>644</v>
      </c>
      <c r="Y483">
        <f t="shared" si="27"/>
        <v>0</v>
      </c>
      <c r="Z483">
        <f t="shared" si="28"/>
        <v>4</v>
      </c>
    </row>
    <row r="484" spans="1:26" ht="15.75">
      <c r="A484" s="1" t="s">
        <v>71</v>
      </c>
      <c r="B484" s="4" t="s">
        <v>1450</v>
      </c>
      <c r="C484" s="4" t="s">
        <v>1057</v>
      </c>
      <c r="D484" s="7" t="s">
        <v>71</v>
      </c>
      <c r="O484" s="1"/>
      <c r="S484" s="1"/>
      <c r="X484" t="s">
        <v>1967</v>
      </c>
      <c r="Y484">
        <f t="shared" si="27"/>
        <v>1</v>
      </c>
      <c r="Z484">
        <f t="shared" si="28"/>
        <v>3</v>
      </c>
    </row>
    <row r="485" spans="1:26" ht="15.75">
      <c r="A485" s="1" t="s">
        <v>182</v>
      </c>
      <c r="B485" s="4" t="s">
        <v>687</v>
      </c>
      <c r="C485" s="4" t="s">
        <v>1000</v>
      </c>
      <c r="D485" s="7" t="s">
        <v>182</v>
      </c>
      <c r="O485" s="1"/>
      <c r="S485" s="1"/>
      <c r="X485" t="s">
        <v>399</v>
      </c>
      <c r="Y485">
        <f t="shared" si="27"/>
        <v>1</v>
      </c>
      <c r="Z485">
        <f t="shared" si="28"/>
        <v>2</v>
      </c>
    </row>
    <row r="486" spans="1:26" ht="15.75">
      <c r="A486" s="1" t="s">
        <v>902</v>
      </c>
      <c r="B486" s="4" t="s">
        <v>803</v>
      </c>
      <c r="C486" s="4" t="s">
        <v>155</v>
      </c>
      <c r="D486" s="7" t="s">
        <v>902</v>
      </c>
      <c r="O486" s="1"/>
      <c r="S486" s="1"/>
      <c r="X486" t="s">
        <v>660</v>
      </c>
      <c r="Y486">
        <f t="shared" si="27"/>
        <v>4</v>
      </c>
      <c r="Z486">
        <f t="shared" si="28"/>
        <v>5</v>
      </c>
    </row>
    <row r="487" spans="1:26" ht="15.75">
      <c r="A487" s="1" t="s">
        <v>903</v>
      </c>
      <c r="B487" s="4" t="s">
        <v>801</v>
      </c>
      <c r="C487" s="4" t="s">
        <v>861</v>
      </c>
      <c r="D487" s="7" t="s">
        <v>910</v>
      </c>
      <c r="O487" s="1"/>
      <c r="S487" s="1"/>
      <c r="X487" t="s">
        <v>1898</v>
      </c>
      <c r="Y487">
        <f t="shared" si="27"/>
        <v>2</v>
      </c>
      <c r="Z487">
        <f t="shared" si="28"/>
        <v>3</v>
      </c>
    </row>
    <row r="488" spans="1:26" ht="15.75">
      <c r="A488" s="1" t="s">
        <v>904</v>
      </c>
      <c r="B488" s="4" t="s">
        <v>695</v>
      </c>
      <c r="C488" s="4" t="s">
        <v>581</v>
      </c>
      <c r="D488" s="7" t="s">
        <v>620</v>
      </c>
      <c r="O488" s="1"/>
      <c r="S488" s="1"/>
      <c r="X488" t="s">
        <v>1994</v>
      </c>
      <c r="Y488">
        <f t="shared" si="27"/>
        <v>2</v>
      </c>
      <c r="Z488">
        <f t="shared" si="28"/>
        <v>3</v>
      </c>
    </row>
    <row r="489" spans="1:26" ht="15.75">
      <c r="A489" s="1" t="s">
        <v>905</v>
      </c>
      <c r="B489" s="4" t="s">
        <v>1451</v>
      </c>
      <c r="C489" s="4" t="s">
        <v>1737</v>
      </c>
      <c r="D489" s="7" t="s">
        <v>904</v>
      </c>
      <c r="O489" s="1"/>
      <c r="S489" s="1"/>
      <c r="X489" t="s">
        <v>404</v>
      </c>
      <c r="Y489">
        <f t="shared" si="27"/>
        <v>3</v>
      </c>
      <c r="Z489">
        <f t="shared" si="28"/>
        <v>5</v>
      </c>
    </row>
    <row r="490" spans="1:26" ht="15.75">
      <c r="A490" s="1" t="s">
        <v>906</v>
      </c>
      <c r="B490" s="4" t="s">
        <v>657</v>
      </c>
      <c r="C490" s="4" t="s">
        <v>723</v>
      </c>
      <c r="D490" s="7" t="s">
        <v>905</v>
      </c>
      <c r="O490" s="1"/>
      <c r="S490" s="1"/>
      <c r="X490" t="s">
        <v>406</v>
      </c>
      <c r="Y490">
        <f t="shared" si="27"/>
        <v>1</v>
      </c>
      <c r="Z490">
        <f t="shared" si="28"/>
        <v>2</v>
      </c>
    </row>
    <row r="491" spans="1:26" ht="15.75">
      <c r="A491" s="1" t="s">
        <v>907</v>
      </c>
      <c r="B491" s="4" t="s">
        <v>1452</v>
      </c>
      <c r="C491" s="4" t="s">
        <v>827</v>
      </c>
      <c r="D491" s="7" t="s">
        <v>906</v>
      </c>
      <c r="O491" s="1"/>
      <c r="S491" s="1"/>
      <c r="X491" t="s">
        <v>1927</v>
      </c>
      <c r="Y491">
        <f t="shared" si="27"/>
        <v>2</v>
      </c>
      <c r="Z491">
        <f t="shared" si="28"/>
        <v>3</v>
      </c>
    </row>
    <row r="492" spans="1:26" ht="15.75">
      <c r="A492" s="1" t="s">
        <v>908</v>
      </c>
      <c r="B492" s="4" t="s">
        <v>1453</v>
      </c>
      <c r="C492" s="4" t="s">
        <v>818</v>
      </c>
      <c r="D492" s="7" t="s">
        <v>907</v>
      </c>
      <c r="O492" s="1"/>
      <c r="S492" s="1"/>
      <c r="X492" t="s">
        <v>1892</v>
      </c>
      <c r="Y492">
        <f t="shared" si="27"/>
        <v>2</v>
      </c>
      <c r="Z492">
        <f t="shared" si="28"/>
        <v>3</v>
      </c>
    </row>
    <row r="493" spans="1:26" ht="15.75">
      <c r="A493" s="1" t="s">
        <v>909</v>
      </c>
      <c r="B493" s="4" t="s">
        <v>883</v>
      </c>
      <c r="C493" s="4" t="s">
        <v>850</v>
      </c>
      <c r="D493" s="7" t="s">
        <v>954</v>
      </c>
      <c r="O493" s="1"/>
      <c r="S493" s="1"/>
      <c r="X493" t="s">
        <v>410</v>
      </c>
      <c r="Y493">
        <f t="shared" si="27"/>
        <v>2</v>
      </c>
      <c r="Z493">
        <f t="shared" si="28"/>
        <v>3</v>
      </c>
    </row>
    <row r="494" spans="1:26" ht="15.75">
      <c r="A494" s="1" t="s">
        <v>910</v>
      </c>
      <c r="B494" s="4" t="s">
        <v>652</v>
      </c>
      <c r="C494" s="4" t="s">
        <v>928</v>
      </c>
      <c r="D494" s="7" t="s">
        <v>909</v>
      </c>
      <c r="O494" s="1"/>
      <c r="S494" s="1"/>
      <c r="X494" t="s">
        <v>775</v>
      </c>
      <c r="Y494">
        <f t="shared" si="27"/>
        <v>3</v>
      </c>
      <c r="Z494">
        <f t="shared" si="28"/>
        <v>7</v>
      </c>
    </row>
    <row r="495" spans="1:26" ht="15.75">
      <c r="A495" s="1" t="s">
        <v>911</v>
      </c>
      <c r="B495" s="4" t="s">
        <v>1169</v>
      </c>
      <c r="C495" s="5" t="b">
        <v>1</v>
      </c>
      <c r="D495" s="7" t="s">
        <v>962</v>
      </c>
      <c r="O495" s="1"/>
      <c r="S495" s="1"/>
      <c r="X495" t="s">
        <v>1349</v>
      </c>
      <c r="Y495">
        <f t="shared" si="27"/>
        <v>3</v>
      </c>
      <c r="Z495">
        <f t="shared" si="28"/>
        <v>6</v>
      </c>
    </row>
    <row r="496" spans="1:26" ht="15.75">
      <c r="A496" s="1" t="s">
        <v>912</v>
      </c>
      <c r="B496" s="4" t="s">
        <v>543</v>
      </c>
      <c r="C496" s="4" t="s">
        <v>1738</v>
      </c>
      <c r="D496" s="8" t="s">
        <v>942</v>
      </c>
      <c r="O496" s="1"/>
      <c r="S496" s="1"/>
      <c r="X496" t="s">
        <v>1696</v>
      </c>
      <c r="Y496">
        <f t="shared" si="27"/>
        <v>4</v>
      </c>
      <c r="Z496">
        <f t="shared" si="28"/>
        <v>7</v>
      </c>
    </row>
    <row r="497" spans="1:26" ht="15.75">
      <c r="A497" s="1" t="s">
        <v>913</v>
      </c>
      <c r="B497" s="4" t="s">
        <v>1454</v>
      </c>
      <c r="C497" s="4" t="s">
        <v>1115</v>
      </c>
      <c r="D497" s="7" t="s">
        <v>912</v>
      </c>
      <c r="O497" s="1"/>
      <c r="S497" s="1"/>
      <c r="X497" t="s">
        <v>645</v>
      </c>
      <c r="Y497">
        <f t="shared" si="27"/>
        <v>1</v>
      </c>
      <c r="Z497">
        <f t="shared" si="28"/>
        <v>3</v>
      </c>
    </row>
    <row r="498" spans="1:26" ht="15.75">
      <c r="A498" s="1" t="s">
        <v>914</v>
      </c>
      <c r="B498" s="4" t="s">
        <v>390</v>
      </c>
      <c r="C498" s="4" t="s">
        <v>785</v>
      </c>
      <c r="D498" s="7" t="s">
        <v>913</v>
      </c>
      <c r="O498" s="1"/>
      <c r="S498" s="1"/>
      <c r="X498" t="s">
        <v>419</v>
      </c>
      <c r="Y498">
        <f t="shared" si="27"/>
        <v>1</v>
      </c>
      <c r="Z498">
        <f t="shared" si="28"/>
        <v>2</v>
      </c>
    </row>
    <row r="499" spans="1:26" ht="15.75">
      <c r="A499" s="1" t="s">
        <v>915</v>
      </c>
      <c r="B499" s="4" t="s">
        <v>1455</v>
      </c>
      <c r="C499" s="4" t="s">
        <v>1492</v>
      </c>
      <c r="D499" s="7" t="s">
        <v>935</v>
      </c>
      <c r="O499" s="1"/>
      <c r="S499" s="1"/>
      <c r="X499" t="s">
        <v>420</v>
      </c>
      <c r="Y499">
        <f t="shared" si="27"/>
        <v>2</v>
      </c>
      <c r="Z499">
        <f t="shared" si="28"/>
        <v>3</v>
      </c>
    </row>
    <row r="500" spans="1:26" ht="15.75">
      <c r="A500" s="1" t="s">
        <v>916</v>
      </c>
      <c r="B500" s="4" t="s">
        <v>1456</v>
      </c>
      <c r="C500" s="4" t="s">
        <v>1292</v>
      </c>
      <c r="D500" s="7" t="s">
        <v>915</v>
      </c>
      <c r="O500" s="1"/>
      <c r="S500" s="1"/>
      <c r="X500" t="s">
        <v>421</v>
      </c>
      <c r="Y500">
        <f t="shared" si="27"/>
        <v>2</v>
      </c>
      <c r="Z500">
        <f t="shared" si="28"/>
        <v>3</v>
      </c>
    </row>
    <row r="501" spans="1:26" ht="15.75">
      <c r="A501" s="1" t="s">
        <v>917</v>
      </c>
      <c r="B501" s="4" t="s">
        <v>832</v>
      </c>
      <c r="C501" s="4" t="s">
        <v>1099</v>
      </c>
      <c r="D501" s="7" t="s">
        <v>916</v>
      </c>
      <c r="O501" s="1"/>
      <c r="S501" s="1"/>
      <c r="X501" t="s">
        <v>423</v>
      </c>
      <c r="Y501">
        <f t="shared" si="27"/>
        <v>1</v>
      </c>
      <c r="Z501">
        <f t="shared" si="28"/>
        <v>2</v>
      </c>
    </row>
    <row r="502" spans="1:26" ht="15.75">
      <c r="A502" s="1" t="s">
        <v>918</v>
      </c>
      <c r="B502" s="4" t="s">
        <v>1457</v>
      </c>
      <c r="C502" s="4" t="s">
        <v>1045</v>
      </c>
      <c r="D502"/>
      <c r="O502" s="1"/>
      <c r="S502" s="1"/>
      <c r="X502" t="s">
        <v>1940</v>
      </c>
      <c r="Y502">
        <f t="shared" si="27"/>
        <v>1</v>
      </c>
      <c r="Z502">
        <f t="shared" si="28"/>
        <v>3</v>
      </c>
    </row>
    <row r="503" spans="1:26" ht="15.75">
      <c r="A503" s="1" t="s">
        <v>919</v>
      </c>
      <c r="B503" s="4" t="s">
        <v>754</v>
      </c>
      <c r="C503" s="4" t="s">
        <v>1536</v>
      </c>
      <c r="O503" s="1"/>
      <c r="S503" s="1"/>
      <c r="X503" t="s">
        <v>424</v>
      </c>
      <c r="Y503">
        <f t="shared" si="27"/>
        <v>2</v>
      </c>
      <c r="Z503">
        <f t="shared" si="28"/>
        <v>2</v>
      </c>
    </row>
    <row r="504" spans="1:26" ht="15.75">
      <c r="A504" s="1" t="s">
        <v>920</v>
      </c>
      <c r="B504" s="4" t="s">
        <v>1031</v>
      </c>
      <c r="C504" s="4" t="s">
        <v>1522</v>
      </c>
      <c r="O504" s="1"/>
      <c r="S504" s="1"/>
      <c r="X504" t="s">
        <v>425</v>
      </c>
      <c r="Y504">
        <f t="shared" si="27"/>
        <v>2</v>
      </c>
      <c r="Z504">
        <f t="shared" si="28"/>
        <v>2</v>
      </c>
    </row>
    <row r="505" spans="1:26" ht="15.75">
      <c r="A505" s="1" t="s">
        <v>921</v>
      </c>
      <c r="B505" s="4" t="s">
        <v>1004</v>
      </c>
      <c r="C505" s="4" t="s">
        <v>1410</v>
      </c>
      <c r="O505" s="1"/>
      <c r="S505" s="1"/>
      <c r="X505" t="s">
        <v>426</v>
      </c>
      <c r="Y505">
        <f t="shared" si="27"/>
        <v>2</v>
      </c>
      <c r="Z505">
        <f t="shared" si="28"/>
        <v>3</v>
      </c>
    </row>
    <row r="506" spans="1:26" ht="15.75">
      <c r="A506" s="1" t="s">
        <v>922</v>
      </c>
      <c r="B506" s="4" t="s">
        <v>756</v>
      </c>
      <c r="C506" s="4" t="s">
        <v>180</v>
      </c>
      <c r="O506" s="1"/>
      <c r="S506" s="1"/>
      <c r="X506" t="s">
        <v>795</v>
      </c>
      <c r="Y506">
        <f t="shared" si="27"/>
        <v>2</v>
      </c>
      <c r="Z506">
        <f t="shared" si="28"/>
        <v>5</v>
      </c>
    </row>
    <row r="507" spans="1:26" ht="15.75">
      <c r="A507" s="1" t="s">
        <v>16</v>
      </c>
      <c r="B507" s="4" t="s">
        <v>666</v>
      </c>
      <c r="C507" s="4" t="s">
        <v>1739</v>
      </c>
      <c r="O507" s="1"/>
      <c r="S507" s="1"/>
      <c r="X507" t="s">
        <v>427</v>
      </c>
      <c r="Y507">
        <f t="shared" si="27"/>
        <v>3</v>
      </c>
      <c r="Z507">
        <f t="shared" si="28"/>
        <v>4</v>
      </c>
    </row>
    <row r="508" spans="1:26" ht="15.75">
      <c r="A508" s="1" t="s">
        <v>923</v>
      </c>
      <c r="B508" s="4" t="s">
        <v>793</v>
      </c>
      <c r="C508" s="4" t="s">
        <v>1112</v>
      </c>
      <c r="O508" s="1"/>
      <c r="S508" s="1"/>
      <c r="X508" t="s">
        <v>749</v>
      </c>
      <c r="Y508">
        <f t="shared" si="27"/>
        <v>3</v>
      </c>
      <c r="Z508">
        <f t="shared" si="28"/>
        <v>5</v>
      </c>
    </row>
    <row r="509" spans="1:26" ht="15.75">
      <c r="A509" s="1" t="s">
        <v>924</v>
      </c>
      <c r="B509" s="4" t="s">
        <v>1458</v>
      </c>
      <c r="C509" s="4" t="s">
        <v>1288</v>
      </c>
      <c r="O509" s="1"/>
      <c r="S509" s="1"/>
      <c r="X509" t="s">
        <v>428</v>
      </c>
      <c r="Y509">
        <f t="shared" si="27"/>
        <v>2</v>
      </c>
      <c r="Z509">
        <f t="shared" si="28"/>
        <v>4</v>
      </c>
    </row>
    <row r="510" spans="1:26" ht="15.75">
      <c r="A510" s="1" t="s">
        <v>925</v>
      </c>
      <c r="B510" s="4" t="s">
        <v>1459</v>
      </c>
      <c r="C510" s="4" t="s">
        <v>1436</v>
      </c>
      <c r="O510" s="1"/>
      <c r="S510" s="1"/>
      <c r="X510" t="s">
        <v>1908</v>
      </c>
      <c r="Y510">
        <f t="shared" si="27"/>
        <v>2</v>
      </c>
      <c r="Z510">
        <f t="shared" si="28"/>
        <v>3</v>
      </c>
    </row>
    <row r="511" spans="1:26" ht="15.75">
      <c r="A511" s="1" t="s">
        <v>926</v>
      </c>
      <c r="B511" s="4" t="s">
        <v>1460</v>
      </c>
      <c r="C511" s="4" t="s">
        <v>41</v>
      </c>
      <c r="O511" s="1"/>
      <c r="S511" s="1"/>
      <c r="X511" t="s">
        <v>890</v>
      </c>
      <c r="Y511">
        <f t="shared" si="27"/>
        <v>4</v>
      </c>
      <c r="Z511">
        <f t="shared" si="28"/>
        <v>6</v>
      </c>
    </row>
    <row r="512" spans="1:26" ht="15.75">
      <c r="A512" s="1" t="s">
        <v>927</v>
      </c>
      <c r="B512" s="4" t="s">
        <v>1864</v>
      </c>
      <c r="C512" s="4" t="s">
        <v>1441</v>
      </c>
      <c r="O512" s="1"/>
      <c r="S512" s="1"/>
      <c r="X512" t="s">
        <v>751</v>
      </c>
      <c r="Y512">
        <f t="shared" si="27"/>
        <v>3</v>
      </c>
      <c r="Z512">
        <f t="shared" si="28"/>
        <v>3</v>
      </c>
    </row>
    <row r="513" spans="1:26" ht="15.75">
      <c r="A513" s="1" t="s">
        <v>928</v>
      </c>
      <c r="B513" s="4" t="s">
        <v>1461</v>
      </c>
      <c r="C513" s="4" t="s">
        <v>1740</v>
      </c>
      <c r="O513" s="1"/>
      <c r="S513" s="1"/>
      <c r="X513" t="s">
        <v>1893</v>
      </c>
      <c r="Y513">
        <f t="shared" ref="Y513:Y576" si="29">IF(ISNUMBER(FIND("e",X513)),1,0)+IF(ISNUMBER(FIND("n",X513)),1,0)+IF(ISNUMBER(FIND("t",X513)),1,0)+IF(ISNUMBER(FIND("o",X513)),1,0)+IF(ISNUMBER(FIND("r",X513)),1,0)+IF(ISNUMBER(FIND("s",X513)),1,0)+IF(ISNUMBER(FIND("d",X513)),1,0)+IF(ISNUMBER(FIND("i",X513)),1,0)</f>
        <v>2</v>
      </c>
      <c r="Z513">
        <f t="shared" ref="Z513:Z576" si="30">LEN(X513)</f>
        <v>3</v>
      </c>
    </row>
    <row r="514" spans="1:26" ht="15.75">
      <c r="A514" s="1" t="s">
        <v>929</v>
      </c>
      <c r="B514" s="4" t="s">
        <v>1462</v>
      </c>
      <c r="C514" s="4" t="s">
        <v>790</v>
      </c>
      <c r="O514" s="1"/>
      <c r="S514" s="1"/>
      <c r="X514" t="s">
        <v>1929</v>
      </c>
      <c r="Y514">
        <f t="shared" si="29"/>
        <v>3</v>
      </c>
      <c r="Z514">
        <f t="shared" si="30"/>
        <v>3</v>
      </c>
    </row>
    <row r="515" spans="1:26" ht="15.75">
      <c r="A515" s="1" t="s">
        <v>930</v>
      </c>
      <c r="B515" s="4" t="s">
        <v>114</v>
      </c>
      <c r="C515" s="4" t="s">
        <v>927</v>
      </c>
      <c r="O515" s="1"/>
      <c r="S515" s="1"/>
      <c r="X515" t="s">
        <v>432</v>
      </c>
      <c r="Y515">
        <f t="shared" si="29"/>
        <v>3</v>
      </c>
      <c r="Z515">
        <f t="shared" si="30"/>
        <v>3</v>
      </c>
    </row>
    <row r="516" spans="1:26" ht="15.75">
      <c r="A516" s="1" t="s">
        <v>931</v>
      </c>
      <c r="B516" s="4" t="s">
        <v>834</v>
      </c>
      <c r="C516" s="4" t="s">
        <v>1741</v>
      </c>
      <c r="O516" s="1"/>
      <c r="S516" s="1"/>
      <c r="X516" t="s">
        <v>844</v>
      </c>
      <c r="Y516">
        <f t="shared" si="29"/>
        <v>4</v>
      </c>
      <c r="Z516">
        <f t="shared" si="30"/>
        <v>4</v>
      </c>
    </row>
    <row r="517" spans="1:26" ht="15.75">
      <c r="A517" s="1" t="s">
        <v>480</v>
      </c>
      <c r="B517" s="4" t="s">
        <v>1463</v>
      </c>
      <c r="C517" s="4" t="s">
        <v>1180</v>
      </c>
      <c r="O517" s="1"/>
      <c r="S517" s="1"/>
      <c r="X517" t="s">
        <v>440</v>
      </c>
      <c r="Y517">
        <f t="shared" si="29"/>
        <v>2</v>
      </c>
      <c r="Z517">
        <f t="shared" si="30"/>
        <v>2</v>
      </c>
    </row>
    <row r="518" spans="1:26" ht="15.75">
      <c r="A518" s="1" t="s">
        <v>932</v>
      </c>
      <c r="B518" s="4" t="s">
        <v>1464</v>
      </c>
      <c r="C518" s="4" t="s">
        <v>1296</v>
      </c>
      <c r="O518" s="1"/>
      <c r="S518" s="1"/>
      <c r="X518" t="s">
        <v>1932</v>
      </c>
      <c r="Y518">
        <f t="shared" si="29"/>
        <v>2</v>
      </c>
      <c r="Z518">
        <f t="shared" si="30"/>
        <v>3</v>
      </c>
    </row>
    <row r="519" spans="1:26" ht="15.75">
      <c r="A519" s="1" t="s">
        <v>933</v>
      </c>
      <c r="B519" s="4" t="s">
        <v>784</v>
      </c>
      <c r="C519" s="4" t="s">
        <v>890</v>
      </c>
      <c r="O519" s="1"/>
      <c r="S519" s="1"/>
      <c r="X519" t="s">
        <v>1969</v>
      </c>
      <c r="Y519">
        <f t="shared" si="29"/>
        <v>3</v>
      </c>
      <c r="Z519">
        <f t="shared" si="30"/>
        <v>3</v>
      </c>
    </row>
    <row r="520" spans="1:26" ht="15.75">
      <c r="A520" s="1" t="s">
        <v>934</v>
      </c>
      <c r="B520" s="4" t="s">
        <v>703</v>
      </c>
      <c r="C520" s="4" t="s">
        <v>943</v>
      </c>
      <c r="O520" s="1"/>
      <c r="S520" s="1"/>
      <c r="X520" t="s">
        <v>441</v>
      </c>
      <c r="Y520">
        <f t="shared" si="29"/>
        <v>3</v>
      </c>
      <c r="Z520">
        <f t="shared" si="30"/>
        <v>5</v>
      </c>
    </row>
    <row r="521" spans="1:26" ht="15.75">
      <c r="A521" s="1" t="s">
        <v>935</v>
      </c>
      <c r="B521" s="4" t="s">
        <v>1018</v>
      </c>
      <c r="C521" s="4" t="s">
        <v>1132</v>
      </c>
      <c r="O521" s="1"/>
      <c r="S521" s="1"/>
      <c r="X521" t="s">
        <v>443</v>
      </c>
      <c r="Y521">
        <f t="shared" si="29"/>
        <v>3</v>
      </c>
      <c r="Z521">
        <f t="shared" si="30"/>
        <v>3</v>
      </c>
    </row>
    <row r="522" spans="1:26" ht="15.75">
      <c r="A522" s="1" t="s">
        <v>185</v>
      </c>
      <c r="B522" s="4" t="s">
        <v>831</v>
      </c>
      <c r="C522" s="4" t="s">
        <v>712</v>
      </c>
      <c r="O522" s="1"/>
      <c r="S522" s="1"/>
      <c r="X522" t="s">
        <v>444</v>
      </c>
      <c r="Y522">
        <f t="shared" si="29"/>
        <v>1</v>
      </c>
      <c r="Z522">
        <f t="shared" si="30"/>
        <v>2</v>
      </c>
    </row>
    <row r="523" spans="1:26" ht="15.75">
      <c r="A523" s="1" t="s">
        <v>223</v>
      </c>
      <c r="B523" s="4" t="s">
        <v>1465</v>
      </c>
      <c r="C523" s="4" t="s">
        <v>487</v>
      </c>
      <c r="O523" s="1"/>
      <c r="S523" s="1"/>
      <c r="X523" t="s">
        <v>1963</v>
      </c>
      <c r="Y523">
        <f t="shared" si="29"/>
        <v>1</v>
      </c>
      <c r="Z523">
        <f t="shared" si="30"/>
        <v>3</v>
      </c>
    </row>
    <row r="524" spans="1:26" ht="15.75">
      <c r="A524" s="1" t="s">
        <v>936</v>
      </c>
      <c r="B524" s="4" t="s">
        <v>1466</v>
      </c>
      <c r="C524" s="4" t="s">
        <v>782</v>
      </c>
      <c r="O524" s="1"/>
      <c r="S524" s="1"/>
      <c r="X524" t="s">
        <v>445</v>
      </c>
      <c r="Y524">
        <f t="shared" si="29"/>
        <v>2</v>
      </c>
      <c r="Z524">
        <f t="shared" si="30"/>
        <v>2</v>
      </c>
    </row>
    <row r="525" spans="1:26" ht="15.75">
      <c r="A525" s="1" t="s">
        <v>937</v>
      </c>
      <c r="B525" s="4" t="s">
        <v>1467</v>
      </c>
      <c r="C525" s="4" t="s">
        <v>793</v>
      </c>
      <c r="O525" s="1"/>
      <c r="S525" s="1"/>
      <c r="X525" t="s">
        <v>446</v>
      </c>
      <c r="Y525">
        <f t="shared" si="29"/>
        <v>2</v>
      </c>
      <c r="Z525">
        <f t="shared" si="30"/>
        <v>2</v>
      </c>
    </row>
    <row r="526" spans="1:26" ht="15.75">
      <c r="A526" s="1" t="s">
        <v>938</v>
      </c>
      <c r="B526" s="4" t="s">
        <v>1468</v>
      </c>
      <c r="C526" s="4" t="s">
        <v>173</v>
      </c>
      <c r="O526" s="1"/>
      <c r="S526" s="1"/>
      <c r="X526" t="s">
        <v>818</v>
      </c>
      <c r="Y526">
        <f t="shared" si="29"/>
        <v>3</v>
      </c>
      <c r="Z526">
        <f t="shared" si="30"/>
        <v>4</v>
      </c>
    </row>
    <row r="527" spans="1:26" ht="15.75">
      <c r="A527" s="1" t="s">
        <v>237</v>
      </c>
      <c r="B527" s="4" t="s">
        <v>1469</v>
      </c>
      <c r="C527" s="4" t="s">
        <v>503</v>
      </c>
      <c r="O527" s="1"/>
      <c r="S527" s="1"/>
      <c r="X527" t="s">
        <v>1907</v>
      </c>
      <c r="Y527">
        <f t="shared" si="29"/>
        <v>2</v>
      </c>
      <c r="Z527">
        <f t="shared" si="30"/>
        <v>3</v>
      </c>
    </row>
    <row r="528" spans="1:26" ht="15.75">
      <c r="A528" s="1" t="s">
        <v>939</v>
      </c>
      <c r="B528" s="4" t="s">
        <v>1470</v>
      </c>
      <c r="C528" s="4" t="s">
        <v>1242</v>
      </c>
      <c r="O528" s="1"/>
      <c r="S528" s="1"/>
      <c r="X528" t="s">
        <v>727</v>
      </c>
      <c r="Y528">
        <f t="shared" si="29"/>
        <v>2</v>
      </c>
      <c r="Z528">
        <f t="shared" si="30"/>
        <v>4</v>
      </c>
    </row>
    <row r="529" spans="1:26" ht="15.75">
      <c r="A529" s="1" t="s">
        <v>940</v>
      </c>
      <c r="B529" s="4" t="s">
        <v>1865</v>
      </c>
      <c r="C529" s="4" t="s">
        <v>1742</v>
      </c>
      <c r="O529" s="1"/>
      <c r="S529" s="1"/>
      <c r="X529" t="s">
        <v>448</v>
      </c>
      <c r="Y529">
        <f t="shared" si="29"/>
        <v>2</v>
      </c>
      <c r="Z529">
        <f t="shared" si="30"/>
        <v>2</v>
      </c>
    </row>
    <row r="530" spans="1:26" ht="15.75">
      <c r="A530" s="1" t="s">
        <v>941</v>
      </c>
      <c r="B530" s="4" t="s">
        <v>983</v>
      </c>
      <c r="C530" s="4" t="s">
        <v>1153</v>
      </c>
      <c r="O530" s="1"/>
      <c r="S530" s="1"/>
      <c r="X530" t="s">
        <v>449</v>
      </c>
      <c r="Y530">
        <f t="shared" si="29"/>
        <v>2</v>
      </c>
      <c r="Z530">
        <f t="shared" si="30"/>
        <v>2</v>
      </c>
    </row>
    <row r="531" spans="1:26" ht="15.75">
      <c r="A531" s="1" t="s">
        <v>942</v>
      </c>
      <c r="B531" s="4" t="s">
        <v>680</v>
      </c>
      <c r="C531" s="4" t="s">
        <v>936</v>
      </c>
      <c r="O531" s="1"/>
      <c r="S531" s="1"/>
      <c r="X531" t="s">
        <v>1935</v>
      </c>
      <c r="Y531">
        <f t="shared" si="29"/>
        <v>2</v>
      </c>
      <c r="Z531">
        <f t="shared" si="30"/>
        <v>3</v>
      </c>
    </row>
    <row r="532" spans="1:26" ht="15.75">
      <c r="A532" s="1" t="s">
        <v>943</v>
      </c>
      <c r="B532" s="4" t="s">
        <v>1471</v>
      </c>
      <c r="C532" s="4" t="s">
        <v>1743</v>
      </c>
      <c r="O532" s="1"/>
      <c r="S532" s="1"/>
      <c r="X532" t="s">
        <v>697</v>
      </c>
      <c r="Y532">
        <f t="shared" si="29"/>
        <v>2</v>
      </c>
      <c r="Z532">
        <f t="shared" si="30"/>
        <v>3</v>
      </c>
    </row>
    <row r="533" spans="1:26" ht="15.75">
      <c r="A533" s="1" t="s">
        <v>944</v>
      </c>
      <c r="B533" s="4" t="s">
        <v>1472</v>
      </c>
      <c r="C533" s="4" t="s">
        <v>67</v>
      </c>
      <c r="O533" s="1"/>
      <c r="S533" s="1"/>
      <c r="X533" t="s">
        <v>451</v>
      </c>
      <c r="Y533">
        <f t="shared" si="29"/>
        <v>1</v>
      </c>
      <c r="Z533">
        <f t="shared" si="30"/>
        <v>2</v>
      </c>
    </row>
    <row r="534" spans="1:26" ht="15.75">
      <c r="A534" s="1" t="s">
        <v>945</v>
      </c>
      <c r="B534" s="4" t="s">
        <v>1473</v>
      </c>
      <c r="C534" s="4" t="s">
        <v>1655</v>
      </c>
      <c r="O534" s="1"/>
      <c r="S534" s="1"/>
      <c r="X534" t="s">
        <v>452</v>
      </c>
      <c r="Y534">
        <f t="shared" si="29"/>
        <v>1</v>
      </c>
      <c r="Z534">
        <f t="shared" si="30"/>
        <v>2</v>
      </c>
    </row>
    <row r="535" spans="1:26" ht="15.75">
      <c r="A535" s="1" t="s">
        <v>946</v>
      </c>
      <c r="B535" s="4" t="s">
        <v>1474</v>
      </c>
      <c r="C535" s="4" t="s">
        <v>478</v>
      </c>
      <c r="O535" s="1"/>
      <c r="S535" s="1"/>
      <c r="X535" t="s">
        <v>454</v>
      </c>
      <c r="Y535">
        <f t="shared" si="29"/>
        <v>2</v>
      </c>
      <c r="Z535">
        <f t="shared" si="30"/>
        <v>4</v>
      </c>
    </row>
    <row r="536" spans="1:26" ht="15.75">
      <c r="A536" s="1" t="s">
        <v>947</v>
      </c>
      <c r="B536" s="4" t="s">
        <v>50</v>
      </c>
      <c r="C536" s="4" t="s">
        <v>138</v>
      </c>
      <c r="O536" s="1"/>
      <c r="S536" s="1"/>
      <c r="X536" t="s">
        <v>455</v>
      </c>
      <c r="Y536">
        <f t="shared" si="29"/>
        <v>2</v>
      </c>
      <c r="Z536">
        <f t="shared" si="30"/>
        <v>3</v>
      </c>
    </row>
    <row r="537" spans="1:26" ht="15.75">
      <c r="A537" s="1" t="s">
        <v>948</v>
      </c>
      <c r="B537" s="4" t="s">
        <v>1475</v>
      </c>
      <c r="C537" s="4" t="s">
        <v>415</v>
      </c>
      <c r="O537" s="1"/>
      <c r="S537" s="1"/>
      <c r="X537" t="s">
        <v>634</v>
      </c>
      <c r="Y537">
        <f t="shared" si="29"/>
        <v>1</v>
      </c>
      <c r="Z537">
        <f t="shared" si="30"/>
        <v>3</v>
      </c>
    </row>
    <row r="538" spans="1:26" ht="15.75">
      <c r="A538" s="1" t="s">
        <v>949</v>
      </c>
      <c r="B538" s="4" t="s">
        <v>782</v>
      </c>
      <c r="C538" s="4" t="s">
        <v>1171</v>
      </c>
      <c r="O538" s="1"/>
      <c r="S538" s="1"/>
      <c r="X538" t="s">
        <v>457</v>
      </c>
      <c r="Y538">
        <f t="shared" si="29"/>
        <v>1</v>
      </c>
      <c r="Z538">
        <f t="shared" si="30"/>
        <v>2</v>
      </c>
    </row>
    <row r="539" spans="1:26" ht="15.75">
      <c r="A539" s="1" t="s">
        <v>26</v>
      </c>
      <c r="B539" s="4" t="s">
        <v>501</v>
      </c>
      <c r="C539" s="4" t="s">
        <v>735</v>
      </c>
      <c r="O539" s="1"/>
      <c r="S539" s="1"/>
      <c r="X539" t="s">
        <v>458</v>
      </c>
      <c r="Y539">
        <f t="shared" si="29"/>
        <v>2</v>
      </c>
      <c r="Z539">
        <f t="shared" si="30"/>
        <v>6</v>
      </c>
    </row>
    <row r="540" spans="1:26" ht="15.75">
      <c r="A540" s="1" t="s">
        <v>501</v>
      </c>
      <c r="B540" s="4" t="s">
        <v>1476</v>
      </c>
      <c r="C540" s="4" t="s">
        <v>1683</v>
      </c>
      <c r="O540" s="1"/>
      <c r="S540" s="1"/>
      <c r="X540" t="s">
        <v>459</v>
      </c>
      <c r="Y540">
        <f t="shared" si="29"/>
        <v>2</v>
      </c>
      <c r="Z540">
        <f t="shared" si="30"/>
        <v>2</v>
      </c>
    </row>
    <row r="541" spans="1:26" ht="15.75">
      <c r="A541" s="1" t="s">
        <v>950</v>
      </c>
      <c r="B541" s="4" t="s">
        <v>995</v>
      </c>
      <c r="C541" s="4" t="s">
        <v>840</v>
      </c>
      <c r="O541" s="1"/>
      <c r="S541" s="1"/>
      <c r="X541" t="s">
        <v>693</v>
      </c>
      <c r="Y541">
        <f t="shared" si="29"/>
        <v>2</v>
      </c>
      <c r="Z541">
        <f t="shared" si="30"/>
        <v>3</v>
      </c>
    </row>
    <row r="542" spans="1:26" ht="15.75">
      <c r="A542" s="1" t="s">
        <v>951</v>
      </c>
      <c r="B542" s="4" t="s">
        <v>1477</v>
      </c>
      <c r="C542" s="4" t="s">
        <v>801</v>
      </c>
      <c r="O542" s="1"/>
      <c r="S542" s="1"/>
      <c r="X542" t="s">
        <v>722</v>
      </c>
      <c r="Y542">
        <f t="shared" si="29"/>
        <v>5</v>
      </c>
      <c r="Z542">
        <f t="shared" si="30"/>
        <v>6</v>
      </c>
    </row>
    <row r="543" spans="1:26" ht="15.75">
      <c r="A543" s="1" t="s">
        <v>952</v>
      </c>
      <c r="B543" s="4" t="s">
        <v>1866</v>
      </c>
      <c r="C543" s="4" t="s">
        <v>324</v>
      </c>
      <c r="O543" s="1"/>
      <c r="S543" s="1"/>
      <c r="X543" t="s">
        <v>461</v>
      </c>
      <c r="Y543">
        <f t="shared" si="29"/>
        <v>6</v>
      </c>
      <c r="Z543">
        <f t="shared" si="30"/>
        <v>7</v>
      </c>
    </row>
    <row r="544" spans="1:26" ht="15.75">
      <c r="A544" s="1" t="s">
        <v>953</v>
      </c>
      <c r="B544" s="4" t="s">
        <v>1326</v>
      </c>
      <c r="C544" s="4" t="s">
        <v>1434</v>
      </c>
      <c r="O544" s="1"/>
      <c r="S544" s="1"/>
      <c r="X544" t="s">
        <v>462</v>
      </c>
      <c r="Y544">
        <f t="shared" si="29"/>
        <v>2</v>
      </c>
      <c r="Z544">
        <f t="shared" si="30"/>
        <v>3</v>
      </c>
    </row>
    <row r="545" spans="1:26" ht="15.75">
      <c r="A545" s="1" t="s">
        <v>954</v>
      </c>
      <c r="B545" s="4" t="s">
        <v>670</v>
      </c>
      <c r="C545" s="4" t="s">
        <v>870</v>
      </c>
      <c r="O545" s="1"/>
      <c r="S545" s="1"/>
      <c r="X545" t="s">
        <v>704</v>
      </c>
      <c r="Y545">
        <f t="shared" si="29"/>
        <v>2</v>
      </c>
      <c r="Z545">
        <f t="shared" si="30"/>
        <v>4</v>
      </c>
    </row>
    <row r="546" spans="1:26" ht="15.75">
      <c r="A546" s="1" t="s">
        <v>955</v>
      </c>
      <c r="B546" s="4" t="s">
        <v>1478</v>
      </c>
      <c r="C546" s="4" t="s">
        <v>726</v>
      </c>
      <c r="O546" s="1"/>
      <c r="S546" s="1"/>
      <c r="X546" t="s">
        <v>464</v>
      </c>
      <c r="Y546">
        <f t="shared" si="29"/>
        <v>3</v>
      </c>
      <c r="Z546">
        <f t="shared" si="30"/>
        <v>3</v>
      </c>
    </row>
    <row r="547" spans="1:26" ht="15.75">
      <c r="A547" s="1" t="s">
        <v>956</v>
      </c>
      <c r="B547" s="4" t="s">
        <v>1479</v>
      </c>
      <c r="C547" s="4" t="s">
        <v>1858</v>
      </c>
      <c r="O547" s="1"/>
      <c r="S547" s="1"/>
      <c r="X547" t="s">
        <v>816</v>
      </c>
      <c r="Y547">
        <f t="shared" si="29"/>
        <v>3</v>
      </c>
      <c r="Z547">
        <f t="shared" si="30"/>
        <v>5</v>
      </c>
    </row>
    <row r="548" spans="1:26" ht="15.75">
      <c r="A548" s="1" t="s">
        <v>957</v>
      </c>
      <c r="B548" s="4" t="s">
        <v>1480</v>
      </c>
      <c r="C548" s="4" t="s">
        <v>854</v>
      </c>
      <c r="O548" s="1"/>
      <c r="S548" s="1"/>
      <c r="X548" t="s">
        <v>466</v>
      </c>
      <c r="Y548">
        <f t="shared" si="29"/>
        <v>3</v>
      </c>
      <c r="Z548">
        <f t="shared" si="30"/>
        <v>3</v>
      </c>
    </row>
    <row r="549" spans="1:26" ht="15.75">
      <c r="A549" s="1" t="s">
        <v>958</v>
      </c>
      <c r="B549" s="4" t="s">
        <v>759</v>
      </c>
      <c r="C549" s="4" t="s">
        <v>1121</v>
      </c>
      <c r="O549" s="1"/>
      <c r="S549" s="1"/>
      <c r="X549" t="s">
        <v>806</v>
      </c>
      <c r="Y549">
        <f t="shared" si="29"/>
        <v>3</v>
      </c>
      <c r="Z549">
        <f t="shared" si="30"/>
        <v>7</v>
      </c>
    </row>
    <row r="550" spans="1:26" ht="15.75">
      <c r="A550" s="1" t="s">
        <v>959</v>
      </c>
      <c r="B550" s="4" t="s">
        <v>751</v>
      </c>
      <c r="C550" s="4" t="s">
        <v>772</v>
      </c>
      <c r="O550" s="1"/>
      <c r="S550" s="1"/>
      <c r="X550" t="s">
        <v>468</v>
      </c>
      <c r="Y550">
        <f t="shared" si="29"/>
        <v>1</v>
      </c>
      <c r="Z550">
        <f t="shared" si="30"/>
        <v>2</v>
      </c>
    </row>
    <row r="551" spans="1:26" ht="15.75">
      <c r="A551" s="1" t="s">
        <v>960</v>
      </c>
      <c r="B551" s="4" t="s">
        <v>1172</v>
      </c>
      <c r="C551" s="4" t="s">
        <v>1451</v>
      </c>
      <c r="O551" s="1"/>
      <c r="S551" s="1"/>
      <c r="X551" t="s">
        <v>469</v>
      </c>
      <c r="Y551">
        <f t="shared" si="29"/>
        <v>1</v>
      </c>
      <c r="Z551">
        <f t="shared" si="30"/>
        <v>5</v>
      </c>
    </row>
    <row r="552" spans="1:26" ht="15.75">
      <c r="A552" s="1" t="s">
        <v>961</v>
      </c>
      <c r="B552" s="4" t="s">
        <v>844</v>
      </c>
      <c r="C552" s="4" t="s">
        <v>1505</v>
      </c>
      <c r="O552" s="1"/>
      <c r="S552" s="1"/>
      <c r="X552" t="s">
        <v>470</v>
      </c>
      <c r="Y552">
        <f t="shared" si="29"/>
        <v>2</v>
      </c>
      <c r="Z552">
        <f t="shared" si="30"/>
        <v>3</v>
      </c>
    </row>
    <row r="553" spans="1:26" ht="15.75">
      <c r="A553" s="1" t="s">
        <v>962</v>
      </c>
      <c r="B553" s="4" t="s">
        <v>1481</v>
      </c>
      <c r="C553" s="4" t="s">
        <v>1129</v>
      </c>
      <c r="O553" s="1"/>
      <c r="S553" s="1"/>
      <c r="X553" t="s">
        <v>1928</v>
      </c>
      <c r="Y553">
        <f t="shared" si="29"/>
        <v>2</v>
      </c>
      <c r="Z553">
        <f t="shared" si="30"/>
        <v>3</v>
      </c>
    </row>
    <row r="554" spans="1:26" ht="15.75">
      <c r="A554" s="1" t="s">
        <v>963</v>
      </c>
      <c r="B554" s="4" t="s">
        <v>922</v>
      </c>
      <c r="C554" s="4" t="s">
        <v>1044</v>
      </c>
      <c r="O554" s="1"/>
      <c r="S554" s="1"/>
      <c r="X554" t="s">
        <v>765</v>
      </c>
      <c r="Y554">
        <f t="shared" si="29"/>
        <v>4</v>
      </c>
      <c r="Z554">
        <f t="shared" si="30"/>
        <v>5</v>
      </c>
    </row>
    <row r="555" spans="1:26" ht="15.75">
      <c r="A555" s="1" t="s">
        <v>964</v>
      </c>
      <c r="B555" s="4" t="s">
        <v>1482</v>
      </c>
      <c r="C555" s="4" t="s">
        <v>839</v>
      </c>
      <c r="O555" s="1"/>
      <c r="S555" s="1"/>
      <c r="X555" t="s">
        <v>472</v>
      </c>
      <c r="Y555">
        <f t="shared" si="29"/>
        <v>3</v>
      </c>
      <c r="Z555">
        <f t="shared" si="30"/>
        <v>6</v>
      </c>
    </row>
    <row r="556" spans="1:26" ht="15.75">
      <c r="A556" s="1" t="s">
        <v>498</v>
      </c>
      <c r="B556" s="4" t="s">
        <v>890</v>
      </c>
      <c r="C556" s="4" t="s">
        <v>742</v>
      </c>
      <c r="O556" s="1"/>
      <c r="S556" s="1"/>
      <c r="X556" t="s">
        <v>473</v>
      </c>
      <c r="Y556">
        <f t="shared" si="29"/>
        <v>2</v>
      </c>
      <c r="Z556">
        <f t="shared" si="30"/>
        <v>4</v>
      </c>
    </row>
    <row r="557" spans="1:26" ht="15.75">
      <c r="A557" s="1" t="s">
        <v>965</v>
      </c>
      <c r="B557" s="4" t="s">
        <v>656</v>
      </c>
      <c r="C557" s="4" t="s">
        <v>872</v>
      </c>
      <c r="O557" s="1"/>
      <c r="S557" s="1"/>
      <c r="X557" t="s">
        <v>474</v>
      </c>
      <c r="Y557">
        <f t="shared" si="29"/>
        <v>2</v>
      </c>
      <c r="Z557">
        <f t="shared" si="30"/>
        <v>2</v>
      </c>
    </row>
    <row r="558" spans="1:26" ht="15.75">
      <c r="A558" s="1" t="s">
        <v>966</v>
      </c>
      <c r="B558" s="4" t="s">
        <v>1483</v>
      </c>
      <c r="C558" s="4" t="s">
        <v>235</v>
      </c>
      <c r="O558" s="1"/>
      <c r="S558" s="1"/>
      <c r="X558" t="s">
        <v>627</v>
      </c>
      <c r="Y558">
        <f t="shared" si="29"/>
        <v>4</v>
      </c>
      <c r="Z558">
        <f t="shared" si="30"/>
        <v>4</v>
      </c>
    </row>
    <row r="559" spans="1:26" ht="15.75">
      <c r="A559" s="1" t="s">
        <v>967</v>
      </c>
      <c r="B559" s="4" t="s">
        <v>1484</v>
      </c>
      <c r="C559" s="4" t="s">
        <v>1409</v>
      </c>
      <c r="O559" s="1"/>
      <c r="S559" s="1"/>
      <c r="X559" t="s">
        <v>805</v>
      </c>
      <c r="Y559">
        <f t="shared" si="29"/>
        <v>3</v>
      </c>
      <c r="Z559">
        <f t="shared" si="30"/>
        <v>6</v>
      </c>
    </row>
    <row r="560" spans="1:26" ht="15.75">
      <c r="A560" s="1" t="s">
        <v>968</v>
      </c>
      <c r="B560" s="4" t="s">
        <v>216</v>
      </c>
      <c r="C560" s="4" t="s">
        <v>391</v>
      </c>
      <c r="O560" s="1"/>
      <c r="S560" s="1"/>
      <c r="X560" t="s">
        <v>476</v>
      </c>
      <c r="Y560">
        <f t="shared" si="29"/>
        <v>3</v>
      </c>
      <c r="Z560">
        <f t="shared" si="30"/>
        <v>3</v>
      </c>
    </row>
    <row r="561" spans="1:26" ht="15.75">
      <c r="A561" s="1" t="s">
        <v>969</v>
      </c>
      <c r="B561" s="4" t="s">
        <v>1244</v>
      </c>
      <c r="C561" s="4" t="s">
        <v>1024</v>
      </c>
      <c r="O561" s="1"/>
      <c r="S561" s="1"/>
      <c r="X561" t="s">
        <v>477</v>
      </c>
      <c r="Y561">
        <f t="shared" si="29"/>
        <v>4</v>
      </c>
      <c r="Z561">
        <f t="shared" si="30"/>
        <v>5</v>
      </c>
    </row>
    <row r="562" spans="1:26" ht="15.75">
      <c r="A562" s="1" t="s">
        <v>970</v>
      </c>
      <c r="B562" s="4" t="s">
        <v>1485</v>
      </c>
      <c r="C562" s="4" t="s">
        <v>98</v>
      </c>
      <c r="O562" s="1"/>
      <c r="S562" s="1"/>
      <c r="X562" t="s">
        <v>962</v>
      </c>
      <c r="Y562">
        <f t="shared" si="29"/>
        <v>3</v>
      </c>
      <c r="Z562">
        <f t="shared" si="30"/>
        <v>3</v>
      </c>
    </row>
    <row r="563" spans="1:26" ht="15.75">
      <c r="A563" s="1" t="s">
        <v>971</v>
      </c>
      <c r="B563" s="4" t="s">
        <v>1486</v>
      </c>
      <c r="C563" s="4" t="s">
        <v>675</v>
      </c>
      <c r="O563" s="1"/>
      <c r="S563" s="1"/>
      <c r="X563" t="s">
        <v>800</v>
      </c>
      <c r="Y563">
        <f t="shared" si="29"/>
        <v>2</v>
      </c>
      <c r="Z563">
        <f t="shared" si="30"/>
        <v>3</v>
      </c>
    </row>
    <row r="564" spans="1:26" ht="15.75">
      <c r="A564" s="1" t="s">
        <v>972</v>
      </c>
      <c r="B564" s="4" t="s">
        <v>622</v>
      </c>
      <c r="C564" s="4" t="s">
        <v>1053</v>
      </c>
      <c r="O564" s="1"/>
      <c r="S564" s="1"/>
      <c r="X564" t="s">
        <v>480</v>
      </c>
      <c r="Y564">
        <f t="shared" si="29"/>
        <v>3</v>
      </c>
      <c r="Z564">
        <f t="shared" si="30"/>
        <v>4</v>
      </c>
    </row>
    <row r="565" spans="1:26" ht="15.75">
      <c r="A565" s="1" t="s">
        <v>973</v>
      </c>
      <c r="B565" s="4" t="s">
        <v>1487</v>
      </c>
      <c r="C565" s="4" t="s">
        <v>656</v>
      </c>
      <c r="O565" s="1"/>
      <c r="S565" s="1"/>
      <c r="X565" t="s">
        <v>481</v>
      </c>
      <c r="Y565">
        <f t="shared" si="29"/>
        <v>1</v>
      </c>
      <c r="Z565">
        <f t="shared" si="30"/>
        <v>5</v>
      </c>
    </row>
    <row r="566" spans="1:26" ht="15.75">
      <c r="A566" s="1" t="s">
        <v>974</v>
      </c>
      <c r="B566" s="4" t="s">
        <v>1488</v>
      </c>
      <c r="C566" s="4" t="s">
        <v>868</v>
      </c>
      <c r="O566" s="1"/>
      <c r="S566" s="1"/>
      <c r="X566" t="s">
        <v>482</v>
      </c>
      <c r="Y566">
        <f t="shared" si="29"/>
        <v>2</v>
      </c>
      <c r="Z566">
        <f t="shared" si="30"/>
        <v>2</v>
      </c>
    </row>
    <row r="567" spans="1:26" ht="15.75">
      <c r="A567" s="1" t="s">
        <v>975</v>
      </c>
      <c r="B567" s="4" t="s">
        <v>1356</v>
      </c>
      <c r="C567" s="4" t="s">
        <v>1147</v>
      </c>
      <c r="O567" s="1"/>
      <c r="S567" s="1"/>
      <c r="X567" t="s">
        <v>1912</v>
      </c>
      <c r="Y567">
        <f t="shared" si="29"/>
        <v>2</v>
      </c>
      <c r="Z567">
        <f t="shared" si="30"/>
        <v>3</v>
      </c>
    </row>
    <row r="568" spans="1:26" ht="15.75">
      <c r="A568" s="1" t="s">
        <v>976</v>
      </c>
      <c r="B568" s="4" t="s">
        <v>886</v>
      </c>
      <c r="C568" s="4" t="s">
        <v>776</v>
      </c>
      <c r="O568" s="1"/>
      <c r="S568" s="1"/>
      <c r="X568" t="s">
        <v>484</v>
      </c>
      <c r="Y568">
        <f t="shared" si="29"/>
        <v>3</v>
      </c>
      <c r="Z568">
        <f t="shared" si="30"/>
        <v>4</v>
      </c>
    </row>
    <row r="569" spans="1:26" ht="15.75">
      <c r="A569" s="1" t="s">
        <v>52</v>
      </c>
      <c r="B569" s="4" t="s">
        <v>972</v>
      </c>
      <c r="C569" s="4" t="s">
        <v>650</v>
      </c>
      <c r="O569" s="1"/>
      <c r="S569" s="1"/>
      <c r="X569" t="s">
        <v>1057</v>
      </c>
      <c r="Y569">
        <f t="shared" si="29"/>
        <v>3</v>
      </c>
      <c r="Z569">
        <f t="shared" si="30"/>
        <v>3</v>
      </c>
    </row>
    <row r="570" spans="1:26" ht="15.75">
      <c r="A570" s="1" t="s">
        <v>977</v>
      </c>
      <c r="B570" s="4" t="s">
        <v>1489</v>
      </c>
      <c r="C570" s="4" t="s">
        <v>1446</v>
      </c>
      <c r="O570" s="1"/>
      <c r="S570" s="1"/>
      <c r="X570" t="s">
        <v>756</v>
      </c>
      <c r="Y570">
        <f t="shared" si="29"/>
        <v>3</v>
      </c>
      <c r="Z570">
        <f t="shared" si="30"/>
        <v>4</v>
      </c>
    </row>
    <row r="571" spans="1:26" ht="15.75">
      <c r="A571" s="1" t="s">
        <v>978</v>
      </c>
      <c r="B571" s="4" t="s">
        <v>1490</v>
      </c>
      <c r="C571" s="4" t="s">
        <v>1021</v>
      </c>
      <c r="O571" s="1"/>
      <c r="S571" s="1"/>
      <c r="X571" t="s">
        <v>626</v>
      </c>
      <c r="Y571">
        <f t="shared" si="29"/>
        <v>4</v>
      </c>
      <c r="Z571">
        <f t="shared" si="30"/>
        <v>5</v>
      </c>
    </row>
    <row r="572" spans="1:26" ht="15.75">
      <c r="A572" s="1" t="s">
        <v>979</v>
      </c>
      <c r="B572" s="4" t="s">
        <v>913</v>
      </c>
      <c r="C572" s="4" t="s">
        <v>411</v>
      </c>
      <c r="O572" s="1"/>
      <c r="S572" s="1"/>
      <c r="X572" t="s">
        <v>485</v>
      </c>
      <c r="Y572">
        <f t="shared" si="29"/>
        <v>3</v>
      </c>
      <c r="Z572">
        <f t="shared" si="30"/>
        <v>5</v>
      </c>
    </row>
    <row r="573" spans="1:26" ht="15.75">
      <c r="A573" s="1" t="s">
        <v>980</v>
      </c>
      <c r="B573" s="4" t="s">
        <v>1130</v>
      </c>
      <c r="C573" s="4" t="s">
        <v>1150</v>
      </c>
      <c r="O573" s="1"/>
      <c r="S573" s="1"/>
      <c r="X573" t="s">
        <v>486</v>
      </c>
      <c r="Y573">
        <f t="shared" si="29"/>
        <v>1</v>
      </c>
      <c r="Z573">
        <f t="shared" si="30"/>
        <v>2</v>
      </c>
    </row>
    <row r="574" spans="1:26" ht="15.75">
      <c r="A574" s="1" t="s">
        <v>981</v>
      </c>
      <c r="B574" s="4" t="s">
        <v>490</v>
      </c>
      <c r="C574" s="4" t="s">
        <v>972</v>
      </c>
      <c r="O574" s="1"/>
      <c r="S574" s="1"/>
      <c r="X574" t="s">
        <v>487</v>
      </c>
      <c r="Y574">
        <f t="shared" si="29"/>
        <v>3</v>
      </c>
      <c r="Z574">
        <f t="shared" si="30"/>
        <v>7</v>
      </c>
    </row>
    <row r="575" spans="1:26" ht="15.75">
      <c r="A575" s="1" t="s">
        <v>982</v>
      </c>
      <c r="B575" s="4" t="s">
        <v>1108</v>
      </c>
      <c r="C575" s="4" t="s">
        <v>1744</v>
      </c>
      <c r="O575" s="1"/>
      <c r="S575" s="1"/>
      <c r="X575" t="s">
        <v>489</v>
      </c>
      <c r="Y575">
        <f t="shared" si="29"/>
        <v>1</v>
      </c>
      <c r="Z575">
        <f t="shared" si="30"/>
        <v>2</v>
      </c>
    </row>
    <row r="576" spans="1:26" ht="15.75">
      <c r="A576" s="1" t="s">
        <v>983</v>
      </c>
      <c r="B576" s="4" t="s">
        <v>717</v>
      </c>
      <c r="C576" s="4" t="s">
        <v>1745</v>
      </c>
      <c r="O576" s="1"/>
      <c r="S576" s="1"/>
      <c r="X576" t="s">
        <v>1944</v>
      </c>
      <c r="Y576">
        <f t="shared" si="29"/>
        <v>2</v>
      </c>
      <c r="Z576">
        <f t="shared" si="30"/>
        <v>3</v>
      </c>
    </row>
    <row r="577" spans="1:26" ht="15.75">
      <c r="A577" s="1" t="s">
        <v>984</v>
      </c>
      <c r="B577" s="4" t="s">
        <v>1491</v>
      </c>
      <c r="C577" s="4" t="s">
        <v>327</v>
      </c>
      <c r="O577" s="1"/>
      <c r="S577" s="1"/>
      <c r="X577" t="s">
        <v>490</v>
      </c>
      <c r="Y577">
        <f t="shared" ref="Y577:Y640" si="31">IF(ISNUMBER(FIND("e",X577)),1,0)+IF(ISNUMBER(FIND("n",X577)),1,0)+IF(ISNUMBER(FIND("t",X577)),1,0)+IF(ISNUMBER(FIND("o",X577)),1,0)+IF(ISNUMBER(FIND("r",X577)),1,0)+IF(ISNUMBER(FIND("s",X577)),1,0)+IF(ISNUMBER(FIND("d",X577)),1,0)+IF(ISNUMBER(FIND("i",X577)),1,0)</f>
        <v>2</v>
      </c>
      <c r="Z577">
        <f t="shared" ref="Z577:Z640" si="32">LEN(X577)</f>
        <v>2</v>
      </c>
    </row>
    <row r="578" spans="1:26" ht="15.75">
      <c r="A578" s="1" t="s">
        <v>985</v>
      </c>
      <c r="B578" s="4" t="s">
        <v>1267</v>
      </c>
      <c r="C578" s="4" t="s">
        <v>889</v>
      </c>
      <c r="O578" s="1"/>
      <c r="S578" s="1"/>
      <c r="X578" t="s">
        <v>491</v>
      </c>
      <c r="Y578">
        <f t="shared" si="31"/>
        <v>2</v>
      </c>
      <c r="Z578">
        <f t="shared" si="32"/>
        <v>3</v>
      </c>
    </row>
    <row r="579" spans="1:26" ht="15.75">
      <c r="A579" s="1" t="s">
        <v>986</v>
      </c>
      <c r="B579" s="4" t="s">
        <v>1867</v>
      </c>
      <c r="C579" s="4" t="s">
        <v>1746</v>
      </c>
      <c r="O579" s="1"/>
      <c r="S579" s="1"/>
      <c r="X579" t="s">
        <v>668</v>
      </c>
      <c r="Y579">
        <f t="shared" si="31"/>
        <v>4</v>
      </c>
      <c r="Z579">
        <f t="shared" si="32"/>
        <v>5</v>
      </c>
    </row>
    <row r="580" spans="1:26" ht="15.75">
      <c r="A580" s="1" t="s">
        <v>987</v>
      </c>
      <c r="B580" s="4" t="s">
        <v>1492</v>
      </c>
      <c r="C580" s="4" t="s">
        <v>829</v>
      </c>
      <c r="O580" s="1"/>
      <c r="S580" s="1"/>
      <c r="X580" t="s">
        <v>688</v>
      </c>
      <c r="Y580">
        <f t="shared" si="31"/>
        <v>3</v>
      </c>
      <c r="Z580">
        <f t="shared" si="32"/>
        <v>5</v>
      </c>
    </row>
    <row r="581" spans="1:26" ht="15.75">
      <c r="A581" s="1" t="s">
        <v>988</v>
      </c>
      <c r="B581" s="4" t="s">
        <v>1493</v>
      </c>
      <c r="C581" s="4" t="s">
        <v>703</v>
      </c>
      <c r="O581" s="1"/>
      <c r="S581" s="1"/>
      <c r="X581" t="s">
        <v>492</v>
      </c>
      <c r="Y581">
        <f t="shared" si="31"/>
        <v>3</v>
      </c>
      <c r="Z581">
        <f t="shared" si="32"/>
        <v>5</v>
      </c>
    </row>
    <row r="582" spans="1:26" ht="15.75">
      <c r="A582" s="1" t="s">
        <v>475</v>
      </c>
      <c r="B582" s="4" t="s">
        <v>1052</v>
      </c>
      <c r="C582" s="4" t="s">
        <v>814</v>
      </c>
      <c r="O582" s="1"/>
      <c r="S582" s="1"/>
      <c r="X582" t="s">
        <v>877</v>
      </c>
      <c r="Y582">
        <f t="shared" si="31"/>
        <v>2</v>
      </c>
      <c r="Z582">
        <f t="shared" si="32"/>
        <v>4</v>
      </c>
    </row>
    <row r="583" spans="1:26" ht="15.75">
      <c r="A583" s="1" t="s">
        <v>582</v>
      </c>
      <c r="B583" s="4" t="s">
        <v>741</v>
      </c>
      <c r="C583" s="4" t="s">
        <v>390</v>
      </c>
      <c r="O583" s="1"/>
      <c r="S583" s="1"/>
      <c r="X583" t="s">
        <v>494</v>
      </c>
      <c r="Y583">
        <f t="shared" si="31"/>
        <v>3</v>
      </c>
      <c r="Z583">
        <f t="shared" si="32"/>
        <v>3</v>
      </c>
    </row>
    <row r="584" spans="1:26" ht="15.75">
      <c r="A584" s="1" t="s">
        <v>989</v>
      </c>
      <c r="B584" s="4" t="s">
        <v>1494</v>
      </c>
      <c r="C584" s="4" t="s">
        <v>364</v>
      </c>
      <c r="O584" s="1"/>
      <c r="S584" s="1"/>
      <c r="X584" t="s">
        <v>789</v>
      </c>
      <c r="Y584">
        <f t="shared" si="31"/>
        <v>3</v>
      </c>
      <c r="Z584">
        <f t="shared" si="32"/>
        <v>4</v>
      </c>
    </row>
    <row r="585" spans="1:26" ht="15.75">
      <c r="A585" s="1" t="s">
        <v>990</v>
      </c>
      <c r="B585" s="4" t="s">
        <v>1495</v>
      </c>
      <c r="C585" s="4" t="s">
        <v>503</v>
      </c>
      <c r="O585" s="1"/>
      <c r="S585" s="1"/>
      <c r="X585" t="s">
        <v>1961</v>
      </c>
      <c r="Y585">
        <f t="shared" si="31"/>
        <v>2</v>
      </c>
      <c r="Z585">
        <f t="shared" si="32"/>
        <v>3</v>
      </c>
    </row>
    <row r="586" spans="1:26" ht="15.75">
      <c r="A586" s="1" t="s">
        <v>991</v>
      </c>
      <c r="B586" s="4" t="s">
        <v>1057</v>
      </c>
      <c r="C586" s="4" t="s">
        <v>1500</v>
      </c>
      <c r="O586" s="1"/>
      <c r="S586" s="1"/>
      <c r="X586" t="s">
        <v>495</v>
      </c>
      <c r="Y586">
        <f t="shared" si="31"/>
        <v>3</v>
      </c>
      <c r="Z586">
        <f t="shared" si="32"/>
        <v>3</v>
      </c>
    </row>
    <row r="587" spans="1:26" ht="15.75">
      <c r="A587" s="1" t="s">
        <v>992</v>
      </c>
      <c r="B587" s="4" t="s">
        <v>1496</v>
      </c>
      <c r="C587" s="4" t="s">
        <v>1018</v>
      </c>
      <c r="O587" s="1"/>
      <c r="S587" s="1"/>
      <c r="X587" t="s">
        <v>496</v>
      </c>
      <c r="Y587">
        <f t="shared" si="31"/>
        <v>3</v>
      </c>
      <c r="Z587">
        <f t="shared" si="32"/>
        <v>5</v>
      </c>
    </row>
    <row r="588" spans="1:26" ht="15.75">
      <c r="A588" s="1" t="s">
        <v>993</v>
      </c>
      <c r="B588" s="4" t="s">
        <v>728</v>
      </c>
      <c r="C588" s="4" t="s">
        <v>509</v>
      </c>
      <c r="O588" s="1"/>
      <c r="S588" s="1"/>
      <c r="X588" t="s">
        <v>497</v>
      </c>
      <c r="Y588">
        <f t="shared" si="31"/>
        <v>3</v>
      </c>
      <c r="Z588">
        <f t="shared" si="32"/>
        <v>3</v>
      </c>
    </row>
    <row r="589" spans="1:26" ht="15.75">
      <c r="A589" s="1" t="s">
        <v>994</v>
      </c>
      <c r="B589" s="4" t="s">
        <v>1323</v>
      </c>
      <c r="C589" s="4" t="s">
        <v>973</v>
      </c>
      <c r="O589" s="1"/>
      <c r="S589" s="1"/>
      <c r="X589" t="s">
        <v>733</v>
      </c>
      <c r="Y589">
        <f t="shared" si="31"/>
        <v>3</v>
      </c>
      <c r="Z589">
        <f t="shared" si="32"/>
        <v>4</v>
      </c>
    </row>
    <row r="590" spans="1:26" ht="15.75">
      <c r="A590" s="1" t="s">
        <v>995</v>
      </c>
      <c r="B590" s="4" t="s">
        <v>823</v>
      </c>
      <c r="C590" s="4" t="s">
        <v>789</v>
      </c>
      <c r="O590" s="1"/>
      <c r="S590" s="1"/>
      <c r="X590" t="s">
        <v>690</v>
      </c>
      <c r="Y590">
        <f t="shared" si="31"/>
        <v>4</v>
      </c>
      <c r="Z590">
        <f t="shared" si="32"/>
        <v>5</v>
      </c>
    </row>
    <row r="591" spans="1:26" ht="15.75">
      <c r="A591" s="1" t="s">
        <v>996</v>
      </c>
      <c r="B591" s="4" t="s">
        <v>238</v>
      </c>
      <c r="C591" s="4" t="s">
        <v>1006</v>
      </c>
      <c r="O591" s="1"/>
      <c r="S591" s="1"/>
      <c r="X591" t="s">
        <v>499</v>
      </c>
      <c r="Y591">
        <f t="shared" si="31"/>
        <v>3</v>
      </c>
      <c r="Z591">
        <f t="shared" si="32"/>
        <v>3</v>
      </c>
    </row>
    <row r="592" spans="1:26" ht="15.75">
      <c r="A592" s="1" t="s">
        <v>997</v>
      </c>
      <c r="B592" s="4" t="s">
        <v>1088</v>
      </c>
      <c r="C592" s="4" t="s">
        <v>85</v>
      </c>
      <c r="O592" s="1"/>
      <c r="S592" s="1"/>
      <c r="X592" t="s">
        <v>865</v>
      </c>
      <c r="Y592">
        <f t="shared" si="31"/>
        <v>5</v>
      </c>
      <c r="Z592">
        <f t="shared" si="32"/>
        <v>6</v>
      </c>
    </row>
    <row r="593" spans="1:26" ht="15.75">
      <c r="A593" s="1" t="s">
        <v>998</v>
      </c>
      <c r="B593" s="4" t="s">
        <v>1497</v>
      </c>
      <c r="C593" s="4" t="s">
        <v>555</v>
      </c>
      <c r="O593" s="1"/>
      <c r="S593" s="1"/>
      <c r="X593" t="s">
        <v>672</v>
      </c>
      <c r="Y593">
        <f t="shared" si="31"/>
        <v>3</v>
      </c>
      <c r="Z593">
        <f t="shared" si="32"/>
        <v>5</v>
      </c>
    </row>
    <row r="594" spans="1:26" ht="15.75">
      <c r="A594" s="1" t="s">
        <v>999</v>
      </c>
      <c r="B594" s="4" t="s">
        <v>836</v>
      </c>
      <c r="C594" s="4" t="s">
        <v>1497</v>
      </c>
      <c r="O594" s="1"/>
      <c r="S594" s="1"/>
      <c r="X594" t="s">
        <v>500</v>
      </c>
      <c r="Y594">
        <f t="shared" si="31"/>
        <v>1</v>
      </c>
      <c r="Z594">
        <f t="shared" si="32"/>
        <v>2</v>
      </c>
    </row>
    <row r="595" spans="1:26" ht="15.75">
      <c r="A595" s="1" t="s">
        <v>1000</v>
      </c>
      <c r="B595" s="4" t="s">
        <v>637</v>
      </c>
      <c r="C595" s="4" t="s">
        <v>694</v>
      </c>
      <c r="O595" s="1"/>
      <c r="S595" s="1"/>
      <c r="X595" t="s">
        <v>502</v>
      </c>
      <c r="Y595">
        <f t="shared" si="31"/>
        <v>1</v>
      </c>
      <c r="Z595">
        <f t="shared" si="32"/>
        <v>4</v>
      </c>
    </row>
    <row r="596" spans="1:26" ht="15.75">
      <c r="A596" s="1" t="s">
        <v>1001</v>
      </c>
      <c r="B596" s="4" t="s">
        <v>786</v>
      </c>
      <c r="C596" s="4" t="s">
        <v>1720</v>
      </c>
      <c r="O596" s="1"/>
      <c r="S596" s="1"/>
      <c r="X596" t="s">
        <v>1661</v>
      </c>
      <c r="Y596">
        <f t="shared" si="31"/>
        <v>3</v>
      </c>
      <c r="Z596">
        <f t="shared" si="32"/>
        <v>7</v>
      </c>
    </row>
    <row r="597" spans="1:26" ht="15.75">
      <c r="A597" s="1" t="s">
        <v>1002</v>
      </c>
      <c r="B597" s="4" t="s">
        <v>789</v>
      </c>
      <c r="C597" s="4" t="s">
        <v>1882</v>
      </c>
      <c r="O597" s="1"/>
      <c r="S597" s="1"/>
      <c r="X597" t="s">
        <v>739</v>
      </c>
      <c r="Y597">
        <f t="shared" si="31"/>
        <v>3</v>
      </c>
      <c r="Z597">
        <f t="shared" si="32"/>
        <v>4</v>
      </c>
    </row>
    <row r="598" spans="1:26" ht="15.75">
      <c r="A598" s="1" t="s">
        <v>1003</v>
      </c>
      <c r="B598" s="4" t="s">
        <v>712</v>
      </c>
      <c r="C598" s="4" t="s">
        <v>684</v>
      </c>
      <c r="O598" s="1"/>
      <c r="S598" s="1"/>
      <c r="X598" t="s">
        <v>504</v>
      </c>
      <c r="Y598">
        <f t="shared" si="31"/>
        <v>3</v>
      </c>
      <c r="Z598">
        <f t="shared" si="32"/>
        <v>6</v>
      </c>
    </row>
    <row r="599" spans="1:26" ht="15.75">
      <c r="A599" s="1" t="s">
        <v>1004</v>
      </c>
      <c r="B599" s="4" t="s">
        <v>1498</v>
      </c>
      <c r="C599" s="4" t="s">
        <v>1747</v>
      </c>
      <c r="O599" s="1"/>
      <c r="S599" s="1"/>
      <c r="X599" t="s">
        <v>506</v>
      </c>
      <c r="Y599">
        <f t="shared" si="31"/>
        <v>1</v>
      </c>
      <c r="Z599">
        <f t="shared" si="32"/>
        <v>2</v>
      </c>
    </row>
    <row r="600" spans="1:26" ht="15.75">
      <c r="A600" s="1" t="s">
        <v>1005</v>
      </c>
      <c r="B600" s="4" t="s">
        <v>1499</v>
      </c>
      <c r="C600" s="4" t="s">
        <v>751</v>
      </c>
      <c r="O600" s="1"/>
      <c r="S600" s="1"/>
      <c r="X600" t="s">
        <v>801</v>
      </c>
      <c r="Y600">
        <f t="shared" si="31"/>
        <v>2</v>
      </c>
      <c r="Z600">
        <f t="shared" si="32"/>
        <v>5</v>
      </c>
    </row>
    <row r="601" spans="1:26" ht="15.75">
      <c r="A601" s="1" t="s">
        <v>1006</v>
      </c>
      <c r="B601" s="4" t="s">
        <v>1500</v>
      </c>
      <c r="C601" s="4" t="s">
        <v>1574</v>
      </c>
      <c r="O601" s="1"/>
      <c r="S601" s="1"/>
      <c r="X601" t="s">
        <v>507</v>
      </c>
      <c r="Y601">
        <f t="shared" si="31"/>
        <v>2</v>
      </c>
      <c r="Z601">
        <f t="shared" si="32"/>
        <v>4</v>
      </c>
    </row>
    <row r="602" spans="1:26" ht="15.75">
      <c r="A602" s="1" t="s">
        <v>1007</v>
      </c>
      <c r="B602" s="4" t="s">
        <v>1501</v>
      </c>
      <c r="C602" s="4" t="s">
        <v>1748</v>
      </c>
      <c r="O602" s="1"/>
      <c r="S602" s="1"/>
      <c r="X602" t="s">
        <v>1953</v>
      </c>
      <c r="Y602">
        <f t="shared" si="31"/>
        <v>1</v>
      </c>
      <c r="Z602">
        <f t="shared" si="32"/>
        <v>3</v>
      </c>
    </row>
    <row r="603" spans="1:26" ht="15.75">
      <c r="A603" s="1" t="s">
        <v>1008</v>
      </c>
      <c r="B603" s="4" t="s">
        <v>690</v>
      </c>
      <c r="C603" s="4" t="s">
        <v>1136</v>
      </c>
      <c r="O603" s="1"/>
      <c r="S603" s="1"/>
      <c r="X603" t="s">
        <v>754</v>
      </c>
      <c r="Y603">
        <f t="shared" si="31"/>
        <v>1</v>
      </c>
      <c r="Z603">
        <f t="shared" si="32"/>
        <v>4</v>
      </c>
    </row>
    <row r="604" spans="1:26" ht="15.75">
      <c r="A604" s="1" t="s">
        <v>1009</v>
      </c>
      <c r="B604" s="4" t="s">
        <v>1502</v>
      </c>
      <c r="C604" s="4" t="s">
        <v>637</v>
      </c>
      <c r="O604" s="1"/>
      <c r="S604" s="1"/>
      <c r="X604" t="s">
        <v>1943</v>
      </c>
      <c r="Y604">
        <f t="shared" si="31"/>
        <v>2</v>
      </c>
      <c r="Z604">
        <f t="shared" si="32"/>
        <v>3</v>
      </c>
    </row>
    <row r="605" spans="1:26" ht="15.75">
      <c r="A605" s="1" t="s">
        <v>1010</v>
      </c>
      <c r="B605" s="4" t="s">
        <v>1503</v>
      </c>
      <c r="C605" s="4" t="s">
        <v>1020</v>
      </c>
      <c r="O605" s="1"/>
      <c r="S605" s="1"/>
      <c r="X605" t="s">
        <v>1924</v>
      </c>
      <c r="Y605">
        <f t="shared" si="31"/>
        <v>1</v>
      </c>
      <c r="Z605">
        <f t="shared" si="32"/>
        <v>3</v>
      </c>
    </row>
    <row r="606" spans="1:26" ht="15.75">
      <c r="A606" s="1" t="s">
        <v>58</v>
      </c>
      <c r="B606" s="4" t="s">
        <v>1504</v>
      </c>
      <c r="C606" s="4" t="s">
        <v>624</v>
      </c>
      <c r="O606" s="1"/>
      <c r="S606" s="1"/>
      <c r="X606" t="s">
        <v>508</v>
      </c>
      <c r="Y606">
        <f t="shared" si="31"/>
        <v>2</v>
      </c>
      <c r="Z606">
        <f t="shared" si="32"/>
        <v>2</v>
      </c>
    </row>
    <row r="607" spans="1:26" ht="15.75">
      <c r="A607" s="1" t="s">
        <v>1011</v>
      </c>
      <c r="B607" s="4" t="s">
        <v>1505</v>
      </c>
      <c r="C607" s="4" t="s">
        <v>660</v>
      </c>
      <c r="O607" s="1"/>
      <c r="S607" s="1"/>
      <c r="X607" t="s">
        <v>510</v>
      </c>
      <c r="Y607">
        <f t="shared" si="31"/>
        <v>3</v>
      </c>
      <c r="Z607">
        <f t="shared" si="32"/>
        <v>3</v>
      </c>
    </row>
    <row r="608" spans="1:26" ht="15.75">
      <c r="A608" s="1" t="s">
        <v>1012</v>
      </c>
      <c r="B608" s="4" t="s">
        <v>817</v>
      </c>
      <c r="C608" s="4" t="s">
        <v>1030</v>
      </c>
      <c r="O608" s="1"/>
      <c r="S608" s="1"/>
      <c r="X608" t="s">
        <v>642</v>
      </c>
      <c r="Y608">
        <f t="shared" si="31"/>
        <v>2</v>
      </c>
      <c r="Z608">
        <f t="shared" si="32"/>
        <v>4</v>
      </c>
    </row>
    <row r="609" spans="1:26" ht="15.75">
      <c r="A609" s="1" t="s">
        <v>1013</v>
      </c>
      <c r="B609" s="4" t="s">
        <v>237</v>
      </c>
      <c r="C609" s="4" t="s">
        <v>1447</v>
      </c>
      <c r="O609" s="1"/>
      <c r="S609" s="1"/>
      <c r="X609" t="s">
        <v>1962</v>
      </c>
      <c r="Y609">
        <f t="shared" si="31"/>
        <v>2</v>
      </c>
      <c r="Z609">
        <f t="shared" si="32"/>
        <v>3</v>
      </c>
    </row>
    <row r="610" spans="1:26" ht="15.75">
      <c r="A610" s="1" t="s">
        <v>1014</v>
      </c>
      <c r="B610" s="4" t="s">
        <v>1506</v>
      </c>
      <c r="C610" s="4" t="s">
        <v>964</v>
      </c>
      <c r="O610" s="1"/>
      <c r="S610" s="1"/>
      <c r="X610" t="s">
        <v>804</v>
      </c>
      <c r="Y610">
        <f t="shared" si="31"/>
        <v>3</v>
      </c>
      <c r="Z610">
        <f t="shared" si="32"/>
        <v>3</v>
      </c>
    </row>
    <row r="611" spans="1:26" ht="15.75">
      <c r="A611" s="1" t="s">
        <v>1015</v>
      </c>
      <c r="B611" s="4" t="s">
        <v>1728</v>
      </c>
      <c r="C611" s="4" t="s">
        <v>1149</v>
      </c>
      <c r="O611" s="1"/>
      <c r="S611" s="1"/>
      <c r="X611" t="s">
        <v>511</v>
      </c>
      <c r="Y611">
        <f t="shared" si="31"/>
        <v>3</v>
      </c>
      <c r="Z611">
        <f t="shared" si="32"/>
        <v>3</v>
      </c>
    </row>
    <row r="612" spans="1:26" ht="15.75">
      <c r="A612" s="1" t="s">
        <v>1016</v>
      </c>
      <c r="B612" s="4" t="s">
        <v>788</v>
      </c>
      <c r="C612" s="4" t="s">
        <v>799</v>
      </c>
      <c r="O612" s="1"/>
      <c r="S612" s="1"/>
      <c r="X612" t="s">
        <v>1914</v>
      </c>
      <c r="Y612">
        <f t="shared" si="31"/>
        <v>3</v>
      </c>
      <c r="Z612">
        <f t="shared" si="32"/>
        <v>3</v>
      </c>
    </row>
    <row r="613" spans="1:26" ht="15.75">
      <c r="A613" s="1" t="s">
        <v>1017</v>
      </c>
      <c r="B613" s="4" t="s">
        <v>1507</v>
      </c>
      <c r="C613" s="4" t="s">
        <v>756</v>
      </c>
      <c r="O613" s="1"/>
      <c r="S613" s="1"/>
      <c r="X613" t="s">
        <v>889</v>
      </c>
      <c r="Y613">
        <f t="shared" si="31"/>
        <v>3</v>
      </c>
      <c r="Z613">
        <f t="shared" si="32"/>
        <v>4</v>
      </c>
    </row>
    <row r="614" spans="1:26" ht="15.75">
      <c r="A614" s="1" t="s">
        <v>1018</v>
      </c>
      <c r="B614" s="4" t="s">
        <v>1230</v>
      </c>
      <c r="C614" s="4" t="s">
        <v>1749</v>
      </c>
      <c r="O614" s="1"/>
      <c r="S614" s="1"/>
      <c r="X614" t="s">
        <v>514</v>
      </c>
      <c r="Y614">
        <f t="shared" si="31"/>
        <v>1</v>
      </c>
      <c r="Z614">
        <f t="shared" si="32"/>
        <v>2</v>
      </c>
    </row>
    <row r="615" spans="1:26" ht="15.75">
      <c r="A615" s="1" t="s">
        <v>469</v>
      </c>
      <c r="B615" s="4" t="s">
        <v>1508</v>
      </c>
      <c r="C615" s="4" t="s">
        <v>1750</v>
      </c>
      <c r="O615" s="1"/>
      <c r="S615" s="1"/>
      <c r="X615" t="s">
        <v>515</v>
      </c>
      <c r="Y615">
        <f t="shared" si="31"/>
        <v>1</v>
      </c>
      <c r="Z615">
        <f t="shared" si="32"/>
        <v>3</v>
      </c>
    </row>
    <row r="616" spans="1:26" ht="15.75">
      <c r="A616" s="1" t="s">
        <v>1019</v>
      </c>
      <c r="B616" s="4" t="s">
        <v>828</v>
      </c>
      <c r="C616" s="4" t="s">
        <v>1262</v>
      </c>
      <c r="O616" s="1"/>
      <c r="S616" s="1"/>
      <c r="X616" t="s">
        <v>516</v>
      </c>
      <c r="Y616">
        <f t="shared" si="31"/>
        <v>2</v>
      </c>
      <c r="Z616">
        <f t="shared" si="32"/>
        <v>4</v>
      </c>
    </row>
    <row r="617" spans="1:26" ht="15.75">
      <c r="A617" s="1" t="s">
        <v>1020</v>
      </c>
      <c r="B617" s="4" t="s">
        <v>1509</v>
      </c>
      <c r="C617" s="4" t="s">
        <v>955</v>
      </c>
      <c r="O617" s="1"/>
      <c r="S617" s="1"/>
      <c r="X617" t="s">
        <v>517</v>
      </c>
      <c r="Y617">
        <f t="shared" si="31"/>
        <v>1</v>
      </c>
      <c r="Z617">
        <f t="shared" si="32"/>
        <v>4</v>
      </c>
    </row>
    <row r="618" spans="1:26" ht="15.75">
      <c r="A618" s="1" t="s">
        <v>1021</v>
      </c>
      <c r="B618" s="4" t="s">
        <v>1236</v>
      </c>
      <c r="C618" s="4" t="s">
        <v>951</v>
      </c>
      <c r="O618" s="1"/>
      <c r="S618" s="1"/>
      <c r="X618" t="s">
        <v>518</v>
      </c>
      <c r="Y618">
        <f t="shared" si="31"/>
        <v>2</v>
      </c>
      <c r="Z618">
        <f t="shared" si="32"/>
        <v>3</v>
      </c>
    </row>
    <row r="619" spans="1:26" ht="15.75">
      <c r="A619" s="1" t="s">
        <v>1022</v>
      </c>
      <c r="B619" s="4" t="s">
        <v>804</v>
      </c>
      <c r="C619" s="4" t="s">
        <v>1159</v>
      </c>
      <c r="O619" s="1"/>
      <c r="S619" s="1"/>
      <c r="X619" t="s">
        <v>519</v>
      </c>
      <c r="Y619">
        <f t="shared" si="31"/>
        <v>4</v>
      </c>
      <c r="Z619">
        <f t="shared" si="32"/>
        <v>5</v>
      </c>
    </row>
    <row r="620" spans="1:26" ht="15.75">
      <c r="A620" s="1" t="s">
        <v>1023</v>
      </c>
      <c r="B620" s="4" t="s">
        <v>1510</v>
      </c>
      <c r="C620" s="4" t="s">
        <v>876</v>
      </c>
      <c r="O620" s="1"/>
      <c r="S620" s="1"/>
      <c r="X620" t="s">
        <v>520</v>
      </c>
      <c r="Y620">
        <f t="shared" si="31"/>
        <v>2</v>
      </c>
      <c r="Z620">
        <f t="shared" si="32"/>
        <v>4</v>
      </c>
    </row>
    <row r="621" spans="1:26" ht="15.75">
      <c r="A621" s="1" t="s">
        <v>1024</v>
      </c>
      <c r="B621" s="4" t="s">
        <v>1511</v>
      </c>
      <c r="C621" s="4" t="s">
        <v>965</v>
      </c>
      <c r="O621" s="1"/>
      <c r="S621" s="1"/>
      <c r="X621" t="s">
        <v>521</v>
      </c>
      <c r="Y621">
        <f t="shared" si="31"/>
        <v>3</v>
      </c>
      <c r="Z621">
        <f t="shared" si="32"/>
        <v>4</v>
      </c>
    </row>
    <row r="622" spans="1:26" ht="15.75">
      <c r="A622" s="1" t="s">
        <v>1025</v>
      </c>
      <c r="B622" s="4" t="s">
        <v>1777</v>
      </c>
      <c r="C622" s="4" t="s">
        <v>802</v>
      </c>
      <c r="O622" s="1"/>
      <c r="S622" s="1"/>
      <c r="X622" t="s">
        <v>523</v>
      </c>
      <c r="Y622">
        <f t="shared" si="31"/>
        <v>3</v>
      </c>
      <c r="Z622">
        <f t="shared" si="32"/>
        <v>5</v>
      </c>
    </row>
    <row r="623" spans="1:26" ht="15.75">
      <c r="A623" s="1" t="s">
        <v>1026</v>
      </c>
      <c r="B623" s="4" t="s">
        <v>1512</v>
      </c>
      <c r="C623" s="4" t="s">
        <v>1751</v>
      </c>
      <c r="O623" s="1"/>
      <c r="S623" s="1"/>
      <c r="X623" t="s">
        <v>524</v>
      </c>
      <c r="Y623">
        <f t="shared" si="31"/>
        <v>3</v>
      </c>
      <c r="Z623">
        <f t="shared" si="32"/>
        <v>5</v>
      </c>
    </row>
    <row r="624" spans="1:26" ht="15.75">
      <c r="A624" s="1" t="s">
        <v>1027</v>
      </c>
      <c r="B624" s="4" t="s">
        <v>1513</v>
      </c>
      <c r="C624" s="4" t="s">
        <v>786</v>
      </c>
      <c r="O624" s="1"/>
      <c r="S624" s="1"/>
      <c r="X624" t="s">
        <v>525</v>
      </c>
      <c r="Y624">
        <f t="shared" si="31"/>
        <v>2</v>
      </c>
      <c r="Z624">
        <f t="shared" si="32"/>
        <v>4</v>
      </c>
    </row>
    <row r="625" spans="1:26" ht="15.75">
      <c r="A625" s="1" t="s">
        <v>1028</v>
      </c>
      <c r="B625" s="4" t="s">
        <v>720</v>
      </c>
      <c r="C625" s="4" t="s">
        <v>34</v>
      </c>
      <c r="O625" s="1"/>
      <c r="S625" s="1"/>
      <c r="X625" t="s">
        <v>526</v>
      </c>
      <c r="Y625">
        <f t="shared" si="31"/>
        <v>2</v>
      </c>
      <c r="Z625">
        <f t="shared" si="32"/>
        <v>3</v>
      </c>
    </row>
    <row r="626" spans="1:26" ht="15.75">
      <c r="A626" s="1" t="s">
        <v>1029</v>
      </c>
      <c r="B626" s="4" t="s">
        <v>1514</v>
      </c>
      <c r="C626" s="4" t="s">
        <v>674</v>
      </c>
      <c r="O626" s="1"/>
      <c r="S626" s="1"/>
      <c r="X626" t="s">
        <v>623</v>
      </c>
      <c r="Y626">
        <f t="shared" si="31"/>
        <v>3</v>
      </c>
      <c r="Z626">
        <f t="shared" si="32"/>
        <v>5</v>
      </c>
    </row>
    <row r="627" spans="1:26" ht="15.75">
      <c r="A627" s="1" t="s">
        <v>1030</v>
      </c>
      <c r="B627" s="4" t="s">
        <v>1515</v>
      </c>
      <c r="C627" s="4" t="s">
        <v>1532</v>
      </c>
      <c r="O627" s="1"/>
      <c r="S627" s="1"/>
      <c r="X627" t="s">
        <v>528</v>
      </c>
      <c r="Y627">
        <f t="shared" si="31"/>
        <v>3</v>
      </c>
      <c r="Z627">
        <f t="shared" si="32"/>
        <v>5</v>
      </c>
    </row>
    <row r="628" spans="1:26" ht="15.75">
      <c r="A628" s="1" t="s">
        <v>1031</v>
      </c>
      <c r="B628" s="4" t="s">
        <v>1516</v>
      </c>
      <c r="C628" s="4" t="s">
        <v>1602</v>
      </c>
      <c r="O628" s="1"/>
      <c r="S628" s="1"/>
      <c r="X628" t="s">
        <v>529</v>
      </c>
      <c r="Y628">
        <f t="shared" si="31"/>
        <v>3</v>
      </c>
      <c r="Z628">
        <f t="shared" si="32"/>
        <v>4</v>
      </c>
    </row>
    <row r="629" spans="1:26" ht="15.75">
      <c r="A629" s="1" t="s">
        <v>555</v>
      </c>
      <c r="B629" s="4" t="s">
        <v>1096</v>
      </c>
      <c r="C629" s="4" t="s">
        <v>1246</v>
      </c>
      <c r="O629" s="1"/>
      <c r="S629" s="1"/>
      <c r="X629" t="s">
        <v>1981</v>
      </c>
      <c r="Y629">
        <f t="shared" si="31"/>
        <v>2</v>
      </c>
      <c r="Z629">
        <f t="shared" si="32"/>
        <v>3</v>
      </c>
    </row>
    <row r="630" spans="1:26" ht="15.75">
      <c r="A630" s="1" t="s">
        <v>1032</v>
      </c>
      <c r="B630" s="4" t="s">
        <v>512</v>
      </c>
      <c r="C630" s="4" t="s">
        <v>765</v>
      </c>
      <c r="O630" s="1"/>
      <c r="S630" s="1"/>
      <c r="X630" t="s">
        <v>530</v>
      </c>
      <c r="Y630">
        <f t="shared" si="31"/>
        <v>4</v>
      </c>
      <c r="Z630">
        <f t="shared" si="32"/>
        <v>5</v>
      </c>
    </row>
    <row r="631" spans="1:26" ht="15.75">
      <c r="A631" s="1" t="s">
        <v>1033</v>
      </c>
      <c r="B631" s="4" t="s">
        <v>1517</v>
      </c>
      <c r="C631" s="4" t="s">
        <v>717</v>
      </c>
      <c r="O631" s="1"/>
      <c r="S631" s="1"/>
      <c r="X631" t="s">
        <v>752</v>
      </c>
      <c r="Y631">
        <f t="shared" si="31"/>
        <v>2</v>
      </c>
      <c r="Z631">
        <f t="shared" si="32"/>
        <v>6</v>
      </c>
    </row>
    <row r="632" spans="1:26" ht="15.75">
      <c r="A632" s="1" t="s">
        <v>1034</v>
      </c>
      <c r="B632" s="4" t="s">
        <v>1518</v>
      </c>
      <c r="C632" s="4" t="s">
        <v>1320</v>
      </c>
      <c r="O632" s="1"/>
      <c r="S632" s="1"/>
      <c r="X632" t="s">
        <v>683</v>
      </c>
      <c r="Y632">
        <f t="shared" si="31"/>
        <v>2</v>
      </c>
      <c r="Z632">
        <f t="shared" si="32"/>
        <v>7</v>
      </c>
    </row>
    <row r="633" spans="1:26" ht="15.75">
      <c r="A633" s="1" t="s">
        <v>1035</v>
      </c>
      <c r="B633" s="4" t="s">
        <v>1519</v>
      </c>
      <c r="C633" s="4" t="s">
        <v>1680</v>
      </c>
      <c r="O633" s="1"/>
      <c r="S633" s="1"/>
      <c r="X633" t="s">
        <v>531</v>
      </c>
      <c r="Y633">
        <f t="shared" si="31"/>
        <v>3</v>
      </c>
      <c r="Z633">
        <f t="shared" si="32"/>
        <v>5</v>
      </c>
    </row>
    <row r="634" spans="1:26" ht="15.75">
      <c r="A634" s="1" t="s">
        <v>1036</v>
      </c>
      <c r="B634" s="4" t="s">
        <v>1520</v>
      </c>
      <c r="C634" s="4" t="s">
        <v>396</v>
      </c>
      <c r="O634" s="1"/>
      <c r="S634" s="1"/>
      <c r="X634" t="s">
        <v>532</v>
      </c>
      <c r="Y634">
        <f t="shared" si="31"/>
        <v>3</v>
      </c>
      <c r="Z634">
        <f t="shared" si="32"/>
        <v>7</v>
      </c>
    </row>
    <row r="635" spans="1:26" ht="15.75">
      <c r="A635" s="1" t="s">
        <v>1037</v>
      </c>
      <c r="B635" s="4" t="s">
        <v>1521</v>
      </c>
      <c r="C635" s="4" t="s">
        <v>1088</v>
      </c>
      <c r="O635" s="1"/>
      <c r="S635" s="1"/>
      <c r="X635" t="s">
        <v>533</v>
      </c>
      <c r="Y635">
        <f t="shared" si="31"/>
        <v>2</v>
      </c>
      <c r="Z635">
        <f t="shared" si="32"/>
        <v>2</v>
      </c>
    </row>
    <row r="636" spans="1:26" ht="15.75">
      <c r="A636" s="1" t="s">
        <v>1038</v>
      </c>
      <c r="B636" s="4" t="s">
        <v>1125</v>
      </c>
      <c r="C636" s="4" t="s">
        <v>820</v>
      </c>
      <c r="O636" s="1"/>
      <c r="S636" s="1"/>
      <c r="X636" t="s">
        <v>1916</v>
      </c>
      <c r="Y636">
        <f t="shared" si="31"/>
        <v>2</v>
      </c>
      <c r="Z636">
        <f t="shared" si="32"/>
        <v>3</v>
      </c>
    </row>
    <row r="637" spans="1:26" ht="15.75">
      <c r="A637" s="1" t="s">
        <v>1039</v>
      </c>
      <c r="B637" s="4" t="s">
        <v>1167</v>
      </c>
      <c r="C637" s="4" t="s">
        <v>1752</v>
      </c>
      <c r="O637" s="1"/>
      <c r="S637" s="1"/>
      <c r="X637" t="s">
        <v>534</v>
      </c>
      <c r="Y637">
        <f t="shared" si="31"/>
        <v>3</v>
      </c>
      <c r="Z637">
        <f t="shared" si="32"/>
        <v>4</v>
      </c>
    </row>
    <row r="638" spans="1:26" ht="15.75">
      <c r="A638" s="1" t="s">
        <v>1040</v>
      </c>
      <c r="B638" s="4" t="s">
        <v>676</v>
      </c>
      <c r="C638" s="4" t="s">
        <v>1520</v>
      </c>
      <c r="O638" s="1"/>
      <c r="S638" s="1"/>
      <c r="X638" t="s">
        <v>536</v>
      </c>
      <c r="Y638">
        <f t="shared" si="31"/>
        <v>3</v>
      </c>
      <c r="Z638">
        <f t="shared" si="32"/>
        <v>3</v>
      </c>
    </row>
    <row r="639" spans="1:26" ht="15.75">
      <c r="A639" s="1" t="s">
        <v>1041</v>
      </c>
      <c r="B639" s="4" t="s">
        <v>1522</v>
      </c>
      <c r="C639" s="4" t="s">
        <v>485</v>
      </c>
      <c r="O639" s="1"/>
      <c r="S639" s="1"/>
      <c r="X639" t="s">
        <v>537</v>
      </c>
      <c r="Y639">
        <f t="shared" si="31"/>
        <v>3</v>
      </c>
      <c r="Z639">
        <f t="shared" si="32"/>
        <v>3</v>
      </c>
    </row>
    <row r="640" spans="1:26" ht="15.75">
      <c r="A640" s="1" t="s">
        <v>1042</v>
      </c>
      <c r="B640" s="4" t="s">
        <v>1523</v>
      </c>
      <c r="C640" s="4" t="s">
        <v>1582</v>
      </c>
      <c r="O640" s="1"/>
      <c r="S640" s="1"/>
      <c r="X640" t="s">
        <v>540</v>
      </c>
      <c r="Y640">
        <f t="shared" si="31"/>
        <v>2</v>
      </c>
      <c r="Z640">
        <f t="shared" si="32"/>
        <v>2</v>
      </c>
    </row>
    <row r="641" spans="1:26" ht="15.75">
      <c r="A641" s="1" t="s">
        <v>1043</v>
      </c>
      <c r="B641" s="4" t="s">
        <v>1524</v>
      </c>
      <c r="C641" s="4" t="s">
        <v>1883</v>
      </c>
      <c r="O641" s="1"/>
      <c r="S641" s="1"/>
      <c r="X641" t="s">
        <v>777</v>
      </c>
      <c r="Y641">
        <f t="shared" ref="Y641:Y704" si="33">IF(ISNUMBER(FIND("e",X641)),1,0)+IF(ISNUMBER(FIND("n",X641)),1,0)+IF(ISNUMBER(FIND("t",X641)),1,0)+IF(ISNUMBER(FIND("o",X641)),1,0)+IF(ISNUMBER(FIND("r",X641)),1,0)+IF(ISNUMBER(FIND("s",X641)),1,0)+IF(ISNUMBER(FIND("d",X641)),1,0)+IF(ISNUMBER(FIND("i",X641)),1,0)</f>
        <v>3</v>
      </c>
      <c r="Z641">
        <f t="shared" ref="Z641:Z704" si="34">LEN(X641)</f>
        <v>4</v>
      </c>
    </row>
    <row r="642" spans="1:26" ht="15.75">
      <c r="A642" s="1" t="s">
        <v>1044</v>
      </c>
      <c r="B642" s="4" t="s">
        <v>749</v>
      </c>
      <c r="C642" s="4" t="s">
        <v>1023</v>
      </c>
      <c r="O642" s="1"/>
      <c r="S642" s="1"/>
      <c r="X642" t="s">
        <v>641</v>
      </c>
      <c r="Y642">
        <f t="shared" si="33"/>
        <v>2</v>
      </c>
      <c r="Z642">
        <f t="shared" si="34"/>
        <v>3</v>
      </c>
    </row>
    <row r="643" spans="1:26" ht="15.75">
      <c r="A643" s="1" t="s">
        <v>1045</v>
      </c>
      <c r="B643" s="4" t="s">
        <v>1525</v>
      </c>
      <c r="C643" s="4" t="s">
        <v>1753</v>
      </c>
      <c r="O643" s="1"/>
      <c r="S643" s="1"/>
      <c r="X643" t="s">
        <v>543</v>
      </c>
      <c r="Y643">
        <f t="shared" si="33"/>
        <v>2</v>
      </c>
      <c r="Z643">
        <f t="shared" si="34"/>
        <v>3</v>
      </c>
    </row>
    <row r="644" spans="1:26" ht="15.75">
      <c r="A644" s="1" t="s">
        <v>1046</v>
      </c>
      <c r="B644" s="4" t="s">
        <v>651</v>
      </c>
      <c r="C644" s="4" t="s">
        <v>931</v>
      </c>
      <c r="O644" s="1"/>
      <c r="S644" s="1"/>
      <c r="X644" t="s">
        <v>544</v>
      </c>
      <c r="Y644">
        <f t="shared" si="33"/>
        <v>3</v>
      </c>
      <c r="Z644">
        <f t="shared" si="34"/>
        <v>3</v>
      </c>
    </row>
    <row r="645" spans="1:26" ht="15.75">
      <c r="A645" s="1" t="s">
        <v>1047</v>
      </c>
      <c r="B645" s="4" t="s">
        <v>665</v>
      </c>
      <c r="C645" s="4" t="s">
        <v>1598</v>
      </c>
      <c r="O645" s="1"/>
      <c r="S645" s="1"/>
      <c r="X645" t="s">
        <v>808</v>
      </c>
      <c r="Y645">
        <f t="shared" si="33"/>
        <v>4</v>
      </c>
      <c r="Z645">
        <f t="shared" si="34"/>
        <v>6</v>
      </c>
    </row>
    <row r="646" spans="1:26" ht="15.75">
      <c r="A646" s="1" t="s">
        <v>1048</v>
      </c>
      <c r="B646" s="4" t="s">
        <v>934</v>
      </c>
      <c r="C646" s="4" t="s">
        <v>590</v>
      </c>
      <c r="O646" s="1"/>
      <c r="S646" s="1"/>
      <c r="X646" t="s">
        <v>827</v>
      </c>
      <c r="Y646">
        <f t="shared" si="33"/>
        <v>3</v>
      </c>
      <c r="Z646">
        <f t="shared" si="34"/>
        <v>4</v>
      </c>
    </row>
    <row r="647" spans="1:26" ht="15.75">
      <c r="A647" s="1" t="s">
        <v>1049</v>
      </c>
      <c r="B647" s="4" t="s">
        <v>1526</v>
      </c>
      <c r="C647" s="4" t="s">
        <v>61</v>
      </c>
      <c r="O647" s="1"/>
      <c r="S647" s="1"/>
      <c r="X647" t="s">
        <v>546</v>
      </c>
      <c r="Y647">
        <f t="shared" si="33"/>
        <v>2</v>
      </c>
      <c r="Z647">
        <f t="shared" si="34"/>
        <v>2</v>
      </c>
    </row>
    <row r="648" spans="1:26" ht="15.75">
      <c r="A648" s="1" t="s">
        <v>1050</v>
      </c>
      <c r="B648" s="4" t="s">
        <v>1527</v>
      </c>
      <c r="C648" s="4" t="s">
        <v>1754</v>
      </c>
      <c r="O648" s="1"/>
      <c r="S648" s="1"/>
      <c r="X648" t="s">
        <v>547</v>
      </c>
      <c r="Y648">
        <f t="shared" si="33"/>
        <v>2</v>
      </c>
      <c r="Z648">
        <f t="shared" si="34"/>
        <v>3</v>
      </c>
    </row>
    <row r="649" spans="1:26" ht="15.75">
      <c r="A649" s="1" t="s">
        <v>581</v>
      </c>
      <c r="B649" s="4" t="s">
        <v>1050</v>
      </c>
      <c r="C649" s="4" t="s">
        <v>1528</v>
      </c>
      <c r="O649" s="1"/>
      <c r="S649" s="1"/>
      <c r="X649" t="s">
        <v>657</v>
      </c>
      <c r="Y649">
        <f t="shared" si="33"/>
        <v>2</v>
      </c>
      <c r="Z649">
        <f t="shared" si="34"/>
        <v>3</v>
      </c>
    </row>
    <row r="650" spans="1:26" ht="15.75">
      <c r="A650" s="1" t="s">
        <v>1051</v>
      </c>
      <c r="B650" s="4" t="s">
        <v>1528</v>
      </c>
      <c r="C650" s="4" t="s">
        <v>1663</v>
      </c>
      <c r="O650" s="1"/>
      <c r="S650" s="1"/>
      <c r="X650" t="s">
        <v>549</v>
      </c>
      <c r="Y650">
        <f t="shared" si="33"/>
        <v>2</v>
      </c>
      <c r="Z650">
        <f t="shared" si="34"/>
        <v>2</v>
      </c>
    </row>
    <row r="651" spans="1:26" ht="15.75">
      <c r="A651" s="1" t="s">
        <v>122</v>
      </c>
      <c r="B651" s="4" t="s">
        <v>1529</v>
      </c>
      <c r="C651" s="4" t="s">
        <v>1400</v>
      </c>
      <c r="O651" s="1"/>
      <c r="S651" s="1"/>
      <c r="X651" t="s">
        <v>550</v>
      </c>
      <c r="Y651">
        <f t="shared" si="33"/>
        <v>1</v>
      </c>
      <c r="Z651">
        <f t="shared" si="34"/>
        <v>2</v>
      </c>
    </row>
    <row r="652" spans="1:26" ht="15.75">
      <c r="A652" s="1" t="s">
        <v>1052</v>
      </c>
      <c r="B652" s="4" t="s">
        <v>91</v>
      </c>
      <c r="C652" s="4" t="s">
        <v>700</v>
      </c>
      <c r="O652" s="1"/>
      <c r="S652" s="1"/>
      <c r="X652" t="s">
        <v>1956</v>
      </c>
      <c r="Y652">
        <f t="shared" si="33"/>
        <v>1</v>
      </c>
      <c r="Z652">
        <f t="shared" si="34"/>
        <v>3</v>
      </c>
    </row>
    <row r="653" spans="1:26" ht="15.75">
      <c r="A653" s="1" t="s">
        <v>1053</v>
      </c>
      <c r="B653" s="4" t="s">
        <v>277</v>
      </c>
      <c r="C653" s="4" t="s">
        <v>900</v>
      </c>
      <c r="O653" s="1"/>
      <c r="S653" s="1"/>
      <c r="X653" t="s">
        <v>551</v>
      </c>
      <c r="Y653">
        <f t="shared" si="33"/>
        <v>1</v>
      </c>
      <c r="Z653">
        <f t="shared" si="34"/>
        <v>2</v>
      </c>
    </row>
    <row r="654" spans="1:26" ht="15.75">
      <c r="A654" s="1" t="s">
        <v>1054</v>
      </c>
      <c r="B654" s="4" t="s">
        <v>1023</v>
      </c>
      <c r="C654" s="4" t="s">
        <v>1755</v>
      </c>
      <c r="O654" s="1"/>
      <c r="S654" s="1"/>
      <c r="X654" t="s">
        <v>1897</v>
      </c>
      <c r="Y654">
        <f t="shared" si="33"/>
        <v>2</v>
      </c>
      <c r="Z654">
        <f t="shared" si="34"/>
        <v>3</v>
      </c>
    </row>
    <row r="655" spans="1:26" ht="15.75">
      <c r="A655" s="1" t="s">
        <v>65</v>
      </c>
      <c r="B655" s="4" t="s">
        <v>776</v>
      </c>
      <c r="C655" s="4" t="s">
        <v>96</v>
      </c>
      <c r="O655" s="1"/>
      <c r="S655" s="1"/>
      <c r="X655" t="s">
        <v>636</v>
      </c>
      <c r="Y655">
        <f t="shared" si="33"/>
        <v>3</v>
      </c>
      <c r="Z655">
        <f t="shared" si="34"/>
        <v>4</v>
      </c>
    </row>
    <row r="656" spans="1:26" ht="15.75">
      <c r="A656" s="1" t="s">
        <v>1055</v>
      </c>
      <c r="B656" s="4" t="s">
        <v>1296</v>
      </c>
      <c r="C656" s="4" t="s">
        <v>774</v>
      </c>
      <c r="O656" s="1"/>
      <c r="S656" s="1"/>
      <c r="X656" t="s">
        <v>553</v>
      </c>
      <c r="Y656">
        <f t="shared" si="33"/>
        <v>2</v>
      </c>
      <c r="Z656">
        <f t="shared" si="34"/>
        <v>3</v>
      </c>
    </row>
    <row r="657" spans="1:26" ht="15.75">
      <c r="A657" s="1" t="s">
        <v>1056</v>
      </c>
      <c r="B657" s="4" t="s">
        <v>1530</v>
      </c>
      <c r="C657" s="4" t="s">
        <v>1444</v>
      </c>
      <c r="O657" s="1"/>
      <c r="S657" s="1"/>
      <c r="X657" t="s">
        <v>554</v>
      </c>
      <c r="Y657">
        <f t="shared" si="33"/>
        <v>1</v>
      </c>
      <c r="Z657">
        <f t="shared" si="34"/>
        <v>2</v>
      </c>
    </row>
    <row r="658" spans="1:26" ht="15.75">
      <c r="A658" s="1" t="s">
        <v>1057</v>
      </c>
      <c r="B658" s="4" t="s">
        <v>733</v>
      </c>
      <c r="C658" s="4" t="s">
        <v>1271</v>
      </c>
      <c r="O658" s="1"/>
      <c r="S658" s="1"/>
      <c r="X658" t="s">
        <v>557</v>
      </c>
      <c r="Y658">
        <f t="shared" si="33"/>
        <v>0</v>
      </c>
      <c r="Z658">
        <f t="shared" si="34"/>
        <v>2</v>
      </c>
    </row>
    <row r="659" spans="1:26" ht="15.75">
      <c r="A659" s="1" t="s">
        <v>1058</v>
      </c>
      <c r="B659" s="4" t="s">
        <v>1531</v>
      </c>
      <c r="C659" s="4" t="s">
        <v>1756</v>
      </c>
      <c r="O659" s="1"/>
      <c r="S659" s="1"/>
      <c r="X659" t="s">
        <v>560</v>
      </c>
      <c r="Y659">
        <f t="shared" si="33"/>
        <v>0</v>
      </c>
      <c r="Z659">
        <f t="shared" si="34"/>
        <v>2</v>
      </c>
    </row>
    <row r="660" spans="1:26" ht="15.75">
      <c r="A660" s="1" t="s">
        <v>1059</v>
      </c>
      <c r="B660" s="4" t="s">
        <v>1868</v>
      </c>
      <c r="C660" s="4" t="s">
        <v>1510</v>
      </c>
      <c r="O660" s="1"/>
      <c r="S660" s="1"/>
      <c r="X660" t="s">
        <v>561</v>
      </c>
      <c r="Y660">
        <f t="shared" si="33"/>
        <v>0</v>
      </c>
      <c r="Z660">
        <f t="shared" si="34"/>
        <v>2</v>
      </c>
    </row>
    <row r="661" spans="1:26" ht="15.75">
      <c r="A661" s="1" t="s">
        <v>1060</v>
      </c>
      <c r="B661" s="4" t="s">
        <v>1149</v>
      </c>
      <c r="C661" s="4" t="s">
        <v>1587</v>
      </c>
      <c r="O661" s="1"/>
      <c r="S661" s="1"/>
      <c r="X661" t="s">
        <v>562</v>
      </c>
      <c r="Y661">
        <f t="shared" si="33"/>
        <v>1</v>
      </c>
      <c r="Z661">
        <f t="shared" si="34"/>
        <v>2</v>
      </c>
    </row>
    <row r="662" spans="1:26" ht="15.75">
      <c r="A662" s="1" t="s">
        <v>1061</v>
      </c>
      <c r="B662" s="4" t="s">
        <v>1532</v>
      </c>
      <c r="C662" s="4" t="s">
        <v>1420</v>
      </c>
      <c r="O662" s="1"/>
      <c r="S662" s="1"/>
      <c r="X662" t="s">
        <v>1965</v>
      </c>
      <c r="Y662">
        <f t="shared" si="33"/>
        <v>2</v>
      </c>
      <c r="Z662">
        <f t="shared" si="34"/>
        <v>3</v>
      </c>
    </row>
    <row r="663" spans="1:26" ht="15.75">
      <c r="A663" s="1" t="s">
        <v>1062</v>
      </c>
      <c r="B663" s="4" t="s">
        <v>1841</v>
      </c>
      <c r="C663" s="4" t="s">
        <v>1757</v>
      </c>
      <c r="O663" s="1"/>
      <c r="S663" s="1"/>
      <c r="X663" t="s">
        <v>563</v>
      </c>
      <c r="Y663">
        <f t="shared" si="33"/>
        <v>4</v>
      </c>
      <c r="Z663">
        <f t="shared" si="34"/>
        <v>5</v>
      </c>
    </row>
    <row r="664" spans="1:26" ht="15.75">
      <c r="A664" s="1" t="s">
        <v>1063</v>
      </c>
      <c r="B664" s="4" t="s">
        <v>1533</v>
      </c>
      <c r="C664" s="4" t="s">
        <v>1141</v>
      </c>
      <c r="O664" s="1"/>
      <c r="S664" s="1"/>
      <c r="X664" t="s">
        <v>826</v>
      </c>
      <c r="Y664">
        <f t="shared" si="33"/>
        <v>3</v>
      </c>
      <c r="Z664">
        <f t="shared" si="34"/>
        <v>4</v>
      </c>
    </row>
    <row r="665" spans="1:26" ht="15.75">
      <c r="A665" s="1" t="s">
        <v>1064</v>
      </c>
      <c r="B665" s="4" t="s">
        <v>674</v>
      </c>
      <c r="C665" s="4" t="s">
        <v>1624</v>
      </c>
      <c r="O665" s="1"/>
      <c r="S665" s="1"/>
      <c r="X665" t="s">
        <v>718</v>
      </c>
      <c r="Y665">
        <f t="shared" si="33"/>
        <v>3</v>
      </c>
      <c r="Z665">
        <f t="shared" si="34"/>
        <v>5</v>
      </c>
    </row>
    <row r="666" spans="1:26" ht="15.75">
      <c r="A666" s="1" t="s">
        <v>1065</v>
      </c>
      <c r="B666" s="4" t="s">
        <v>1119</v>
      </c>
      <c r="C666" s="4" t="s">
        <v>1562</v>
      </c>
      <c r="O666" s="1"/>
      <c r="S666" s="1"/>
      <c r="X666" t="s">
        <v>565</v>
      </c>
      <c r="Y666">
        <f t="shared" si="33"/>
        <v>0</v>
      </c>
      <c r="Z666">
        <f t="shared" si="34"/>
        <v>2</v>
      </c>
    </row>
    <row r="667" spans="1:26" ht="15.75">
      <c r="A667" s="1" t="s">
        <v>1066</v>
      </c>
      <c r="B667" s="4" t="s">
        <v>1534</v>
      </c>
      <c r="C667" s="4" t="s">
        <v>792</v>
      </c>
      <c r="O667" s="1"/>
      <c r="S667" s="1"/>
      <c r="X667" t="s">
        <v>566</v>
      </c>
      <c r="Y667">
        <f t="shared" si="33"/>
        <v>1</v>
      </c>
      <c r="Z667">
        <f t="shared" si="34"/>
        <v>2</v>
      </c>
    </row>
    <row r="668" spans="1:26" ht="15.75">
      <c r="A668" s="1" t="s">
        <v>1067</v>
      </c>
      <c r="B668" s="4" t="s">
        <v>1535</v>
      </c>
      <c r="C668" s="4" t="s">
        <v>1758</v>
      </c>
      <c r="O668" s="1"/>
      <c r="S668" s="1"/>
      <c r="X668" t="s">
        <v>567</v>
      </c>
      <c r="Y668">
        <f t="shared" si="33"/>
        <v>2</v>
      </c>
      <c r="Z668">
        <f t="shared" si="34"/>
        <v>3</v>
      </c>
    </row>
    <row r="669" spans="1:26" ht="15.75">
      <c r="A669" s="1" t="s">
        <v>1068</v>
      </c>
      <c r="B669" s="4" t="s">
        <v>1536</v>
      </c>
      <c r="C669" s="4" t="s">
        <v>52</v>
      </c>
      <c r="O669" s="1"/>
      <c r="S669" s="1"/>
      <c r="X669" t="s">
        <v>568</v>
      </c>
      <c r="Y669">
        <f t="shared" si="33"/>
        <v>1</v>
      </c>
      <c r="Z669">
        <f t="shared" si="34"/>
        <v>2</v>
      </c>
    </row>
    <row r="670" spans="1:26" ht="15.75">
      <c r="A670" s="1" t="s">
        <v>1069</v>
      </c>
      <c r="B670" s="4" t="s">
        <v>1537</v>
      </c>
      <c r="C670" s="4" t="s">
        <v>1759</v>
      </c>
      <c r="O670" s="1"/>
      <c r="S670" s="1"/>
      <c r="X670" t="s">
        <v>570</v>
      </c>
      <c r="Y670">
        <f t="shared" si="33"/>
        <v>2</v>
      </c>
      <c r="Z670">
        <f t="shared" si="34"/>
        <v>3</v>
      </c>
    </row>
    <row r="671" spans="1:26" ht="15.75">
      <c r="A671" s="1" t="s">
        <v>1070</v>
      </c>
      <c r="B671" s="4" t="s">
        <v>1538</v>
      </c>
      <c r="C671" s="4" t="s">
        <v>389</v>
      </c>
      <c r="O671" s="1"/>
      <c r="S671" s="1"/>
      <c r="X671" t="s">
        <v>1933</v>
      </c>
      <c r="Y671">
        <f t="shared" si="33"/>
        <v>2</v>
      </c>
      <c r="Z671">
        <f t="shared" si="34"/>
        <v>3</v>
      </c>
    </row>
    <row r="672" spans="1:26" ht="15.75">
      <c r="A672" s="1" t="s">
        <v>1071</v>
      </c>
      <c r="B672" s="4" t="s">
        <v>861</v>
      </c>
      <c r="C672" s="4" t="s">
        <v>501</v>
      </c>
      <c r="O672" s="1"/>
      <c r="S672" s="1"/>
      <c r="X672" t="s">
        <v>574</v>
      </c>
      <c r="Y672">
        <f t="shared" si="33"/>
        <v>1</v>
      </c>
      <c r="Z672">
        <f t="shared" si="34"/>
        <v>2</v>
      </c>
    </row>
    <row r="673" spans="1:26" ht="15.75">
      <c r="A673" s="1" t="s">
        <v>1072</v>
      </c>
      <c r="B673" s="4" t="s">
        <v>850</v>
      </c>
      <c r="C673" s="4" t="s">
        <v>1621</v>
      </c>
      <c r="O673" s="1"/>
      <c r="S673" s="1"/>
      <c r="X673" t="s">
        <v>576</v>
      </c>
      <c r="Y673">
        <f t="shared" si="33"/>
        <v>1</v>
      </c>
      <c r="Z673">
        <f t="shared" si="34"/>
        <v>2</v>
      </c>
    </row>
    <row r="674" spans="1:26" ht="15.75">
      <c r="A674" s="1" t="s">
        <v>1073</v>
      </c>
      <c r="B674" s="4" t="s">
        <v>795</v>
      </c>
      <c r="C674" s="4" t="s">
        <v>1473</v>
      </c>
      <c r="O674" s="1"/>
      <c r="S674" s="1"/>
      <c r="X674" t="s">
        <v>577</v>
      </c>
      <c r="Y674">
        <f t="shared" si="33"/>
        <v>2</v>
      </c>
      <c r="Z674">
        <f t="shared" si="34"/>
        <v>3</v>
      </c>
    </row>
    <row r="675" spans="1:26" ht="15.75">
      <c r="A675" s="1" t="s">
        <v>11</v>
      </c>
      <c r="B675" s="4" t="s">
        <v>1539</v>
      </c>
      <c r="C675" s="4" t="s">
        <v>844</v>
      </c>
      <c r="O675" s="1"/>
      <c r="S675" s="1"/>
      <c r="X675" t="s">
        <v>578</v>
      </c>
      <c r="Y675">
        <f t="shared" si="33"/>
        <v>2</v>
      </c>
      <c r="Z675">
        <f t="shared" si="34"/>
        <v>4</v>
      </c>
    </row>
    <row r="676" spans="1:26" ht="15.75">
      <c r="A676" s="1" t="s">
        <v>461</v>
      </c>
      <c r="B676" s="4" t="s">
        <v>979</v>
      </c>
      <c r="C676" s="4" t="s">
        <v>1760</v>
      </c>
      <c r="O676" s="1"/>
      <c r="S676" s="1"/>
      <c r="X676" t="s">
        <v>579</v>
      </c>
      <c r="Y676">
        <f t="shared" si="33"/>
        <v>1</v>
      </c>
      <c r="Z676">
        <f t="shared" si="34"/>
        <v>2</v>
      </c>
    </row>
    <row r="677" spans="1:26" ht="15.75">
      <c r="A677" s="1" t="s">
        <v>1074</v>
      </c>
      <c r="B677" s="4" t="s">
        <v>1348</v>
      </c>
      <c r="C677" s="4" t="s">
        <v>1244</v>
      </c>
      <c r="O677" s="1"/>
      <c r="S677" s="1"/>
      <c r="X677" t="s">
        <v>837</v>
      </c>
      <c r="Y677">
        <f t="shared" si="33"/>
        <v>2</v>
      </c>
      <c r="Z677">
        <f t="shared" si="34"/>
        <v>4</v>
      </c>
    </row>
    <row r="678" spans="1:26" ht="15.75">
      <c r="A678" s="1" t="s">
        <v>1075</v>
      </c>
      <c r="B678" s="4" t="s">
        <v>686</v>
      </c>
      <c r="C678" s="4" t="s">
        <v>1614</v>
      </c>
      <c r="S678" s="1"/>
      <c r="X678" t="s">
        <v>709</v>
      </c>
      <c r="Y678">
        <f t="shared" si="33"/>
        <v>0</v>
      </c>
      <c r="Z678">
        <f t="shared" si="34"/>
        <v>4</v>
      </c>
    </row>
    <row r="679" spans="1:26" ht="15.75">
      <c r="A679" s="1" t="s">
        <v>1076</v>
      </c>
      <c r="B679" s="4" t="s">
        <v>1213</v>
      </c>
      <c r="C679" s="4" t="s">
        <v>1046</v>
      </c>
      <c r="S679" s="1"/>
      <c r="X679" t="s">
        <v>584</v>
      </c>
      <c r="Y679">
        <f t="shared" si="33"/>
        <v>2</v>
      </c>
      <c r="Z679">
        <f t="shared" si="34"/>
        <v>4</v>
      </c>
    </row>
    <row r="680" spans="1:26" ht="15.75">
      <c r="A680" s="1" t="s">
        <v>1077</v>
      </c>
      <c r="B680" s="4" t="s">
        <v>889</v>
      </c>
      <c r="C680" s="4" t="s">
        <v>1265</v>
      </c>
      <c r="S680" s="1"/>
      <c r="X680" t="s">
        <v>809</v>
      </c>
      <c r="Y680">
        <f t="shared" si="33"/>
        <v>1</v>
      </c>
      <c r="Z680">
        <f t="shared" si="34"/>
        <v>3</v>
      </c>
    </row>
    <row r="681" spans="1:26" ht="15.75">
      <c r="A681" s="1" t="s">
        <v>1078</v>
      </c>
      <c r="B681" s="4" t="s">
        <v>1257</v>
      </c>
      <c r="C681" s="4" t="s">
        <v>543</v>
      </c>
      <c r="S681" s="1"/>
      <c r="X681" t="s">
        <v>585</v>
      </c>
      <c r="Y681">
        <f t="shared" si="33"/>
        <v>1</v>
      </c>
      <c r="Z681">
        <f t="shared" si="34"/>
        <v>3</v>
      </c>
    </row>
    <row r="682" spans="1:26" ht="15.75">
      <c r="A682" s="1" t="s">
        <v>1079</v>
      </c>
      <c r="B682" s="4" t="s">
        <v>1020</v>
      </c>
      <c r="C682" s="4" t="s">
        <v>1761</v>
      </c>
      <c r="S682" s="1"/>
      <c r="X682" t="s">
        <v>740</v>
      </c>
      <c r="Y682">
        <f t="shared" si="33"/>
        <v>1</v>
      </c>
      <c r="Z682">
        <f t="shared" si="34"/>
        <v>5</v>
      </c>
    </row>
    <row r="683" spans="1:26" ht="15.75">
      <c r="A683" s="1" t="s">
        <v>1080</v>
      </c>
      <c r="B683" s="4" t="s">
        <v>436</v>
      </c>
      <c r="C683" s="4" t="s">
        <v>989</v>
      </c>
      <c r="S683" s="1"/>
      <c r="X683" t="s">
        <v>586</v>
      </c>
      <c r="Y683">
        <f t="shared" si="33"/>
        <v>3</v>
      </c>
      <c r="Z683">
        <f t="shared" si="34"/>
        <v>5</v>
      </c>
    </row>
    <row r="684" spans="1:26" ht="15.75">
      <c r="A684" s="1" t="s">
        <v>1081</v>
      </c>
      <c r="B684" s="4" t="s">
        <v>1540</v>
      </c>
      <c r="C684" s="4" t="s">
        <v>1762</v>
      </c>
      <c r="S684" s="1"/>
      <c r="X684" t="s">
        <v>587</v>
      </c>
      <c r="Y684">
        <f t="shared" si="33"/>
        <v>0</v>
      </c>
      <c r="Z684">
        <f t="shared" si="34"/>
        <v>3</v>
      </c>
    </row>
    <row r="685" spans="1:26" ht="15.75">
      <c r="A685" s="1" t="s">
        <v>104</v>
      </c>
      <c r="B685" s="4" t="s">
        <v>1106</v>
      </c>
      <c r="C685" s="4" t="s">
        <v>722</v>
      </c>
      <c r="S685" s="1"/>
      <c r="X685" t="s">
        <v>588</v>
      </c>
      <c r="Y685">
        <f t="shared" si="33"/>
        <v>1</v>
      </c>
      <c r="Z685">
        <f t="shared" si="34"/>
        <v>2</v>
      </c>
    </row>
    <row r="686" spans="1:26" ht="15.75">
      <c r="A686" s="1" t="s">
        <v>1082</v>
      </c>
      <c r="B686" s="4" t="s">
        <v>1541</v>
      </c>
      <c r="C686" s="4" t="s">
        <v>954</v>
      </c>
      <c r="S686" s="1"/>
      <c r="X686" t="s">
        <v>855</v>
      </c>
      <c r="Y686">
        <f t="shared" si="33"/>
        <v>1</v>
      </c>
      <c r="Z686">
        <f t="shared" si="34"/>
        <v>4</v>
      </c>
    </row>
    <row r="687" spans="1:26" ht="15.75">
      <c r="A687" s="1" t="s">
        <v>1083</v>
      </c>
      <c r="B687" s="4" t="s">
        <v>1542</v>
      </c>
      <c r="C687" s="4" t="s">
        <v>366</v>
      </c>
      <c r="S687" s="1"/>
      <c r="X687" t="s">
        <v>590</v>
      </c>
      <c r="Y687">
        <f t="shared" si="33"/>
        <v>1</v>
      </c>
      <c r="Z687">
        <f t="shared" si="34"/>
        <v>4</v>
      </c>
    </row>
    <row r="688" spans="1:26" ht="15.75">
      <c r="A688" s="1" t="s">
        <v>1084</v>
      </c>
      <c r="B688" s="4" t="s">
        <v>946</v>
      </c>
      <c r="C688" s="4" t="s">
        <v>1763</v>
      </c>
      <c r="S688" s="1"/>
      <c r="X688" t="s">
        <v>653</v>
      </c>
      <c r="Y688">
        <f t="shared" si="33"/>
        <v>3</v>
      </c>
      <c r="Z688">
        <f t="shared" si="34"/>
        <v>4</v>
      </c>
    </row>
    <row r="689" spans="1:26" ht="15.75">
      <c r="A689" s="1" t="s">
        <v>1085</v>
      </c>
      <c r="B689" s="4" t="s">
        <v>1869</v>
      </c>
      <c r="C689" s="4" t="s">
        <v>912</v>
      </c>
      <c r="S689" s="1"/>
      <c r="X689" t="s">
        <v>591</v>
      </c>
      <c r="Y689">
        <f t="shared" si="33"/>
        <v>2</v>
      </c>
      <c r="Z689">
        <f t="shared" si="34"/>
        <v>4</v>
      </c>
    </row>
    <row r="690" spans="1:26" ht="15.75">
      <c r="A690" s="1" t="s">
        <v>1086</v>
      </c>
      <c r="B690" s="4" t="s">
        <v>1543</v>
      </c>
      <c r="C690" s="4" t="s">
        <v>949</v>
      </c>
      <c r="S690" s="1"/>
      <c r="X690" t="s">
        <v>792</v>
      </c>
      <c r="Y690">
        <f t="shared" si="33"/>
        <v>3</v>
      </c>
      <c r="Z690">
        <f t="shared" si="34"/>
        <v>4</v>
      </c>
    </row>
    <row r="691" spans="1:26" ht="15.75">
      <c r="A691" s="1" t="s">
        <v>1087</v>
      </c>
      <c r="B691" s="4" t="s">
        <v>1544</v>
      </c>
      <c r="C691" s="4" t="s">
        <v>1764</v>
      </c>
      <c r="S691" s="1"/>
      <c r="X691" t="s">
        <v>592</v>
      </c>
      <c r="Y691">
        <f t="shared" si="33"/>
        <v>0</v>
      </c>
      <c r="Z691">
        <f t="shared" si="34"/>
        <v>2</v>
      </c>
    </row>
    <row r="692" spans="1:26" ht="15.75">
      <c r="A692" s="1" t="s">
        <v>1088</v>
      </c>
      <c r="B692" s="4" t="s">
        <v>816</v>
      </c>
      <c r="C692" s="4" t="s">
        <v>1527</v>
      </c>
      <c r="S692" s="1"/>
      <c r="X692" t="s">
        <v>593</v>
      </c>
      <c r="Y692">
        <f t="shared" si="33"/>
        <v>1</v>
      </c>
      <c r="Z692">
        <f t="shared" si="34"/>
        <v>4</v>
      </c>
    </row>
    <row r="693" spans="1:26" ht="15.75">
      <c r="A693" s="1" t="s">
        <v>1089</v>
      </c>
      <c r="B693" s="4" t="s">
        <v>904</v>
      </c>
      <c r="C693" s="4" t="s">
        <v>921</v>
      </c>
      <c r="S693" s="1"/>
      <c r="X693" t="s">
        <v>594</v>
      </c>
      <c r="Y693">
        <f t="shared" si="33"/>
        <v>2</v>
      </c>
      <c r="Z693">
        <f t="shared" si="34"/>
        <v>4</v>
      </c>
    </row>
    <row r="694" spans="1:26" ht="15.75">
      <c r="A694" s="1" t="s">
        <v>1090</v>
      </c>
      <c r="B694" s="4" t="s">
        <v>1545</v>
      </c>
      <c r="C694" s="4" t="s">
        <v>838</v>
      </c>
      <c r="S694" s="1"/>
      <c r="X694" t="s">
        <v>595</v>
      </c>
      <c r="Y694">
        <f t="shared" si="33"/>
        <v>2</v>
      </c>
      <c r="Z694">
        <f t="shared" si="34"/>
        <v>5</v>
      </c>
    </row>
    <row r="695" spans="1:26" ht="15.75">
      <c r="A695" s="1" t="s">
        <v>1091</v>
      </c>
      <c r="B695" s="4" t="s">
        <v>1150</v>
      </c>
      <c r="C695" s="4" t="s">
        <v>1122</v>
      </c>
      <c r="S695" s="1"/>
      <c r="X695" t="s">
        <v>1014</v>
      </c>
      <c r="Y695">
        <f t="shared" si="33"/>
        <v>3</v>
      </c>
      <c r="Z695">
        <f t="shared" si="34"/>
        <v>7</v>
      </c>
    </row>
    <row r="696" spans="1:26" ht="15.75">
      <c r="A696" s="1" t="s">
        <v>1092</v>
      </c>
      <c r="B696" s="4" t="s">
        <v>1546</v>
      </c>
      <c r="C696" s="4" t="s">
        <v>1381</v>
      </c>
      <c r="S696" s="1"/>
      <c r="X696" t="s">
        <v>597</v>
      </c>
      <c r="Y696">
        <f t="shared" si="33"/>
        <v>1</v>
      </c>
      <c r="Z696">
        <f t="shared" si="34"/>
        <v>5</v>
      </c>
    </row>
    <row r="697" spans="1:26" ht="15.75">
      <c r="A697" s="1" t="s">
        <v>1093</v>
      </c>
      <c r="B697" s="4" t="s">
        <v>1547</v>
      </c>
      <c r="C697" s="4" t="s">
        <v>1765</v>
      </c>
      <c r="S697" s="1"/>
      <c r="X697" t="s">
        <v>598</v>
      </c>
      <c r="Y697">
        <f t="shared" si="33"/>
        <v>2</v>
      </c>
      <c r="Z697">
        <f t="shared" si="34"/>
        <v>5</v>
      </c>
    </row>
    <row r="698" spans="1:26" ht="15.75">
      <c r="A698" s="1" t="s">
        <v>1094</v>
      </c>
      <c r="B698" s="4" t="s">
        <v>44</v>
      </c>
      <c r="C698" s="4" t="s">
        <v>1015</v>
      </c>
      <c r="S698" s="1"/>
      <c r="X698" t="s">
        <v>599</v>
      </c>
      <c r="Y698">
        <f t="shared" si="33"/>
        <v>3</v>
      </c>
      <c r="Z698">
        <f t="shared" si="34"/>
        <v>5</v>
      </c>
    </row>
    <row r="699" spans="1:26" ht="15.75">
      <c r="A699" s="1" t="s">
        <v>1095</v>
      </c>
      <c r="B699" s="4" t="s">
        <v>880</v>
      </c>
      <c r="C699" s="4" t="s">
        <v>1365</v>
      </c>
      <c r="S699" s="1"/>
      <c r="X699" t="s">
        <v>600</v>
      </c>
      <c r="Y699">
        <f t="shared" si="33"/>
        <v>1</v>
      </c>
      <c r="Z699">
        <f t="shared" si="34"/>
        <v>3</v>
      </c>
    </row>
    <row r="700" spans="1:26" ht="15.75">
      <c r="A700" s="1" t="s">
        <v>1096</v>
      </c>
      <c r="B700" s="4" t="s">
        <v>1548</v>
      </c>
      <c r="C700" s="4" t="s">
        <v>741</v>
      </c>
      <c r="S700" s="1"/>
      <c r="X700" t="s">
        <v>780</v>
      </c>
      <c r="Y700">
        <f t="shared" si="33"/>
        <v>2</v>
      </c>
      <c r="Z700">
        <f t="shared" si="34"/>
        <v>5</v>
      </c>
    </row>
    <row r="701" spans="1:26" ht="15.75">
      <c r="A701" s="1" t="s">
        <v>1097</v>
      </c>
      <c r="B701" s="4" t="s">
        <v>1549</v>
      </c>
      <c r="C701" s="4" t="s">
        <v>332</v>
      </c>
      <c r="S701" s="1"/>
      <c r="X701" t="s">
        <v>601</v>
      </c>
      <c r="Y701">
        <f t="shared" si="33"/>
        <v>0</v>
      </c>
      <c r="Z701">
        <f t="shared" si="34"/>
        <v>3</v>
      </c>
    </row>
    <row r="702" spans="1:26" ht="15.75">
      <c r="A702" s="1" t="s">
        <v>1098</v>
      </c>
      <c r="B702" s="4" t="s">
        <v>1550</v>
      </c>
      <c r="C702" s="4" t="s">
        <v>1650</v>
      </c>
      <c r="S702" s="1"/>
      <c r="X702" t="s">
        <v>602</v>
      </c>
      <c r="Y702">
        <f t="shared" si="33"/>
        <v>1</v>
      </c>
      <c r="Z702">
        <f t="shared" si="34"/>
        <v>2</v>
      </c>
    </row>
    <row r="703" spans="1:26" ht="15.75">
      <c r="A703" s="1" t="s">
        <v>348</v>
      </c>
      <c r="B703" s="4" t="s">
        <v>1551</v>
      </c>
      <c r="C703" s="4" t="s">
        <v>498</v>
      </c>
      <c r="S703" s="1"/>
      <c r="X703" t="s">
        <v>603</v>
      </c>
      <c r="Y703">
        <f t="shared" si="33"/>
        <v>1</v>
      </c>
      <c r="Z703">
        <f t="shared" si="34"/>
        <v>4</v>
      </c>
    </row>
    <row r="704" spans="1:26" ht="15.75">
      <c r="A704" s="1" t="s">
        <v>1099</v>
      </c>
      <c r="B704" s="4" t="s">
        <v>1135</v>
      </c>
      <c r="C704" s="4" t="s">
        <v>1766</v>
      </c>
      <c r="S704" s="1"/>
      <c r="X704" t="s">
        <v>604</v>
      </c>
      <c r="Y704">
        <f t="shared" si="33"/>
        <v>2</v>
      </c>
      <c r="Z704">
        <f t="shared" si="34"/>
        <v>3</v>
      </c>
    </row>
    <row r="705" spans="1:26" ht="15.75">
      <c r="A705" s="1" t="s">
        <v>1100</v>
      </c>
      <c r="B705" s="4" t="s">
        <v>1552</v>
      </c>
      <c r="C705" s="4" t="s">
        <v>626</v>
      </c>
      <c r="S705" s="1"/>
      <c r="X705" t="s">
        <v>605</v>
      </c>
      <c r="Y705">
        <f t="shared" ref="Y705:Y768" si="35">IF(ISNUMBER(FIND("e",X705)),1,0)+IF(ISNUMBER(FIND("n",X705)),1,0)+IF(ISNUMBER(FIND("t",X705)),1,0)+IF(ISNUMBER(FIND("o",X705)),1,0)+IF(ISNUMBER(FIND("r",X705)),1,0)+IF(ISNUMBER(FIND("s",X705)),1,0)+IF(ISNUMBER(FIND("d",X705)),1,0)+IF(ISNUMBER(FIND("i",X705)),1,0)</f>
        <v>2</v>
      </c>
      <c r="Z705">
        <f t="shared" ref="Z705:Z719" si="36">LEN(X705)</f>
        <v>4</v>
      </c>
    </row>
    <row r="706" spans="1:26" ht="15.75">
      <c r="A706" s="1" t="s">
        <v>1101</v>
      </c>
      <c r="B706" s="4" t="s">
        <v>1553</v>
      </c>
      <c r="C706" s="4" t="s">
        <v>836</v>
      </c>
      <c r="S706" s="1"/>
      <c r="X706" t="s">
        <v>608</v>
      </c>
      <c r="Y706">
        <f t="shared" si="35"/>
        <v>1</v>
      </c>
      <c r="Z706">
        <f t="shared" si="36"/>
        <v>2</v>
      </c>
    </row>
    <row r="707" spans="1:26" ht="15.75">
      <c r="A707" s="1" t="s">
        <v>1102</v>
      </c>
      <c r="B707" s="4" t="s">
        <v>573</v>
      </c>
      <c r="C707" s="4" t="s">
        <v>828</v>
      </c>
      <c r="S707" s="1"/>
      <c r="X707" t="s">
        <v>1919</v>
      </c>
      <c r="Y707">
        <f t="shared" si="35"/>
        <v>2</v>
      </c>
      <c r="Z707">
        <f t="shared" si="36"/>
        <v>3</v>
      </c>
    </row>
    <row r="708" spans="1:26" ht="15.75">
      <c r="A708" s="1" t="s">
        <v>1103</v>
      </c>
      <c r="B708" s="4" t="s">
        <v>1554</v>
      </c>
      <c r="C708" s="4" t="s">
        <v>43</v>
      </c>
      <c r="S708" s="1"/>
      <c r="X708" t="s">
        <v>621</v>
      </c>
      <c r="Y708">
        <f t="shared" si="35"/>
        <v>3</v>
      </c>
      <c r="Z708">
        <f t="shared" si="36"/>
        <v>4</v>
      </c>
    </row>
    <row r="709" spans="1:26" ht="15.75">
      <c r="A709" s="1" t="s">
        <v>1104</v>
      </c>
      <c r="B709" s="4" t="s">
        <v>1555</v>
      </c>
      <c r="C709" s="4" t="s">
        <v>662</v>
      </c>
      <c r="S709" s="1"/>
      <c r="X709" t="s">
        <v>610</v>
      </c>
      <c r="Y709">
        <f t="shared" si="35"/>
        <v>2</v>
      </c>
      <c r="Z709">
        <f t="shared" si="36"/>
        <v>4</v>
      </c>
    </row>
    <row r="710" spans="1:26" ht="15.75">
      <c r="A710" s="1" t="s">
        <v>1105</v>
      </c>
      <c r="B710" s="4" t="s">
        <v>1870</v>
      </c>
      <c r="C710" s="4" t="s">
        <v>1630</v>
      </c>
      <c r="S710" s="1"/>
      <c r="X710" t="s">
        <v>612</v>
      </c>
      <c r="Y710">
        <f t="shared" si="35"/>
        <v>2</v>
      </c>
      <c r="Z710">
        <f t="shared" si="36"/>
        <v>5</v>
      </c>
    </row>
    <row r="711" spans="1:26" ht="15.75">
      <c r="A711" s="1" t="s">
        <v>1106</v>
      </c>
      <c r="B711" s="4" t="s">
        <v>699</v>
      </c>
      <c r="C711" s="4" t="s">
        <v>384</v>
      </c>
      <c r="S711" s="1"/>
      <c r="X711" t="s">
        <v>622</v>
      </c>
      <c r="Y711">
        <f t="shared" si="35"/>
        <v>4</v>
      </c>
      <c r="Z711">
        <f t="shared" si="36"/>
        <v>5</v>
      </c>
    </row>
    <row r="712" spans="1:26" ht="15.75">
      <c r="A712" s="1" t="s">
        <v>1107</v>
      </c>
      <c r="B712" s="4" t="s">
        <v>1556</v>
      </c>
      <c r="C712" s="4" t="s">
        <v>1223</v>
      </c>
      <c r="S712" s="1"/>
      <c r="X712" t="s">
        <v>613</v>
      </c>
      <c r="Y712">
        <f t="shared" si="35"/>
        <v>2</v>
      </c>
      <c r="Z712">
        <f t="shared" si="36"/>
        <v>4</v>
      </c>
    </row>
    <row r="713" spans="1:26" ht="15.75">
      <c r="A713" s="1" t="s">
        <v>1108</v>
      </c>
      <c r="B713" s="4" t="s">
        <v>929</v>
      </c>
      <c r="C713" s="4" t="s">
        <v>1344</v>
      </c>
      <c r="S713" s="1"/>
      <c r="X713" t="s">
        <v>910</v>
      </c>
      <c r="Y713">
        <f t="shared" si="35"/>
        <v>2</v>
      </c>
      <c r="Z713">
        <f t="shared" si="36"/>
        <v>3</v>
      </c>
    </row>
    <row r="714" spans="1:26" ht="15.75">
      <c r="A714" s="1" t="s">
        <v>1109</v>
      </c>
      <c r="B714" s="4" t="s">
        <v>747</v>
      </c>
      <c r="C714" s="4" t="s">
        <v>516</v>
      </c>
      <c r="S714" s="1"/>
      <c r="X714" t="s">
        <v>919</v>
      </c>
      <c r="Y714">
        <f t="shared" si="35"/>
        <v>2</v>
      </c>
      <c r="Z714">
        <f t="shared" si="36"/>
        <v>3</v>
      </c>
    </row>
    <row r="715" spans="1:26" ht="15.75">
      <c r="A715" s="1" t="s">
        <v>1110</v>
      </c>
      <c r="B715" s="4" t="s">
        <v>1557</v>
      </c>
      <c r="C715" s="4" t="s">
        <v>892</v>
      </c>
      <c r="S715" s="1"/>
      <c r="X715" t="s">
        <v>615</v>
      </c>
      <c r="Y715">
        <f t="shared" si="35"/>
        <v>1</v>
      </c>
      <c r="Z715">
        <f t="shared" si="36"/>
        <v>2</v>
      </c>
    </row>
    <row r="716" spans="1:26" ht="15.75">
      <c r="A716" s="1" t="s">
        <v>1111</v>
      </c>
      <c r="B716" s="4" t="s">
        <v>1321</v>
      </c>
      <c r="C716" s="4" t="s">
        <v>1082</v>
      </c>
      <c r="S716" s="1"/>
      <c r="X716" t="s">
        <v>616</v>
      </c>
      <c r="Y716">
        <f t="shared" si="35"/>
        <v>1</v>
      </c>
      <c r="Z716">
        <f t="shared" si="36"/>
        <v>3</v>
      </c>
    </row>
    <row r="717" spans="1:26" ht="15.75">
      <c r="A717" s="1" t="s">
        <v>1112</v>
      </c>
      <c r="B717" s="4" t="s">
        <v>1558</v>
      </c>
      <c r="C717" s="4" t="s">
        <v>372</v>
      </c>
      <c r="S717" s="1"/>
      <c r="X717" t="s">
        <v>748</v>
      </c>
      <c r="Y717">
        <f t="shared" si="35"/>
        <v>2</v>
      </c>
      <c r="Z717">
        <f t="shared" si="36"/>
        <v>5</v>
      </c>
    </row>
    <row r="718" spans="1:26" ht="15.75">
      <c r="A718" s="1" t="s">
        <v>1113</v>
      </c>
      <c r="B718" s="4" t="s">
        <v>709</v>
      </c>
      <c r="C718" s="4" t="s">
        <v>1050</v>
      </c>
      <c r="S718" s="1"/>
      <c r="X718" t="s">
        <v>617</v>
      </c>
      <c r="Y718">
        <f t="shared" si="35"/>
        <v>2</v>
      </c>
      <c r="Z718">
        <f t="shared" si="36"/>
        <v>4</v>
      </c>
    </row>
    <row r="719" spans="1:26" ht="15.75">
      <c r="A719" s="1" t="s">
        <v>1114</v>
      </c>
      <c r="B719" s="4" t="s">
        <v>707</v>
      </c>
      <c r="C719" s="4" t="s">
        <v>963</v>
      </c>
      <c r="S719" s="1"/>
      <c r="X719" t="s">
        <v>618</v>
      </c>
      <c r="Y719">
        <f t="shared" si="35"/>
        <v>1</v>
      </c>
      <c r="Z719">
        <f t="shared" si="36"/>
        <v>2</v>
      </c>
    </row>
    <row r="720" spans="1:26" ht="15.75">
      <c r="A720" s="1" t="s">
        <v>1115</v>
      </c>
      <c r="B720" s="4" t="s">
        <v>1559</v>
      </c>
      <c r="C720" s="4" t="s">
        <v>1555</v>
      </c>
      <c r="S720" s="1"/>
    </row>
    <row r="721" spans="1:19" ht="15.75">
      <c r="A721" s="1" t="s">
        <v>1116</v>
      </c>
      <c r="B721" s="4" t="s">
        <v>1560</v>
      </c>
      <c r="C721" s="4" t="s">
        <v>1767</v>
      </c>
      <c r="S721" s="1"/>
    </row>
    <row r="722" spans="1:19" ht="15.75">
      <c r="A722" s="1" t="s">
        <v>1117</v>
      </c>
      <c r="B722" s="4" t="s">
        <v>1561</v>
      </c>
      <c r="C722" s="4" t="s">
        <v>1768</v>
      </c>
      <c r="S722" s="1"/>
    </row>
    <row r="723" spans="1:19" ht="15.75">
      <c r="A723" s="1" t="s">
        <v>1118</v>
      </c>
      <c r="B723" s="4" t="s">
        <v>1562</v>
      </c>
      <c r="C723" s="4" t="s">
        <v>1304</v>
      </c>
      <c r="S723" s="1"/>
    </row>
    <row r="724" spans="1:19" ht="15.75">
      <c r="A724" s="1" t="s">
        <v>1119</v>
      </c>
      <c r="B724" s="4" t="s">
        <v>1563</v>
      </c>
      <c r="C724" s="4" t="s">
        <v>620</v>
      </c>
      <c r="S724" s="1"/>
    </row>
    <row r="725" spans="1:19" ht="15.75">
      <c r="A725" s="1" t="s">
        <v>1120</v>
      </c>
      <c r="B725" s="4" t="s">
        <v>1564</v>
      </c>
      <c r="C725" s="4" t="s">
        <v>915</v>
      </c>
      <c r="S725" s="1"/>
    </row>
    <row r="726" spans="1:19" ht="15.75">
      <c r="A726" s="1" t="s">
        <v>1121</v>
      </c>
      <c r="B726" s="4" t="s">
        <v>1565</v>
      </c>
      <c r="C726" s="4" t="s">
        <v>121</v>
      </c>
      <c r="S726" s="1"/>
    </row>
    <row r="727" spans="1:19" ht="15.75">
      <c r="A727" s="1" t="s">
        <v>1122</v>
      </c>
      <c r="B727" s="4" t="s">
        <v>1566</v>
      </c>
      <c r="C727" s="4" t="s">
        <v>1445</v>
      </c>
      <c r="S727" s="1"/>
    </row>
    <row r="728" spans="1:19" ht="15.75">
      <c r="A728" s="1" t="s">
        <v>1123</v>
      </c>
      <c r="B728" s="4" t="s">
        <v>1567</v>
      </c>
      <c r="C728" s="4" t="s">
        <v>1769</v>
      </c>
      <c r="S728" s="1"/>
    </row>
    <row r="729" spans="1:19" ht="15.75">
      <c r="A729" s="1" t="s">
        <v>1124</v>
      </c>
      <c r="B729" s="4" t="s">
        <v>1568</v>
      </c>
      <c r="C729" s="4" t="s">
        <v>1230</v>
      </c>
      <c r="S729" s="1"/>
    </row>
    <row r="730" spans="1:19" ht="15.75">
      <c r="A730" s="1" t="s">
        <v>1125</v>
      </c>
      <c r="B730" s="4" t="s">
        <v>1569</v>
      </c>
      <c r="C730" s="4" t="s">
        <v>1118</v>
      </c>
      <c r="S730" s="1"/>
    </row>
    <row r="731" spans="1:19" ht="15.75">
      <c r="A731" s="1" t="s">
        <v>1126</v>
      </c>
      <c r="B731" s="4" t="s">
        <v>1570</v>
      </c>
      <c r="C731" s="4" t="s">
        <v>659</v>
      </c>
      <c r="S731" s="1"/>
    </row>
    <row r="732" spans="1:19" ht="15.75">
      <c r="A732" s="1" t="s">
        <v>1127</v>
      </c>
      <c r="B732" s="4" t="s">
        <v>1571</v>
      </c>
      <c r="C732" s="4" t="s">
        <v>1770</v>
      </c>
      <c r="S732" s="1"/>
    </row>
    <row r="733" spans="1:19" ht="15.75">
      <c r="A733" s="1" t="s">
        <v>1128</v>
      </c>
      <c r="B733" s="4" t="s">
        <v>1042</v>
      </c>
      <c r="C733" s="4" t="s">
        <v>1771</v>
      </c>
      <c r="S733" s="1"/>
    </row>
    <row r="734" spans="1:19" ht="15.75">
      <c r="A734" s="1" t="s">
        <v>1129</v>
      </c>
      <c r="B734" s="4" t="s">
        <v>1572</v>
      </c>
      <c r="C734" s="4" t="s">
        <v>1772</v>
      </c>
      <c r="S734" s="1"/>
    </row>
    <row r="735" spans="1:19" ht="15.75">
      <c r="A735" s="1" t="s">
        <v>1130</v>
      </c>
      <c r="B735" s="4" t="s">
        <v>910</v>
      </c>
      <c r="C735" s="4" t="s">
        <v>1773</v>
      </c>
      <c r="S735" s="1"/>
    </row>
    <row r="736" spans="1:19" ht="15.75">
      <c r="A736" s="1" t="s">
        <v>1131</v>
      </c>
      <c r="B736" s="4" t="s">
        <v>1573</v>
      </c>
      <c r="C736" s="4" t="s">
        <v>913</v>
      </c>
      <c r="S736" s="1"/>
    </row>
    <row r="737" spans="1:19" ht="15.75">
      <c r="A737" s="1" t="s">
        <v>1132</v>
      </c>
      <c r="B737" s="4" t="s">
        <v>182</v>
      </c>
      <c r="C737" s="4" t="s">
        <v>456</v>
      </c>
      <c r="S737" s="1"/>
    </row>
    <row r="738" spans="1:19" ht="15.75">
      <c r="A738" s="1" t="s">
        <v>1133</v>
      </c>
      <c r="B738" s="4" t="s">
        <v>1574</v>
      </c>
      <c r="C738" s="4" t="s">
        <v>1016</v>
      </c>
      <c r="S738" s="1"/>
    </row>
    <row r="739" spans="1:19" ht="15.75">
      <c r="A739" s="1" t="s">
        <v>1134</v>
      </c>
      <c r="B739" s="4" t="s">
        <v>725</v>
      </c>
      <c r="C739" s="4" t="s">
        <v>1774</v>
      </c>
      <c r="S739" s="1"/>
    </row>
    <row r="740" spans="1:19" ht="15.75">
      <c r="A740" s="1" t="s">
        <v>1135</v>
      </c>
      <c r="B740" s="4" t="s">
        <v>1575</v>
      </c>
      <c r="C740" s="4" t="s">
        <v>1384</v>
      </c>
      <c r="S740" s="1"/>
    </row>
    <row r="741" spans="1:19" ht="15.75">
      <c r="A741" s="1" t="s">
        <v>1136</v>
      </c>
      <c r="B741" s="4" t="s">
        <v>737</v>
      </c>
      <c r="C741" s="4" t="s">
        <v>1682</v>
      </c>
      <c r="S741" s="1"/>
    </row>
    <row r="742" spans="1:19" ht="15.75">
      <c r="A742" s="1" t="s">
        <v>1137</v>
      </c>
      <c r="B742" s="4" t="s">
        <v>1576</v>
      </c>
      <c r="C742" s="4" t="s">
        <v>1540</v>
      </c>
      <c r="S742" s="1"/>
    </row>
    <row r="743" spans="1:19" ht="15.75">
      <c r="A743" s="1" t="s">
        <v>1138</v>
      </c>
      <c r="B743" s="4" t="s">
        <v>480</v>
      </c>
      <c r="C743" s="4" t="s">
        <v>1775</v>
      </c>
      <c r="S743" s="1"/>
    </row>
    <row r="744" spans="1:19" ht="15.75">
      <c r="A744" s="1" t="s">
        <v>1139</v>
      </c>
      <c r="B744" s="4" t="s">
        <v>1577</v>
      </c>
      <c r="C744" s="4" t="s">
        <v>1776</v>
      </c>
      <c r="S744" s="1"/>
    </row>
    <row r="745" spans="1:19" ht="15.75">
      <c r="A745" s="1" t="s">
        <v>1140</v>
      </c>
      <c r="B745" s="4" t="s">
        <v>663</v>
      </c>
      <c r="C745" s="4" t="s">
        <v>1777</v>
      </c>
      <c r="S745" s="1"/>
    </row>
    <row r="746" spans="1:19" ht="15.75">
      <c r="A746" s="1" t="s">
        <v>1141</v>
      </c>
      <c r="B746" s="4" t="s">
        <v>1578</v>
      </c>
      <c r="C746" s="4" t="s">
        <v>1007</v>
      </c>
      <c r="S746" s="1"/>
    </row>
    <row r="747" spans="1:19" ht="15.75">
      <c r="A747" s="1" t="s">
        <v>1142</v>
      </c>
      <c r="B747" s="4" t="s">
        <v>1579</v>
      </c>
      <c r="C747" s="4" t="s">
        <v>1181</v>
      </c>
      <c r="S747" s="1"/>
    </row>
    <row r="748" spans="1:19" ht="15.75">
      <c r="A748" s="1" t="s">
        <v>456</v>
      </c>
      <c r="B748" s="4" t="s">
        <v>1156</v>
      </c>
      <c r="C748" s="4" t="s">
        <v>1637</v>
      </c>
      <c r="S748" s="1"/>
    </row>
    <row r="749" spans="1:19" ht="15.75">
      <c r="A749" s="1" t="s">
        <v>89</v>
      </c>
      <c r="B749" s="4" t="s">
        <v>887</v>
      </c>
      <c r="C749" s="4" t="s">
        <v>1507</v>
      </c>
      <c r="S749" s="1"/>
    </row>
    <row r="750" spans="1:19" ht="15.75">
      <c r="A750" s="1" t="s">
        <v>1143</v>
      </c>
      <c r="B750" s="4" t="s">
        <v>1871</v>
      </c>
      <c r="C750" s="4" t="s">
        <v>999</v>
      </c>
      <c r="S750" s="1"/>
    </row>
    <row r="751" spans="1:19" ht="15.75">
      <c r="A751" s="1" t="s">
        <v>1144</v>
      </c>
      <c r="B751" s="4" t="s">
        <v>1580</v>
      </c>
      <c r="C751" s="4" t="s">
        <v>1778</v>
      </c>
      <c r="S751" s="1"/>
    </row>
    <row r="752" spans="1:19" ht="15.75">
      <c r="A752" s="1" t="s">
        <v>1145</v>
      </c>
      <c r="B752" s="4" t="s">
        <v>1581</v>
      </c>
      <c r="C752" s="4" t="s">
        <v>1151</v>
      </c>
      <c r="S752" s="1"/>
    </row>
    <row r="753" spans="1:19" ht="15.75">
      <c r="A753" s="1" t="s">
        <v>1146</v>
      </c>
      <c r="B753" s="4" t="s">
        <v>1582</v>
      </c>
      <c r="C753" s="4" t="s">
        <v>1779</v>
      </c>
      <c r="S753" s="1"/>
    </row>
    <row r="754" spans="1:19" ht="15.75">
      <c r="A754" s="1" t="s">
        <v>1147</v>
      </c>
      <c r="B754" s="4" t="s">
        <v>1583</v>
      </c>
      <c r="C754" s="4" t="s">
        <v>1047</v>
      </c>
      <c r="S754" s="1"/>
    </row>
    <row r="755" spans="1:19" ht="15.75">
      <c r="A755" s="1" t="s">
        <v>1148</v>
      </c>
      <c r="B755" s="4" t="s">
        <v>1584</v>
      </c>
      <c r="C755" s="4" t="s">
        <v>480</v>
      </c>
      <c r="S755" s="1"/>
    </row>
    <row r="756" spans="1:19" ht="15.75">
      <c r="A756" s="1" t="s">
        <v>1149</v>
      </c>
      <c r="B756" s="4" t="s">
        <v>1585</v>
      </c>
      <c r="C756" s="4" t="s">
        <v>758</v>
      </c>
      <c r="S756" s="1"/>
    </row>
    <row r="757" spans="1:19" ht="15.75">
      <c r="A757" s="1" t="s">
        <v>1150</v>
      </c>
      <c r="B757" s="4" t="s">
        <v>810</v>
      </c>
      <c r="C757" s="4" t="s">
        <v>1780</v>
      </c>
      <c r="S757" s="1"/>
    </row>
    <row r="758" spans="1:19" ht="15.75">
      <c r="A758" s="1" t="s">
        <v>397</v>
      </c>
      <c r="B758" s="4" t="s">
        <v>877</v>
      </c>
      <c r="C758" s="4" t="s">
        <v>1612</v>
      </c>
      <c r="S758" s="1"/>
    </row>
    <row r="759" spans="1:19" ht="15.75">
      <c r="A759" s="1" t="s">
        <v>1151</v>
      </c>
      <c r="B759" s="4" t="s">
        <v>1586</v>
      </c>
      <c r="C759" s="4" t="s">
        <v>1363</v>
      </c>
      <c r="S759" s="1"/>
    </row>
    <row r="760" spans="1:19" ht="15.75">
      <c r="A760" s="1" t="s">
        <v>1152</v>
      </c>
      <c r="B760" s="4" t="s">
        <v>1587</v>
      </c>
      <c r="C760" s="4" t="s">
        <v>301</v>
      </c>
      <c r="S760" s="1"/>
    </row>
    <row r="761" spans="1:19" ht="15.75">
      <c r="A761" s="1" t="s">
        <v>1153</v>
      </c>
      <c r="B761" s="4" t="s">
        <v>1588</v>
      </c>
      <c r="C761" s="4" t="s">
        <v>749</v>
      </c>
      <c r="S761" s="1"/>
    </row>
    <row r="762" spans="1:19" ht="15.75">
      <c r="A762" s="1" t="s">
        <v>1154</v>
      </c>
      <c r="B762" s="4" t="s">
        <v>1872</v>
      </c>
      <c r="C762" s="4" t="s">
        <v>475</v>
      </c>
      <c r="S762" s="1"/>
    </row>
    <row r="763" spans="1:19" ht="15.75">
      <c r="A763" s="1" t="s">
        <v>1155</v>
      </c>
      <c r="B763" s="4" t="s">
        <v>1062</v>
      </c>
      <c r="C763" s="4" t="s">
        <v>683</v>
      </c>
      <c r="S763" s="1"/>
    </row>
    <row r="764" spans="1:19" ht="15.75">
      <c r="A764" s="1" t="s">
        <v>1156</v>
      </c>
      <c r="B764" s="4" t="s">
        <v>1589</v>
      </c>
      <c r="C764" s="4" t="s">
        <v>277</v>
      </c>
      <c r="S764" s="1"/>
    </row>
    <row r="765" spans="1:19" ht="15.75">
      <c r="A765" s="1" t="s">
        <v>1157</v>
      </c>
      <c r="B765" s="4" t="s">
        <v>965</v>
      </c>
      <c r="C765" s="4" t="s">
        <v>1781</v>
      </c>
      <c r="S765" s="1"/>
    </row>
    <row r="766" spans="1:19" ht="15.75">
      <c r="A766" s="1" t="s">
        <v>1158</v>
      </c>
      <c r="B766" s="4" t="s">
        <v>1590</v>
      </c>
      <c r="C766" s="4" t="s">
        <v>805</v>
      </c>
      <c r="S766" s="1"/>
    </row>
    <row r="767" spans="1:19" ht="15.75">
      <c r="A767" s="1" t="s">
        <v>1159</v>
      </c>
      <c r="B767" s="4" t="s">
        <v>1083</v>
      </c>
      <c r="C767" s="4" t="s">
        <v>418</v>
      </c>
      <c r="S767" s="1"/>
    </row>
    <row r="768" spans="1:19" ht="15.75">
      <c r="A768" s="1" t="s">
        <v>1160</v>
      </c>
      <c r="B768" s="4" t="s">
        <v>1262</v>
      </c>
      <c r="C768" s="4" t="s">
        <v>1466</v>
      </c>
      <c r="S768" s="1"/>
    </row>
    <row r="769" spans="1:19" ht="15.75">
      <c r="A769" s="1" t="s">
        <v>1161</v>
      </c>
      <c r="B769" s="4" t="s">
        <v>1591</v>
      </c>
      <c r="C769" s="4" t="s">
        <v>1782</v>
      </c>
      <c r="S769" s="1"/>
    </row>
    <row r="770" spans="1:19" ht="15.75">
      <c r="A770" s="1" t="s">
        <v>1162</v>
      </c>
      <c r="B770" s="4" t="s">
        <v>1592</v>
      </c>
      <c r="C770" s="4" t="s">
        <v>670</v>
      </c>
      <c r="S770" s="1"/>
    </row>
    <row r="771" spans="1:19" ht="15.75">
      <c r="A771" s="1" t="s">
        <v>1163</v>
      </c>
      <c r="B771" s="4" t="s">
        <v>1593</v>
      </c>
      <c r="C771" s="4" t="s">
        <v>687</v>
      </c>
      <c r="S771" s="1"/>
    </row>
    <row r="772" spans="1:19" ht="15.75">
      <c r="A772" s="1" t="s">
        <v>1164</v>
      </c>
      <c r="B772" s="4" t="s">
        <v>1594</v>
      </c>
      <c r="C772" s="4" t="s">
        <v>1783</v>
      </c>
      <c r="S772" s="1"/>
    </row>
    <row r="773" spans="1:19" ht="15.75">
      <c r="A773" s="1" t="s">
        <v>211</v>
      </c>
      <c r="B773" s="4" t="s">
        <v>1873</v>
      </c>
      <c r="C773" s="4" t="s">
        <v>1784</v>
      </c>
      <c r="S773" s="1"/>
    </row>
    <row r="774" spans="1:19" ht="15.75">
      <c r="A774" s="1" t="s">
        <v>1165</v>
      </c>
      <c r="B774" s="4" t="s">
        <v>1595</v>
      </c>
      <c r="C774" s="4" t="s">
        <v>695</v>
      </c>
      <c r="S774" s="1"/>
    </row>
    <row r="775" spans="1:19" ht="15.75">
      <c r="A775" s="1" t="s">
        <v>1166</v>
      </c>
      <c r="B775" s="4" t="s">
        <v>1596</v>
      </c>
      <c r="C775" s="4" t="s">
        <v>1524</v>
      </c>
      <c r="S775" s="1"/>
    </row>
    <row r="776" spans="1:19" ht="15.75">
      <c r="A776" s="1" t="s">
        <v>1167</v>
      </c>
      <c r="B776" s="4" t="s">
        <v>1118</v>
      </c>
      <c r="C776" s="4" t="s">
        <v>1257</v>
      </c>
      <c r="S776" s="1"/>
    </row>
    <row r="777" spans="1:19" ht="15.75">
      <c r="A777" s="1" t="s">
        <v>1168</v>
      </c>
      <c r="B777" s="4" t="s">
        <v>1319</v>
      </c>
      <c r="C777" s="4" t="s">
        <v>1276</v>
      </c>
      <c r="S777" s="1"/>
    </row>
    <row r="778" spans="1:19" ht="15.75">
      <c r="A778" s="1" t="s">
        <v>1169</v>
      </c>
      <c r="B778" s="4" t="s">
        <v>1597</v>
      </c>
      <c r="C778" s="4" t="s">
        <v>1785</v>
      </c>
      <c r="S778" s="1"/>
    </row>
    <row r="779" spans="1:19" ht="15.75">
      <c r="A779" s="1" t="s">
        <v>1170</v>
      </c>
      <c r="B779" s="4" t="s">
        <v>975</v>
      </c>
      <c r="C779" s="4" t="s">
        <v>1699</v>
      </c>
      <c r="S779" s="1"/>
    </row>
    <row r="780" spans="1:19" ht="15.75">
      <c r="A780" s="1" t="s">
        <v>1171</v>
      </c>
      <c r="B780" s="4" t="s">
        <v>582</v>
      </c>
      <c r="C780" s="4" t="s">
        <v>1240</v>
      </c>
      <c r="S780" s="1"/>
    </row>
    <row r="781" spans="1:19" ht="15.75">
      <c r="A781" s="1" t="s">
        <v>1172</v>
      </c>
      <c r="B781" s="4" t="s">
        <v>1598</v>
      </c>
      <c r="C781" s="4" t="s">
        <v>1786</v>
      </c>
      <c r="S781" s="1"/>
    </row>
    <row r="782" spans="1:19" ht="15.75">
      <c r="A782" s="1" t="s">
        <v>1173</v>
      </c>
      <c r="B782" s="4" t="s">
        <v>1599</v>
      </c>
      <c r="C782" s="4" t="s">
        <v>1787</v>
      </c>
      <c r="S782" s="1"/>
    </row>
    <row r="783" spans="1:19" ht="15.75">
      <c r="A783" s="1" t="s">
        <v>1174</v>
      </c>
      <c r="B783" s="4" t="s">
        <v>763</v>
      </c>
      <c r="C783" s="4" t="s">
        <v>1549</v>
      </c>
      <c r="S783" s="1"/>
    </row>
    <row r="784" spans="1:19" ht="15.75">
      <c r="A784" s="1" t="s">
        <v>1175</v>
      </c>
      <c r="B784" s="4" t="s">
        <v>1600</v>
      </c>
      <c r="C784" s="4" t="s">
        <v>1479</v>
      </c>
      <c r="S784" s="1"/>
    </row>
    <row r="785" spans="1:19" ht="15.75">
      <c r="A785" s="1" t="s">
        <v>1176</v>
      </c>
      <c r="B785" s="4" t="s">
        <v>1252</v>
      </c>
      <c r="C785" s="4" t="s">
        <v>1788</v>
      </c>
      <c r="S785" s="1"/>
    </row>
    <row r="786" spans="1:19" ht="15.75">
      <c r="A786" s="1" t="s">
        <v>1177</v>
      </c>
      <c r="B786" s="4" t="s">
        <v>1320</v>
      </c>
      <c r="C786" s="4" t="s">
        <v>1673</v>
      </c>
      <c r="S786" s="1"/>
    </row>
    <row r="787" spans="1:19" ht="15.75">
      <c r="A787" s="1" t="s">
        <v>1178</v>
      </c>
      <c r="B787" s="4" t="s">
        <v>1601</v>
      </c>
      <c r="C787" s="4" t="s">
        <v>1789</v>
      </c>
      <c r="S787" s="1"/>
    </row>
    <row r="788" spans="1:19" ht="15.75">
      <c r="A788" s="1" t="s">
        <v>1179</v>
      </c>
      <c r="B788" s="4" t="s">
        <v>4</v>
      </c>
      <c r="C788" s="4" t="s">
        <v>1160</v>
      </c>
      <c r="S788" s="1"/>
    </row>
    <row r="789" spans="1:19" ht="15.75">
      <c r="A789" s="1" t="s">
        <v>1180</v>
      </c>
      <c r="B789" s="4" t="s">
        <v>1602</v>
      </c>
      <c r="C789" s="4" t="s">
        <v>1156</v>
      </c>
      <c r="S789" s="1"/>
    </row>
    <row r="790" spans="1:19" ht="15.75">
      <c r="A790" s="1" t="s">
        <v>1181</v>
      </c>
      <c r="B790" s="4" t="s">
        <v>779</v>
      </c>
      <c r="C790" s="4" t="s">
        <v>1542</v>
      </c>
      <c r="S790" s="1"/>
    </row>
    <row r="791" spans="1:19" ht="15.75">
      <c r="A791" s="1" t="s">
        <v>1182</v>
      </c>
      <c r="B791" s="4" t="s">
        <v>1603</v>
      </c>
      <c r="C791" s="4" t="s">
        <v>1790</v>
      </c>
      <c r="S791" s="1"/>
    </row>
    <row r="792" spans="1:19" ht="15.75">
      <c r="A792" s="1" t="s">
        <v>1183</v>
      </c>
      <c r="B792" s="4" t="s">
        <v>1604</v>
      </c>
      <c r="C792" s="4" t="s">
        <v>1357</v>
      </c>
      <c r="S792" s="1"/>
    </row>
    <row r="793" spans="1:19" ht="15.75">
      <c r="A793" s="1" t="s">
        <v>1184</v>
      </c>
      <c r="B793" s="4" t="s">
        <v>964</v>
      </c>
      <c r="C793" s="4" t="s">
        <v>898</v>
      </c>
      <c r="S793" s="1"/>
    </row>
    <row r="794" spans="1:19" ht="15.75">
      <c r="A794" s="1" t="s">
        <v>1185</v>
      </c>
      <c r="B794" s="4" t="s">
        <v>1605</v>
      </c>
      <c r="C794" s="4" t="s">
        <v>1640</v>
      </c>
      <c r="S794" s="1"/>
    </row>
    <row r="795" spans="1:19" ht="15.75">
      <c r="A795" s="1" t="s">
        <v>1186</v>
      </c>
      <c r="B795" s="4" t="s">
        <v>884</v>
      </c>
      <c r="C795" s="4" t="s">
        <v>1646</v>
      </c>
      <c r="S795" s="1"/>
    </row>
    <row r="796" spans="1:19" ht="15.75">
      <c r="A796" s="1" t="s">
        <v>1187</v>
      </c>
      <c r="B796" s="4" t="s">
        <v>1357</v>
      </c>
      <c r="C796" s="4" t="s">
        <v>950</v>
      </c>
      <c r="S796" s="1"/>
    </row>
    <row r="797" spans="1:19" ht="15.75">
      <c r="A797" s="1" t="s">
        <v>1188</v>
      </c>
      <c r="B797" s="4" t="s">
        <v>420</v>
      </c>
      <c r="C797" s="4" t="s">
        <v>1791</v>
      </c>
      <c r="S797" s="1"/>
    </row>
    <row r="798" spans="1:19" ht="15.75">
      <c r="A798" s="1" t="s">
        <v>1189</v>
      </c>
      <c r="B798" s="4" t="s">
        <v>1606</v>
      </c>
      <c r="C798" s="4" t="s">
        <v>841</v>
      </c>
      <c r="S798" s="1"/>
    </row>
    <row r="799" spans="1:19" ht="15.75">
      <c r="A799" s="1" t="s">
        <v>1190</v>
      </c>
      <c r="B799" s="4" t="s">
        <v>1874</v>
      </c>
      <c r="C799" s="4" t="s">
        <v>1884</v>
      </c>
      <c r="S799" s="1"/>
    </row>
    <row r="800" spans="1:19" ht="15.75">
      <c r="A800" s="1" t="s">
        <v>1191</v>
      </c>
      <c r="B800" s="4" t="s">
        <v>1607</v>
      </c>
      <c r="C800" s="4" t="s">
        <v>1529</v>
      </c>
      <c r="S800" s="1"/>
    </row>
    <row r="801" spans="1:19" ht="15.75">
      <c r="A801" s="1" t="s">
        <v>1192</v>
      </c>
      <c r="B801" s="4" t="s">
        <v>1608</v>
      </c>
      <c r="C801" s="4" t="s">
        <v>1286</v>
      </c>
      <c r="S801" s="1"/>
    </row>
    <row r="802" spans="1:19" ht="15.75">
      <c r="A802" s="1" t="s">
        <v>1193</v>
      </c>
      <c r="B802" s="4" t="s">
        <v>1046</v>
      </c>
      <c r="C802" s="4" t="s">
        <v>1096</v>
      </c>
      <c r="S802" s="1"/>
    </row>
    <row r="803" spans="1:19" ht="15.75">
      <c r="A803" s="1" t="s">
        <v>1194</v>
      </c>
      <c r="B803" s="4" t="s">
        <v>924</v>
      </c>
      <c r="C803" s="4" t="s">
        <v>1244</v>
      </c>
      <c r="S803" s="1"/>
    </row>
    <row r="804" spans="1:19" ht="15.75">
      <c r="A804" s="1" t="s">
        <v>1195</v>
      </c>
      <c r="B804" s="4" t="s">
        <v>928</v>
      </c>
      <c r="C804" s="4" t="s">
        <v>1792</v>
      </c>
      <c r="S804" s="1"/>
    </row>
    <row r="805" spans="1:19" ht="15.75">
      <c r="A805" s="1" t="s">
        <v>1196</v>
      </c>
      <c r="B805" s="4" t="s">
        <v>1609</v>
      </c>
      <c r="C805" s="4" t="s">
        <v>1793</v>
      </c>
      <c r="S805" s="1"/>
    </row>
    <row r="806" spans="1:19" ht="15.75">
      <c r="A806" s="1" t="s">
        <v>1197</v>
      </c>
      <c r="B806" s="4" t="s">
        <v>1610</v>
      </c>
      <c r="C806" s="4" t="s">
        <v>1794</v>
      </c>
      <c r="S806" s="1"/>
    </row>
    <row r="807" spans="1:19" ht="15.75">
      <c r="A807" s="1" t="s">
        <v>1198</v>
      </c>
      <c r="B807" s="4" t="s">
        <v>723</v>
      </c>
      <c r="C807" s="4" t="s">
        <v>810</v>
      </c>
      <c r="S807" s="1"/>
    </row>
    <row r="808" spans="1:19" ht="15.75">
      <c r="A808" s="1" t="s">
        <v>1199</v>
      </c>
      <c r="B808" s="4" t="s">
        <v>620</v>
      </c>
      <c r="C808" s="4" t="s">
        <v>185</v>
      </c>
      <c r="S808" s="1"/>
    </row>
    <row r="809" spans="1:19" ht="15.75">
      <c r="A809" s="1" t="s">
        <v>1200</v>
      </c>
      <c r="B809" s="4" t="s">
        <v>1611</v>
      </c>
      <c r="C809" s="4" t="s">
        <v>1495</v>
      </c>
      <c r="S809" s="1"/>
    </row>
    <row r="810" spans="1:19" ht="15.75">
      <c r="A810" s="1" t="s">
        <v>1201</v>
      </c>
      <c r="B810" s="4" t="s">
        <v>1612</v>
      </c>
      <c r="C810" s="4" t="s">
        <v>1609</v>
      </c>
      <c r="S810" s="1"/>
    </row>
    <row r="811" spans="1:19" ht="15.75">
      <c r="A811" s="1" t="s">
        <v>1202</v>
      </c>
      <c r="B811" s="4" t="s">
        <v>1309</v>
      </c>
      <c r="C811" s="4" t="s">
        <v>1590</v>
      </c>
      <c r="S811" s="1"/>
    </row>
    <row r="812" spans="1:19" ht="15.75">
      <c r="A812" s="1" t="s">
        <v>84</v>
      </c>
      <c r="B812" s="4" t="s">
        <v>837</v>
      </c>
      <c r="C812" s="4" t="s">
        <v>1795</v>
      </c>
      <c r="S812" s="1"/>
    </row>
    <row r="813" spans="1:19" ht="15.75">
      <c r="A813" s="1" t="s">
        <v>1203</v>
      </c>
      <c r="B813" s="4" t="s">
        <v>214</v>
      </c>
      <c r="C813" s="4" t="s">
        <v>1796</v>
      </c>
      <c r="S813" s="1"/>
    </row>
    <row r="814" spans="1:19" ht="15.75">
      <c r="A814" s="1" t="s">
        <v>1204</v>
      </c>
      <c r="B814" s="4" t="s">
        <v>1613</v>
      </c>
      <c r="C814" s="4" t="s">
        <v>1452</v>
      </c>
      <c r="S814" s="1"/>
    </row>
    <row r="815" spans="1:19" ht="15.75">
      <c r="A815" s="1" t="s">
        <v>1205</v>
      </c>
      <c r="B815" s="4" t="s">
        <v>1614</v>
      </c>
      <c r="C815" s="4" t="s">
        <v>1329</v>
      </c>
      <c r="S815" s="1"/>
    </row>
    <row r="816" spans="1:19" ht="15.75">
      <c r="A816" s="1" t="s">
        <v>1206</v>
      </c>
      <c r="B816" s="4" t="s">
        <v>1615</v>
      </c>
      <c r="C816" s="4" t="s">
        <v>1797</v>
      </c>
      <c r="S816" s="1"/>
    </row>
    <row r="817" spans="1:19" ht="15.75">
      <c r="A817" s="1" t="s">
        <v>1207</v>
      </c>
      <c r="B817" s="4" t="s">
        <v>1345</v>
      </c>
      <c r="C817" s="4" t="s">
        <v>1798</v>
      </c>
      <c r="S817" s="1"/>
    </row>
    <row r="818" spans="1:19" ht="15.75">
      <c r="A818" s="1" t="s">
        <v>1208</v>
      </c>
      <c r="B818" s="4" t="s">
        <v>1616</v>
      </c>
      <c r="C818" s="4" t="s">
        <v>319</v>
      </c>
      <c r="S818" s="1"/>
    </row>
    <row r="819" spans="1:19" ht="15.75">
      <c r="A819" s="1" t="s">
        <v>1209</v>
      </c>
      <c r="B819" s="4" t="s">
        <v>1617</v>
      </c>
      <c r="C819" s="4" t="s">
        <v>467</v>
      </c>
      <c r="S819" s="1"/>
    </row>
    <row r="820" spans="1:19" ht="15.75">
      <c r="A820" s="1" t="s">
        <v>1210</v>
      </c>
      <c r="B820" s="4" t="s">
        <v>1618</v>
      </c>
      <c r="C820" s="4" t="s">
        <v>1303</v>
      </c>
      <c r="S820" s="1"/>
    </row>
    <row r="821" spans="1:19" ht="15.75">
      <c r="A821" s="1" t="s">
        <v>1211</v>
      </c>
      <c r="B821" s="4" t="s">
        <v>1281</v>
      </c>
      <c r="C821" s="4" t="s">
        <v>1799</v>
      </c>
      <c r="S821" s="1"/>
    </row>
    <row r="822" spans="1:19" ht="15.75">
      <c r="A822" s="1" t="s">
        <v>1212</v>
      </c>
      <c r="B822" s="4" t="s">
        <v>1619</v>
      </c>
      <c r="C822" s="4" t="s">
        <v>923</v>
      </c>
      <c r="S822" s="1"/>
    </row>
    <row r="823" spans="1:19" ht="15.75">
      <c r="A823" s="1" t="s">
        <v>1213</v>
      </c>
      <c r="B823" s="4" t="s">
        <v>954</v>
      </c>
      <c r="C823" s="4" t="s">
        <v>461</v>
      </c>
      <c r="S823" s="1"/>
    </row>
    <row r="824" spans="1:19" ht="15.75">
      <c r="A824" s="1" t="s">
        <v>1214</v>
      </c>
      <c r="B824" s="4" t="s">
        <v>1271</v>
      </c>
      <c r="C824" s="4" t="s">
        <v>1800</v>
      </c>
      <c r="S824" s="1"/>
    </row>
    <row r="825" spans="1:19" ht="15.75">
      <c r="A825" s="1" t="s">
        <v>527</v>
      </c>
      <c r="B825" s="4" t="s">
        <v>293</v>
      </c>
      <c r="C825" s="4" t="s">
        <v>984</v>
      </c>
      <c r="S825" s="1"/>
    </row>
    <row r="826" spans="1:19" ht="15.75">
      <c r="A826" s="1" t="s">
        <v>1215</v>
      </c>
      <c r="B826" s="4" t="s">
        <v>826</v>
      </c>
      <c r="C826" s="4" t="s">
        <v>670</v>
      </c>
      <c r="S826" s="1"/>
    </row>
    <row r="827" spans="1:19" ht="15.75">
      <c r="A827" s="1" t="s">
        <v>1216</v>
      </c>
      <c r="B827" s="4" t="s">
        <v>1875</v>
      </c>
      <c r="C827" s="4" t="s">
        <v>1287</v>
      </c>
      <c r="S827" s="1"/>
    </row>
    <row r="828" spans="1:19" ht="15.75">
      <c r="A828" s="1" t="s">
        <v>1217</v>
      </c>
      <c r="B828" s="4" t="s">
        <v>1171</v>
      </c>
      <c r="C828" s="4" t="s">
        <v>1300</v>
      </c>
      <c r="S828" s="1"/>
    </row>
    <row r="829" spans="1:19" ht="15.75">
      <c r="A829" s="1" t="s">
        <v>1218</v>
      </c>
      <c r="B829" s="4" t="s">
        <v>1620</v>
      </c>
      <c r="C829" s="4" t="s">
        <v>398</v>
      </c>
      <c r="S829" s="1"/>
    </row>
    <row r="830" spans="1:19" ht="15.75">
      <c r="A830" s="1" t="s">
        <v>1219</v>
      </c>
      <c r="B830" s="4" t="s">
        <v>1175</v>
      </c>
      <c r="C830" s="4" t="s">
        <v>1801</v>
      </c>
      <c r="S830" s="1"/>
    </row>
    <row r="831" spans="1:19" ht="15.75">
      <c r="A831" s="1" t="s">
        <v>1220</v>
      </c>
      <c r="B831" s="4" t="s">
        <v>505</v>
      </c>
      <c r="C831" s="4" t="s">
        <v>1566</v>
      </c>
      <c r="S831" s="1"/>
    </row>
    <row r="832" spans="1:19" ht="15.75">
      <c r="A832" s="1" t="s">
        <v>1221</v>
      </c>
      <c r="B832" s="4" t="s">
        <v>7</v>
      </c>
      <c r="C832" s="4" t="s">
        <v>1802</v>
      </c>
      <c r="S832" s="1"/>
    </row>
    <row r="833" spans="1:19" ht="15.75">
      <c r="A833" s="1" t="s">
        <v>1222</v>
      </c>
      <c r="B833" s="4" t="s">
        <v>1218</v>
      </c>
      <c r="C833" s="4" t="s">
        <v>1803</v>
      </c>
      <c r="S833" s="1"/>
    </row>
    <row r="834" spans="1:19" ht="15.75">
      <c r="A834" s="1" t="s">
        <v>1223</v>
      </c>
      <c r="B834" s="4" t="s">
        <v>1621</v>
      </c>
      <c r="C834" s="4" t="s">
        <v>1467</v>
      </c>
      <c r="S834" s="1"/>
    </row>
    <row r="835" spans="1:19" ht="15.75">
      <c r="A835" s="1" t="s">
        <v>1224</v>
      </c>
      <c r="B835" s="4" t="s">
        <v>1876</v>
      </c>
      <c r="C835" s="4" t="s">
        <v>1804</v>
      </c>
      <c r="S835" s="1"/>
    </row>
    <row r="836" spans="1:19" ht="15.75">
      <c r="A836" s="1" t="s">
        <v>1225</v>
      </c>
      <c r="B836" s="4" t="s">
        <v>812</v>
      </c>
      <c r="C836" s="4" t="s">
        <v>84</v>
      </c>
      <c r="S836" s="1"/>
    </row>
    <row r="837" spans="1:19" ht="15.75">
      <c r="A837" s="1" t="s">
        <v>460</v>
      </c>
      <c r="B837" s="4" t="s">
        <v>1622</v>
      </c>
      <c r="C837" s="4" t="s">
        <v>1805</v>
      </c>
      <c r="S837" s="1"/>
    </row>
    <row r="838" spans="1:19" ht="15.75">
      <c r="A838" s="1" t="s">
        <v>463</v>
      </c>
      <c r="B838" s="4" t="s">
        <v>408</v>
      </c>
      <c r="C838" s="4" t="s">
        <v>904</v>
      </c>
      <c r="S838" s="1"/>
    </row>
    <row r="839" spans="1:19" ht="15.75">
      <c r="A839" s="1" t="s">
        <v>1226</v>
      </c>
      <c r="B839" s="4" t="s">
        <v>1240</v>
      </c>
      <c r="C839" s="4" t="s">
        <v>104</v>
      </c>
      <c r="S839" s="1"/>
    </row>
    <row r="840" spans="1:19" ht="15.75">
      <c r="A840" s="1" t="s">
        <v>1227</v>
      </c>
      <c r="B840" s="4" t="s">
        <v>1623</v>
      </c>
      <c r="C840" s="4" t="s">
        <v>1519</v>
      </c>
      <c r="S840" s="1"/>
    </row>
    <row r="841" spans="1:19" ht="15.75">
      <c r="A841" s="1" t="s">
        <v>1228</v>
      </c>
      <c r="B841" s="4" t="s">
        <v>1624</v>
      </c>
      <c r="C841" s="4" t="s">
        <v>357</v>
      </c>
      <c r="S841" s="1"/>
    </row>
    <row r="842" spans="1:19" ht="15.75">
      <c r="A842" s="1" t="s">
        <v>1229</v>
      </c>
      <c r="B842" s="4" t="s">
        <v>1625</v>
      </c>
      <c r="C842" s="4" t="s">
        <v>5</v>
      </c>
      <c r="S842" s="1"/>
    </row>
    <row r="843" spans="1:19" ht="15.75">
      <c r="A843" s="1" t="s">
        <v>1230</v>
      </c>
      <c r="B843" s="4" t="s">
        <v>1626</v>
      </c>
      <c r="C843" s="4" t="s">
        <v>804</v>
      </c>
      <c r="S843" s="1"/>
    </row>
    <row r="844" spans="1:19" ht="15.75">
      <c r="A844" s="1" t="s">
        <v>1231</v>
      </c>
      <c r="B844" s="4" t="s">
        <v>1627</v>
      </c>
      <c r="C844" s="4" t="s">
        <v>1570</v>
      </c>
      <c r="S844" s="1"/>
    </row>
    <row r="845" spans="1:19" ht="15.75">
      <c r="A845" s="1" t="s">
        <v>1232</v>
      </c>
      <c r="B845" s="4" t="s">
        <v>418</v>
      </c>
      <c r="C845" s="4" t="s">
        <v>1227</v>
      </c>
      <c r="S845" s="1"/>
    </row>
    <row r="846" spans="1:19" ht="15.75">
      <c r="A846" s="1" t="s">
        <v>1233</v>
      </c>
      <c r="B846" s="4" t="s">
        <v>1227</v>
      </c>
      <c r="C846" s="4" t="s">
        <v>1345</v>
      </c>
      <c r="S846" s="1"/>
    </row>
    <row r="847" spans="1:19" ht="15.75">
      <c r="A847" s="1" t="s">
        <v>96</v>
      </c>
      <c r="B847" s="4" t="s">
        <v>1628</v>
      </c>
      <c r="C847" s="4" t="s">
        <v>880</v>
      </c>
      <c r="S847" s="1"/>
    </row>
    <row r="848" spans="1:19" ht="15.75">
      <c r="A848" s="1" t="s">
        <v>1234</v>
      </c>
      <c r="B848" s="4" t="s">
        <v>1629</v>
      </c>
      <c r="C848" s="4" t="s">
        <v>492</v>
      </c>
      <c r="S848" s="1"/>
    </row>
    <row r="849" spans="1:19" ht="15.75">
      <c r="A849" s="1" t="s">
        <v>1235</v>
      </c>
      <c r="B849" s="4" t="s">
        <v>1344</v>
      </c>
      <c r="C849" s="4" t="s">
        <v>1806</v>
      </c>
      <c r="S849" s="1"/>
    </row>
    <row r="850" spans="1:19" ht="15.75">
      <c r="A850" s="1" t="s">
        <v>1236</v>
      </c>
      <c r="B850" s="4" t="s">
        <v>1630</v>
      </c>
      <c r="C850" s="4" t="s">
        <v>279</v>
      </c>
      <c r="S850" s="1"/>
    </row>
    <row r="851" spans="1:19" ht="15.75">
      <c r="A851" s="1" t="s">
        <v>1237</v>
      </c>
      <c r="B851" s="4" t="s">
        <v>948</v>
      </c>
      <c r="C851" s="4" t="s">
        <v>1629</v>
      </c>
      <c r="S851" s="1"/>
    </row>
    <row r="852" spans="1:19" ht="15.75">
      <c r="A852" s="1" t="s">
        <v>1238</v>
      </c>
      <c r="B852" s="4" t="s">
        <v>1631</v>
      </c>
      <c r="C852" s="4" t="s">
        <v>1302</v>
      </c>
      <c r="S852" s="1"/>
    </row>
    <row r="853" spans="1:19" ht="15.75">
      <c r="A853" s="1" t="s">
        <v>198</v>
      </c>
      <c r="B853" s="4" t="s">
        <v>1026</v>
      </c>
      <c r="C853" s="4" t="s">
        <v>1530</v>
      </c>
      <c r="S853" s="1"/>
    </row>
    <row r="854" spans="1:19" ht="15.75">
      <c r="A854" s="1" t="s">
        <v>1239</v>
      </c>
      <c r="B854" s="4" t="s">
        <v>1632</v>
      </c>
      <c r="C854" s="4" t="s">
        <v>879</v>
      </c>
      <c r="S854" s="1"/>
    </row>
    <row r="855" spans="1:19" ht="15.75">
      <c r="A855" s="1" t="s">
        <v>1240</v>
      </c>
      <c r="B855" s="4" t="s">
        <v>1748</v>
      </c>
      <c r="C855" s="4" t="s">
        <v>1625</v>
      </c>
      <c r="S855" s="1"/>
    </row>
    <row r="856" spans="1:19" ht="15.75">
      <c r="A856" s="1" t="s">
        <v>83</v>
      </c>
      <c r="B856" s="4" t="s">
        <v>1115</v>
      </c>
      <c r="C856" s="4" t="s">
        <v>762</v>
      </c>
      <c r="S856" s="1"/>
    </row>
    <row r="857" spans="1:19" ht="15.75">
      <c r="A857" s="1" t="s">
        <v>1241</v>
      </c>
      <c r="B857" s="4" t="s">
        <v>1633</v>
      </c>
      <c r="C857" s="4" t="s">
        <v>710</v>
      </c>
      <c r="S857" s="1"/>
    </row>
    <row r="858" spans="1:19" ht="15.75">
      <c r="A858" s="1" t="s">
        <v>1242</v>
      </c>
      <c r="B858" s="4" t="s">
        <v>1634</v>
      </c>
      <c r="C858" s="4" t="s">
        <v>1807</v>
      </c>
      <c r="S858" s="1"/>
    </row>
    <row r="859" spans="1:19" ht="15.75">
      <c r="A859" s="1" t="s">
        <v>1243</v>
      </c>
      <c r="B859" s="4" t="s">
        <v>675</v>
      </c>
      <c r="C859" s="4" t="s">
        <v>71</v>
      </c>
      <c r="S859" s="1"/>
    </row>
    <row r="860" spans="1:19" ht="15.75">
      <c r="A860" s="1" t="s">
        <v>1244</v>
      </c>
      <c r="B860" s="4" t="s">
        <v>1635</v>
      </c>
      <c r="C860" s="4" t="s">
        <v>1808</v>
      </c>
      <c r="S860" s="1"/>
    </row>
    <row r="861" spans="1:19" ht="15.75">
      <c r="A861" s="1" t="s">
        <v>1245</v>
      </c>
      <c r="B861" s="4" t="s">
        <v>1636</v>
      </c>
      <c r="C861" s="4" t="s">
        <v>970</v>
      </c>
      <c r="S861" s="1"/>
    </row>
    <row r="862" spans="1:19" ht="15.75">
      <c r="A862" s="1" t="s">
        <v>1246</v>
      </c>
      <c r="B862" s="4" t="s">
        <v>1637</v>
      </c>
      <c r="C862" s="4" t="s">
        <v>834</v>
      </c>
      <c r="S862" s="1"/>
    </row>
    <row r="863" spans="1:19" ht="15.75">
      <c r="A863" s="1" t="s">
        <v>1247</v>
      </c>
      <c r="B863" s="4" t="s">
        <v>1638</v>
      </c>
      <c r="C863" s="4" t="s">
        <v>416</v>
      </c>
      <c r="S863" s="1"/>
    </row>
    <row r="864" spans="1:19" ht="15.75">
      <c r="A864" s="1" t="s">
        <v>1248</v>
      </c>
      <c r="B864" s="4" t="s">
        <v>1639</v>
      </c>
      <c r="C864" s="4" t="s">
        <v>1463</v>
      </c>
      <c r="S864" s="1"/>
    </row>
    <row r="865" spans="1:19" ht="15.75">
      <c r="A865" s="1" t="s">
        <v>1249</v>
      </c>
      <c r="B865" s="4" t="s">
        <v>999</v>
      </c>
      <c r="C865" s="4" t="s">
        <v>1200</v>
      </c>
      <c r="S865" s="1"/>
    </row>
    <row r="866" spans="1:19" ht="15.75">
      <c r="A866" s="1" t="s">
        <v>1250</v>
      </c>
      <c r="B866" s="4" t="s">
        <v>1640</v>
      </c>
      <c r="C866" s="4" t="s">
        <v>899</v>
      </c>
      <c r="S866" s="1"/>
    </row>
    <row r="867" spans="1:19" ht="15.75">
      <c r="A867" s="1" t="s">
        <v>1251</v>
      </c>
      <c r="B867" s="4" t="s">
        <v>1641</v>
      </c>
      <c r="C867" s="4" t="s">
        <v>1192</v>
      </c>
      <c r="S867" s="1"/>
    </row>
    <row r="868" spans="1:19" ht="15.75">
      <c r="A868" s="1" t="s">
        <v>1252</v>
      </c>
      <c r="B868" s="4" t="s">
        <v>1122</v>
      </c>
      <c r="C868" s="4" t="s">
        <v>1809</v>
      </c>
      <c r="S868" s="1"/>
    </row>
    <row r="869" spans="1:19" ht="15.75">
      <c r="A869" s="1" t="s">
        <v>1253</v>
      </c>
      <c r="B869" s="4" t="s">
        <v>1642</v>
      </c>
      <c r="C869" s="4" t="s">
        <v>466</v>
      </c>
      <c r="S869" s="1"/>
    </row>
    <row r="870" spans="1:19" ht="15.75">
      <c r="A870" s="1" t="s">
        <v>1254</v>
      </c>
      <c r="B870" s="4" t="s">
        <v>1643</v>
      </c>
      <c r="C870" s="4" t="s">
        <v>672</v>
      </c>
      <c r="S870" s="1"/>
    </row>
    <row r="871" spans="1:19" ht="15.75">
      <c r="A871" s="1" t="s">
        <v>1255</v>
      </c>
      <c r="B871" s="4" t="s">
        <v>475</v>
      </c>
      <c r="C871" s="4" t="s">
        <v>968</v>
      </c>
      <c r="S871" s="1"/>
    </row>
    <row r="872" spans="1:19" ht="15.75">
      <c r="A872" s="1" t="s">
        <v>1256</v>
      </c>
      <c r="B872" s="4" t="s">
        <v>1161</v>
      </c>
      <c r="C872" s="4" t="s">
        <v>1810</v>
      </c>
      <c r="S872" s="1"/>
    </row>
    <row r="873" spans="1:19" ht="15.75">
      <c r="A873" s="1" t="s">
        <v>1257</v>
      </c>
      <c r="B873" s="4" t="s">
        <v>925</v>
      </c>
      <c r="C873" s="4" t="s">
        <v>1493</v>
      </c>
      <c r="S873" s="1"/>
    </row>
    <row r="874" spans="1:19" ht="15.75">
      <c r="A874" s="1" t="s">
        <v>1258</v>
      </c>
      <c r="B874" s="4" t="s">
        <v>1877</v>
      </c>
      <c r="C874" s="4" t="s">
        <v>773</v>
      </c>
      <c r="S874" s="1"/>
    </row>
    <row r="875" spans="1:19" ht="15.75">
      <c r="A875" s="1" t="s">
        <v>1259</v>
      </c>
      <c r="B875" s="4" t="s">
        <v>1644</v>
      </c>
      <c r="C875" s="4" t="s">
        <v>104</v>
      </c>
      <c r="S875" s="1"/>
    </row>
    <row r="876" spans="1:19" ht="15.75">
      <c r="A876" s="1" t="s">
        <v>1260</v>
      </c>
      <c r="B876" s="4" t="s">
        <v>1645</v>
      </c>
      <c r="C876" s="4" t="s">
        <v>744</v>
      </c>
      <c r="S876" s="1"/>
    </row>
    <row r="877" spans="1:19" ht="15.75">
      <c r="A877" s="1" t="s">
        <v>1261</v>
      </c>
      <c r="B877" s="4" t="s">
        <v>966</v>
      </c>
      <c r="C877" s="4" t="s">
        <v>1811</v>
      </c>
      <c r="S877" s="1"/>
    </row>
    <row r="878" spans="1:19" ht="15.75">
      <c r="A878" s="1" t="s">
        <v>269</v>
      </c>
      <c r="B878" s="4" t="s">
        <v>1646</v>
      </c>
      <c r="C878" s="4" t="s">
        <v>477</v>
      </c>
      <c r="S878" s="1"/>
    </row>
    <row r="879" spans="1:19" ht="15.75">
      <c r="A879" s="1" t="s">
        <v>1262</v>
      </c>
      <c r="B879" s="4" t="s">
        <v>1647</v>
      </c>
      <c r="C879" s="4" t="s">
        <v>1281</v>
      </c>
      <c r="S879" s="1"/>
    </row>
    <row r="880" spans="1:19" ht="15.75">
      <c r="A880" s="1" t="s">
        <v>1263</v>
      </c>
      <c r="B880" s="4" t="s">
        <v>1173</v>
      </c>
      <c r="C880" s="4" t="s">
        <v>836</v>
      </c>
      <c r="S880" s="1"/>
    </row>
    <row r="881" spans="1:19" ht="15.75">
      <c r="A881" s="1" t="s">
        <v>471</v>
      </c>
      <c r="B881" s="4" t="s">
        <v>1878</v>
      </c>
      <c r="C881" s="4" t="s">
        <v>1812</v>
      </c>
      <c r="S881" s="1"/>
    </row>
    <row r="882" spans="1:19" ht="15.75">
      <c r="A882" s="1" t="s">
        <v>1264</v>
      </c>
      <c r="B882" s="4" t="s">
        <v>1648</v>
      </c>
      <c r="C882" s="4" t="s">
        <v>1813</v>
      </c>
      <c r="S882" s="1"/>
    </row>
    <row r="883" spans="1:19" ht="15.75">
      <c r="A883" s="1" t="s">
        <v>1265</v>
      </c>
      <c r="B883" s="4" t="s">
        <v>915</v>
      </c>
      <c r="C883" s="4" t="s">
        <v>202</v>
      </c>
      <c r="S883" s="1"/>
    </row>
    <row r="884" spans="1:19" ht="15.75">
      <c r="A884" s="1" t="s">
        <v>1266</v>
      </c>
      <c r="B884" s="4" t="s">
        <v>1649</v>
      </c>
      <c r="C884" s="4" t="s">
        <v>700</v>
      </c>
      <c r="S884" s="1"/>
    </row>
    <row r="885" spans="1:19" ht="15.75">
      <c r="A885" s="1" t="s">
        <v>1267</v>
      </c>
      <c r="B885" s="4" t="s">
        <v>1650</v>
      </c>
      <c r="C885" s="4" t="s">
        <v>626</v>
      </c>
      <c r="S885" s="1"/>
    </row>
    <row r="886" spans="1:19" ht="15.75">
      <c r="A886" s="1" t="s">
        <v>1268</v>
      </c>
      <c r="B886" s="4" t="s">
        <v>1651</v>
      </c>
      <c r="C886" s="4" t="s">
        <v>1814</v>
      </c>
      <c r="S886" s="1"/>
    </row>
    <row r="887" spans="1:19" ht="15.75">
      <c r="A887" s="1" t="s">
        <v>1269</v>
      </c>
      <c r="B887" s="4" t="s">
        <v>1652</v>
      </c>
      <c r="C887" s="4" t="s">
        <v>325</v>
      </c>
      <c r="S887" s="1"/>
    </row>
    <row r="888" spans="1:19" ht="15.75">
      <c r="A888" s="1" t="s">
        <v>1270</v>
      </c>
      <c r="B888" s="4" t="s">
        <v>1653</v>
      </c>
      <c r="C888" s="4" t="s">
        <v>1815</v>
      </c>
      <c r="S888" s="1"/>
    </row>
    <row r="889" spans="1:19" ht="15.75">
      <c r="A889" s="1" t="s">
        <v>1271</v>
      </c>
      <c r="B889" s="4" t="s">
        <v>835</v>
      </c>
      <c r="C889" s="4" t="s">
        <v>1509</v>
      </c>
      <c r="S889" s="1"/>
    </row>
    <row r="890" spans="1:19" ht="15.75">
      <c r="A890" s="1" t="s">
        <v>1272</v>
      </c>
      <c r="B890" s="4" t="s">
        <v>1654</v>
      </c>
      <c r="C890" s="4" t="s">
        <v>823</v>
      </c>
      <c r="S890" s="1"/>
    </row>
    <row r="891" spans="1:19" ht="15.75">
      <c r="A891" s="1" t="s">
        <v>1273</v>
      </c>
      <c r="B891" s="4" t="s">
        <v>673</v>
      </c>
      <c r="C891" s="4" t="s">
        <v>173</v>
      </c>
      <c r="S891" s="1"/>
    </row>
    <row r="892" spans="1:19" ht="15.75">
      <c r="A892" s="1" t="s">
        <v>1274</v>
      </c>
      <c r="B892" s="4" t="s">
        <v>1655</v>
      </c>
      <c r="C892" s="4" t="s">
        <v>856</v>
      </c>
      <c r="S892" s="1"/>
    </row>
    <row r="893" spans="1:19" ht="15.75">
      <c r="A893" s="1" t="s">
        <v>1275</v>
      </c>
      <c r="B893" s="4" t="s">
        <v>963</v>
      </c>
      <c r="C893" s="4" t="s">
        <v>293</v>
      </c>
      <c r="S893" s="1"/>
    </row>
    <row r="894" spans="1:19" ht="15.75">
      <c r="A894" s="1" t="s">
        <v>1276</v>
      </c>
      <c r="B894" s="4" t="s">
        <v>1656</v>
      </c>
      <c r="C894" s="4" t="s">
        <v>725</v>
      </c>
      <c r="S894" s="1"/>
    </row>
    <row r="895" spans="1:19" ht="15.75">
      <c r="A895" s="1" t="s">
        <v>1277</v>
      </c>
      <c r="B895" s="4" t="s">
        <v>859</v>
      </c>
      <c r="C895" s="4" t="s">
        <v>858</v>
      </c>
      <c r="S895" s="1"/>
    </row>
    <row r="896" spans="1:19" ht="15.75">
      <c r="A896" s="1" t="s">
        <v>1278</v>
      </c>
      <c r="B896" s="4" t="s">
        <v>1055</v>
      </c>
      <c r="C896" s="4" t="s">
        <v>1816</v>
      </c>
      <c r="S896" s="1"/>
    </row>
    <row r="897" spans="1:19" ht="15.75">
      <c r="A897" s="1" t="s">
        <v>1279</v>
      </c>
      <c r="B897" s="4" t="s">
        <v>1131</v>
      </c>
      <c r="C897" s="4" t="s">
        <v>1313</v>
      </c>
      <c r="S897" s="1"/>
    </row>
    <row r="898" spans="1:19" ht="15.75">
      <c r="A898" s="1" t="s">
        <v>1280</v>
      </c>
      <c r="B898" s="4" t="s">
        <v>99</v>
      </c>
      <c r="C898" s="4" t="s">
        <v>750</v>
      </c>
      <c r="S898" s="1"/>
    </row>
    <row r="899" spans="1:19" ht="15.75">
      <c r="A899" s="1" t="s">
        <v>1281</v>
      </c>
      <c r="B899" s="4" t="s">
        <v>201</v>
      </c>
      <c r="C899" s="4" t="s">
        <v>1328</v>
      </c>
      <c r="S899" s="1"/>
    </row>
    <row r="900" spans="1:19" ht="15.75">
      <c r="A900" s="1" t="s">
        <v>1282</v>
      </c>
      <c r="B900" s="4" t="s">
        <v>1657</v>
      </c>
      <c r="C900" s="4" t="s">
        <v>958</v>
      </c>
      <c r="S900" s="1"/>
    </row>
    <row r="901" spans="1:19" ht="15.75">
      <c r="A901" s="1" t="s">
        <v>1283</v>
      </c>
      <c r="B901" s="4" t="s">
        <v>1658</v>
      </c>
      <c r="C901" s="4" t="s">
        <v>1817</v>
      </c>
      <c r="S901" s="1"/>
    </row>
    <row r="902" spans="1:19" ht="15.75">
      <c r="A902" s="1" t="s">
        <v>1284</v>
      </c>
      <c r="B902" s="4" t="s">
        <v>1659</v>
      </c>
      <c r="C902" s="4" t="s">
        <v>1818</v>
      </c>
      <c r="S902" s="1"/>
    </row>
    <row r="903" spans="1:19" ht="15.75">
      <c r="A903" s="1" t="s">
        <v>1285</v>
      </c>
      <c r="B903" s="4" t="s">
        <v>1660</v>
      </c>
      <c r="C903" s="4" t="s">
        <v>1558</v>
      </c>
      <c r="S903" s="1"/>
    </row>
    <row r="904" spans="1:19" ht="15.75">
      <c r="A904" s="1" t="s">
        <v>1286</v>
      </c>
      <c r="B904" s="4" t="s">
        <v>1661</v>
      </c>
      <c r="C904" s="4" t="s">
        <v>1819</v>
      </c>
      <c r="S904" s="1"/>
    </row>
    <row r="905" spans="1:19" ht="15.75">
      <c r="A905" s="1" t="s">
        <v>1287</v>
      </c>
      <c r="B905" s="4" t="s">
        <v>1662</v>
      </c>
      <c r="C905" s="4" t="s">
        <v>517</v>
      </c>
      <c r="S905" s="1"/>
    </row>
    <row r="906" spans="1:19" ht="15.75">
      <c r="A906" s="1" t="s">
        <v>609</v>
      </c>
      <c r="B906" s="4" t="s">
        <v>1663</v>
      </c>
      <c r="C906" s="4" t="s">
        <v>1062</v>
      </c>
      <c r="S906" s="1"/>
    </row>
    <row r="907" spans="1:19" ht="15.75">
      <c r="A907" s="1" t="s">
        <v>1288</v>
      </c>
      <c r="B907" s="4" t="s">
        <v>1664</v>
      </c>
      <c r="C907" s="4" t="s">
        <v>1580</v>
      </c>
      <c r="S907" s="1"/>
    </row>
    <row r="908" spans="1:19" ht="15.75">
      <c r="A908" s="1" t="s">
        <v>1289</v>
      </c>
      <c r="B908" s="4" t="s">
        <v>1665</v>
      </c>
      <c r="C908" s="4" t="s">
        <v>1885</v>
      </c>
      <c r="S908" s="1"/>
    </row>
    <row r="909" spans="1:19" ht="15.75">
      <c r="A909" s="1" t="s">
        <v>1290</v>
      </c>
      <c r="B909" s="4" t="s">
        <v>1666</v>
      </c>
      <c r="C909" s="4" t="s">
        <v>1161</v>
      </c>
      <c r="S909" s="1"/>
    </row>
    <row r="910" spans="1:19" ht="15.75">
      <c r="A910" s="1" t="s">
        <v>1291</v>
      </c>
      <c r="B910" s="4" t="s">
        <v>1667</v>
      </c>
      <c r="C910" s="4" t="s">
        <v>582</v>
      </c>
      <c r="S910" s="1"/>
    </row>
    <row r="911" spans="1:19" ht="15.75">
      <c r="A911" s="1" t="s">
        <v>1292</v>
      </c>
      <c r="B911" s="4" t="s">
        <v>1668</v>
      </c>
      <c r="C911" s="4" t="s">
        <v>295</v>
      </c>
      <c r="S911" s="1"/>
    </row>
    <row r="912" spans="1:19" ht="15.75">
      <c r="A912" s="1" t="s">
        <v>1293</v>
      </c>
      <c r="B912" s="4" t="s">
        <v>96</v>
      </c>
      <c r="C912" s="4" t="s">
        <v>64</v>
      </c>
      <c r="S912" s="1"/>
    </row>
    <row r="913" spans="1:19" ht="15.75">
      <c r="A913" s="1" t="s">
        <v>1294</v>
      </c>
      <c r="B913" s="4" t="s">
        <v>1082</v>
      </c>
      <c r="C913" s="4" t="s">
        <v>1820</v>
      </c>
      <c r="S913" s="1"/>
    </row>
    <row r="914" spans="1:19" ht="15.75">
      <c r="A914" s="1" t="s">
        <v>1295</v>
      </c>
      <c r="B914" s="4" t="s">
        <v>1669</v>
      </c>
      <c r="C914" s="4" t="s">
        <v>1178</v>
      </c>
      <c r="S914" s="1"/>
    </row>
    <row r="915" spans="1:19" ht="15.75">
      <c r="A915" s="1" t="s">
        <v>1296</v>
      </c>
      <c r="B915" s="4" t="s">
        <v>1670</v>
      </c>
      <c r="C915" s="4" t="s">
        <v>1821</v>
      </c>
      <c r="S915" s="1"/>
    </row>
    <row r="916" spans="1:19" ht="15.75">
      <c r="A916" s="1" t="s">
        <v>1297</v>
      </c>
      <c r="B916" s="4" t="s">
        <v>677</v>
      </c>
      <c r="C916" s="4" t="s">
        <v>1299</v>
      </c>
      <c r="S916" s="1"/>
    </row>
    <row r="917" spans="1:19" ht="15.75">
      <c r="A917" s="1" t="s">
        <v>1298</v>
      </c>
      <c r="B917" s="4" t="s">
        <v>39</v>
      </c>
      <c r="C917" s="4" t="s">
        <v>918</v>
      </c>
      <c r="S917" s="1"/>
    </row>
    <row r="918" spans="1:19" ht="15.75">
      <c r="A918" s="1" t="s">
        <v>1299</v>
      </c>
      <c r="B918" s="4" t="s">
        <v>870</v>
      </c>
      <c r="C918" s="4" t="s">
        <v>332</v>
      </c>
      <c r="S918" s="1"/>
    </row>
    <row r="919" spans="1:19" ht="15.75">
      <c r="A919" s="1" t="s">
        <v>1300</v>
      </c>
      <c r="B919" s="4" t="s">
        <v>1671</v>
      </c>
      <c r="C919" s="4" t="s">
        <v>700</v>
      </c>
      <c r="S919" s="1"/>
    </row>
    <row r="920" spans="1:19" ht="15.75">
      <c r="A920" s="1" t="s">
        <v>1301</v>
      </c>
      <c r="B920" s="4" t="s">
        <v>1099</v>
      </c>
      <c r="C920" s="4" t="s">
        <v>998</v>
      </c>
      <c r="S920" s="1"/>
    </row>
    <row r="921" spans="1:19" ht="15.75">
      <c r="A921" s="1" t="s">
        <v>1302</v>
      </c>
      <c r="B921" s="4" t="s">
        <v>1672</v>
      </c>
      <c r="C921" s="4" t="s">
        <v>1822</v>
      </c>
      <c r="S921" s="1"/>
    </row>
    <row r="922" spans="1:19" ht="15.75">
      <c r="A922" s="1" t="s">
        <v>1303</v>
      </c>
      <c r="B922" s="4" t="s">
        <v>1673</v>
      </c>
      <c r="C922" s="4" t="s">
        <v>754</v>
      </c>
      <c r="S922" s="1"/>
    </row>
    <row r="923" spans="1:19" ht="15.75">
      <c r="A923" s="1" t="s">
        <v>1304</v>
      </c>
      <c r="B923" s="4" t="s">
        <v>1674</v>
      </c>
      <c r="C923" s="4" t="s">
        <v>1823</v>
      </c>
      <c r="S923" s="1"/>
    </row>
    <row r="924" spans="1:19" ht="15.75">
      <c r="A924" s="1" t="s">
        <v>194</v>
      </c>
      <c r="B924" s="4" t="s">
        <v>1675</v>
      </c>
      <c r="C924" s="4" t="s">
        <v>1824</v>
      </c>
      <c r="S924" s="1"/>
    </row>
    <row r="925" spans="1:19" ht="15.75">
      <c r="A925" s="1" t="s">
        <v>1305</v>
      </c>
      <c r="B925" s="4" t="s">
        <v>1879</v>
      </c>
      <c r="C925" s="4" t="s">
        <v>1825</v>
      </c>
      <c r="S925" s="1"/>
    </row>
    <row r="926" spans="1:19" ht="15.75">
      <c r="A926" s="1" t="s">
        <v>1306</v>
      </c>
      <c r="B926" s="4" t="s">
        <v>1676</v>
      </c>
      <c r="C926" s="4" t="s">
        <v>1572</v>
      </c>
      <c r="S926" s="1"/>
    </row>
    <row r="927" spans="1:19" ht="15.75">
      <c r="A927" s="1" t="s">
        <v>1307</v>
      </c>
      <c r="B927" s="4" t="s">
        <v>1880</v>
      </c>
      <c r="C927" s="4" t="s">
        <v>1826</v>
      </c>
      <c r="S927" s="1"/>
    </row>
    <row r="928" spans="1:19" ht="15.75">
      <c r="A928" s="1" t="s">
        <v>1308</v>
      </c>
      <c r="B928" s="4" t="s">
        <v>1288</v>
      </c>
      <c r="C928" s="4" t="s">
        <v>1348</v>
      </c>
      <c r="S928" s="1"/>
    </row>
    <row r="929" spans="1:19" ht="15.75">
      <c r="A929" s="1" t="s">
        <v>1309</v>
      </c>
      <c r="B929" s="4" t="s">
        <v>1134</v>
      </c>
      <c r="C929" s="4" t="s">
        <v>1719</v>
      </c>
      <c r="S929" s="1"/>
    </row>
    <row r="930" spans="1:19" ht="15.75">
      <c r="A930" s="1" t="s">
        <v>1310</v>
      </c>
      <c r="B930" s="4" t="s">
        <v>1677</v>
      </c>
      <c r="C930" s="4" t="s">
        <v>1827</v>
      </c>
      <c r="S930" s="1"/>
    </row>
    <row r="931" spans="1:19" ht="15.75">
      <c r="A931" s="1" t="s">
        <v>1311</v>
      </c>
      <c r="B931" s="4" t="s">
        <v>1147</v>
      </c>
      <c r="C931" s="4" t="s">
        <v>1828</v>
      </c>
      <c r="S931" s="1"/>
    </row>
    <row r="932" spans="1:19" ht="15.75">
      <c r="A932" s="1" t="s">
        <v>1312</v>
      </c>
      <c r="B932" s="4" t="s">
        <v>858</v>
      </c>
      <c r="C932" s="4" t="s">
        <v>1829</v>
      </c>
      <c r="S932" s="1"/>
    </row>
    <row r="933" spans="1:19" ht="15.75">
      <c r="A933" s="1" t="s">
        <v>1313</v>
      </c>
      <c r="B933" s="4" t="s">
        <v>1678</v>
      </c>
      <c r="C933" s="4" t="s">
        <v>1557</v>
      </c>
      <c r="S933" s="1"/>
    </row>
    <row r="934" spans="1:19" ht="15.75">
      <c r="A934" s="1" t="s">
        <v>1314</v>
      </c>
      <c r="B934" s="4" t="s">
        <v>1679</v>
      </c>
      <c r="C934" s="4" t="s">
        <v>1830</v>
      </c>
      <c r="S934" s="1"/>
    </row>
    <row r="935" spans="1:19" ht="15.75">
      <c r="A935" s="1" t="s">
        <v>1315</v>
      </c>
      <c r="B935" s="4" t="s">
        <v>1680</v>
      </c>
      <c r="C935" s="4" t="s">
        <v>1831</v>
      </c>
      <c r="S935" s="1"/>
    </row>
    <row r="936" spans="1:19" ht="15.75">
      <c r="A936" s="1" t="s">
        <v>1316</v>
      </c>
      <c r="B936" s="4" t="s">
        <v>1681</v>
      </c>
      <c r="C936" s="4" t="s">
        <v>1832</v>
      </c>
      <c r="S936" s="1"/>
    </row>
    <row r="937" spans="1:19" ht="15.75">
      <c r="A937" s="1" t="s">
        <v>1317</v>
      </c>
      <c r="B937" s="4" t="s">
        <v>1246</v>
      </c>
      <c r="C937" s="4" t="s">
        <v>852</v>
      </c>
      <c r="S937" s="1"/>
    </row>
    <row r="938" spans="1:19" ht="15.75">
      <c r="A938" s="1" t="s">
        <v>1318</v>
      </c>
      <c r="B938" s="4" t="s">
        <v>740</v>
      </c>
      <c r="C938" s="4" t="s">
        <v>1454</v>
      </c>
      <c r="S938" s="1"/>
    </row>
    <row r="939" spans="1:19" ht="15.75">
      <c r="A939" s="1" t="s">
        <v>1319</v>
      </c>
      <c r="B939" s="4" t="s">
        <v>1682</v>
      </c>
      <c r="C939" s="4" t="s">
        <v>667</v>
      </c>
      <c r="S939" s="1"/>
    </row>
    <row r="940" spans="1:19" ht="15.75">
      <c r="A940" s="1" t="s">
        <v>1320</v>
      </c>
      <c r="B940" s="4" t="s">
        <v>1683</v>
      </c>
      <c r="C940" s="4" t="s">
        <v>89</v>
      </c>
      <c r="S940" s="1"/>
    </row>
    <row r="941" spans="1:19" ht="15.75">
      <c r="A941" s="1" t="s">
        <v>1321</v>
      </c>
      <c r="B941" s="4" t="s">
        <v>411</v>
      </c>
      <c r="C941" s="4" t="s">
        <v>735</v>
      </c>
      <c r="S941" s="1"/>
    </row>
    <row r="942" spans="1:19" ht="15.75">
      <c r="A942" s="1" t="s">
        <v>1322</v>
      </c>
      <c r="B942" s="4" t="s">
        <v>1684</v>
      </c>
      <c r="C942" s="4" t="s">
        <v>1833</v>
      </c>
      <c r="S942" s="1"/>
    </row>
    <row r="943" spans="1:19" ht="15.75">
      <c r="A943" s="1" t="s">
        <v>545</v>
      </c>
      <c r="B943" s="4" t="s">
        <v>918</v>
      </c>
      <c r="C943" s="4" t="s">
        <v>1834</v>
      </c>
      <c r="S943" s="1"/>
    </row>
    <row r="944" spans="1:19" ht="15.75">
      <c r="A944" s="1" t="s">
        <v>1323</v>
      </c>
      <c r="B944" s="4" t="s">
        <v>906</v>
      </c>
      <c r="C944" s="4" t="s">
        <v>644</v>
      </c>
      <c r="S944" s="1"/>
    </row>
    <row r="945" spans="1:19" ht="15.75">
      <c r="A945" s="1" t="s">
        <v>1324</v>
      </c>
      <c r="B945" s="4" t="s">
        <v>1002</v>
      </c>
      <c r="C945" s="4" t="s">
        <v>763</v>
      </c>
      <c r="S945" s="1"/>
    </row>
    <row r="946" spans="1:19" ht="15.75">
      <c r="A946" s="1" t="s">
        <v>1325</v>
      </c>
      <c r="B946" s="4" t="s">
        <v>1685</v>
      </c>
      <c r="C946" s="4" t="s">
        <v>929</v>
      </c>
      <c r="S946" s="1"/>
    </row>
    <row r="947" spans="1:19" ht="15.75">
      <c r="A947" s="1" t="s">
        <v>1326</v>
      </c>
      <c r="B947" s="4" t="s">
        <v>1686</v>
      </c>
      <c r="C947" s="4" t="s">
        <v>1651</v>
      </c>
      <c r="S947" s="1"/>
    </row>
    <row r="948" spans="1:19" ht="15.75">
      <c r="A948" s="1" t="s">
        <v>1327</v>
      </c>
      <c r="B948" s="4" t="s">
        <v>1332</v>
      </c>
      <c r="C948" s="4" t="s">
        <v>830</v>
      </c>
      <c r="S948" s="1"/>
    </row>
    <row r="949" spans="1:19" ht="15.75">
      <c r="A949" s="1" t="s">
        <v>1328</v>
      </c>
      <c r="B949" s="4" t="s">
        <v>1687</v>
      </c>
      <c r="C949" s="4" t="s">
        <v>1835</v>
      </c>
      <c r="S949" s="1"/>
    </row>
    <row r="950" spans="1:19" ht="15.75">
      <c r="A950" s="1" t="s">
        <v>1329</v>
      </c>
      <c r="B950" s="4" t="s">
        <v>1688</v>
      </c>
      <c r="C950" s="4" t="s">
        <v>1836</v>
      </c>
      <c r="S950" s="1"/>
    </row>
    <row r="951" spans="1:19" ht="15.75">
      <c r="A951" s="1" t="s">
        <v>1330</v>
      </c>
      <c r="B951" s="4" t="s">
        <v>1303</v>
      </c>
      <c r="C951" s="4" t="s">
        <v>1184</v>
      </c>
      <c r="S951" s="1"/>
    </row>
    <row r="952" spans="1:19" ht="15.75">
      <c r="A952" s="1" t="s">
        <v>1331</v>
      </c>
      <c r="B952" s="4" t="s">
        <v>1689</v>
      </c>
      <c r="C952" s="4" t="s">
        <v>731</v>
      </c>
      <c r="S952" s="1"/>
    </row>
    <row r="953" spans="1:19" ht="15.75">
      <c r="A953" s="1" t="s">
        <v>1332</v>
      </c>
      <c r="B953" s="4" t="s">
        <v>1351</v>
      </c>
      <c r="C953" s="4" t="s">
        <v>1243</v>
      </c>
      <c r="S953" s="1"/>
    </row>
    <row r="954" spans="1:19" ht="15.75">
      <c r="A954" s="1" t="s">
        <v>1333</v>
      </c>
      <c r="B954" s="4" t="s">
        <v>1690</v>
      </c>
      <c r="C954" s="4" t="s">
        <v>1837</v>
      </c>
      <c r="S954" s="1"/>
    </row>
    <row r="955" spans="1:19" ht="15.75">
      <c r="A955" s="1" t="s">
        <v>1334</v>
      </c>
      <c r="B955" s="4" t="s">
        <v>1065</v>
      </c>
      <c r="C955" s="4" t="s">
        <v>1838</v>
      </c>
      <c r="S955" s="1"/>
    </row>
    <row r="956" spans="1:19" ht="15.75">
      <c r="A956" s="1" t="s">
        <v>1335</v>
      </c>
      <c r="B956" s="4" t="s">
        <v>1691</v>
      </c>
      <c r="C956" s="4" t="s">
        <v>1839</v>
      </c>
      <c r="S956" s="1"/>
    </row>
    <row r="957" spans="1:19" ht="15.75">
      <c r="A957" s="1" t="s">
        <v>1336</v>
      </c>
      <c r="B957" s="4" t="s">
        <v>1334</v>
      </c>
      <c r="C957" s="4" t="s">
        <v>1840</v>
      </c>
      <c r="S957" s="1"/>
    </row>
    <row r="958" spans="1:19" ht="15.75">
      <c r="A958" s="1" t="s">
        <v>1337</v>
      </c>
      <c r="B958" s="4" t="s">
        <v>1692</v>
      </c>
      <c r="C958" s="4" t="s">
        <v>1033</v>
      </c>
      <c r="S958" s="1"/>
    </row>
    <row r="959" spans="1:19" ht="15.75">
      <c r="A959" s="1" t="s">
        <v>1338</v>
      </c>
      <c r="B959" s="4" t="s">
        <v>1693</v>
      </c>
      <c r="C959" s="4" t="s">
        <v>935</v>
      </c>
      <c r="S959" s="1"/>
    </row>
    <row r="960" spans="1:19" ht="15.75">
      <c r="A960" s="1" t="s">
        <v>401</v>
      </c>
      <c r="B960" s="4" t="s">
        <v>1694</v>
      </c>
      <c r="C960" s="4" t="s">
        <v>1841</v>
      </c>
      <c r="S960" s="1"/>
    </row>
    <row r="961" spans="1:19" ht="15.75">
      <c r="A961" s="1" t="s">
        <v>1339</v>
      </c>
      <c r="B961" s="4" t="s">
        <v>1016</v>
      </c>
      <c r="C961" s="4" t="s">
        <v>1842</v>
      </c>
      <c r="S961" s="1"/>
    </row>
    <row r="962" spans="1:19" ht="15.75">
      <c r="A962" s="1" t="s">
        <v>1340</v>
      </c>
      <c r="B962" s="4" t="s">
        <v>1695</v>
      </c>
      <c r="C962" s="4" t="s">
        <v>1843</v>
      </c>
      <c r="S962" s="1"/>
    </row>
    <row r="963" spans="1:19" ht="15.75">
      <c r="A963" s="1" t="s">
        <v>1341</v>
      </c>
      <c r="B963" s="4" t="s">
        <v>1312</v>
      </c>
      <c r="C963" s="4" t="s">
        <v>543</v>
      </c>
      <c r="S963" s="1"/>
    </row>
    <row r="964" spans="1:19" ht="15.75">
      <c r="A964" s="1" t="s">
        <v>1342</v>
      </c>
      <c r="B964" s="4" t="s">
        <v>895</v>
      </c>
      <c r="C964" s="4" t="s">
        <v>1552</v>
      </c>
      <c r="S964" s="1"/>
    </row>
    <row r="965" spans="1:19" ht="15.75">
      <c r="A965" s="1" t="s">
        <v>1343</v>
      </c>
      <c r="B965" s="4" t="s">
        <v>1349</v>
      </c>
      <c r="C965" s="4" t="s">
        <v>1844</v>
      </c>
      <c r="S965" s="1"/>
    </row>
    <row r="966" spans="1:19" ht="15.75">
      <c r="A966" s="1" t="s">
        <v>1344</v>
      </c>
      <c r="B966" s="4" t="s">
        <v>1696</v>
      </c>
      <c r="C966" s="4" t="s">
        <v>1098</v>
      </c>
      <c r="S966" s="1"/>
    </row>
    <row r="967" spans="1:19" ht="15.75">
      <c r="A967" s="1" t="s">
        <v>1345</v>
      </c>
      <c r="B967" s="4" t="s">
        <v>1362</v>
      </c>
      <c r="C967" s="4" t="s">
        <v>1319</v>
      </c>
      <c r="S967" s="1"/>
    </row>
    <row r="968" spans="1:19" ht="15.75">
      <c r="A968" s="1" t="s">
        <v>1346</v>
      </c>
      <c r="B968" s="4" t="s">
        <v>1697</v>
      </c>
      <c r="C968" s="4" t="s">
        <v>1845</v>
      </c>
      <c r="S968" s="1"/>
    </row>
    <row r="969" spans="1:19" ht="15.75">
      <c r="A969" s="1" t="s">
        <v>1347</v>
      </c>
      <c r="B969" s="4" t="s">
        <v>1698</v>
      </c>
      <c r="C969" s="4" t="s">
        <v>1503</v>
      </c>
      <c r="S969" s="1"/>
    </row>
    <row r="970" spans="1:19" ht="15.75">
      <c r="A970" s="1" t="s">
        <v>1348</v>
      </c>
      <c r="B970" s="4" t="s">
        <v>1699</v>
      </c>
      <c r="C970" s="4" t="s">
        <v>1846</v>
      </c>
      <c r="S970" s="1"/>
    </row>
    <row r="971" spans="1:19" ht="15.75">
      <c r="A971" s="1" t="s">
        <v>1349</v>
      </c>
      <c r="B971" s="4" t="s">
        <v>1700</v>
      </c>
      <c r="C971" s="4" t="s">
        <v>826</v>
      </c>
      <c r="S971" s="1"/>
    </row>
    <row r="972" spans="1:19" ht="15.75">
      <c r="A972" s="1" t="s">
        <v>1350</v>
      </c>
      <c r="B972" s="4" t="s">
        <v>1701</v>
      </c>
      <c r="C972" s="4" t="s">
        <v>45</v>
      </c>
      <c r="S972" s="1"/>
    </row>
    <row r="973" spans="1:19" ht="15.75">
      <c r="A973" s="1" t="s">
        <v>1351</v>
      </c>
      <c r="B973" s="4" t="s">
        <v>1702</v>
      </c>
      <c r="C973" s="4" t="s">
        <v>1847</v>
      </c>
      <c r="S973" s="1"/>
    </row>
    <row r="974" spans="1:19" ht="15.75">
      <c r="A974" s="1" t="s">
        <v>1352</v>
      </c>
      <c r="B974" s="4" t="s">
        <v>1703</v>
      </c>
      <c r="C974" s="4" t="s">
        <v>1848</v>
      </c>
      <c r="S974" s="1"/>
    </row>
    <row r="975" spans="1:19" ht="15.75">
      <c r="A975" s="1" t="s">
        <v>1353</v>
      </c>
      <c r="B975" s="4" t="s">
        <v>1704</v>
      </c>
      <c r="C975" s="4" t="s">
        <v>1849</v>
      </c>
      <c r="S975" s="1"/>
    </row>
    <row r="976" spans="1:19" ht="15.75">
      <c r="A976" s="1" t="s">
        <v>1354</v>
      </c>
      <c r="B976" s="4" t="s">
        <v>1256</v>
      </c>
      <c r="C976" s="4" t="s">
        <v>1366</v>
      </c>
      <c r="S976" s="1"/>
    </row>
    <row r="977" spans="1:19" ht="15.75">
      <c r="A977" s="1" t="s">
        <v>1355</v>
      </c>
      <c r="B977" s="4" t="s">
        <v>1705</v>
      </c>
      <c r="C977" s="4" t="s">
        <v>1850</v>
      </c>
      <c r="S977" s="1"/>
    </row>
    <row r="978" spans="1:19" ht="15.75">
      <c r="A978" s="1" t="s">
        <v>1356</v>
      </c>
      <c r="B978" s="4" t="s">
        <v>1706</v>
      </c>
      <c r="C978" s="4" t="s">
        <v>1200</v>
      </c>
      <c r="S978" s="1"/>
    </row>
    <row r="979" spans="1:19" ht="15.75">
      <c r="A979" s="1" t="s">
        <v>1357</v>
      </c>
      <c r="B979" s="4" t="s">
        <v>1707</v>
      </c>
      <c r="C979" s="4" t="s">
        <v>692</v>
      </c>
      <c r="S979" s="1"/>
    </row>
    <row r="980" spans="1:19" ht="15.75">
      <c r="A980" s="1" t="s">
        <v>1358</v>
      </c>
      <c r="B980" s="4" t="s">
        <v>1708</v>
      </c>
      <c r="C980" s="4" t="s">
        <v>884</v>
      </c>
      <c r="S980" s="1"/>
    </row>
    <row r="981" spans="1:19" ht="15.75">
      <c r="A981" s="1" t="s">
        <v>1359</v>
      </c>
      <c r="B981" s="4" t="s">
        <v>1709</v>
      </c>
      <c r="C981" s="4" t="s">
        <v>989</v>
      </c>
      <c r="S981" s="1"/>
    </row>
    <row r="982" spans="1:19" ht="15.75">
      <c r="A982" s="1" t="s">
        <v>1360</v>
      </c>
      <c r="B982" s="4" t="s">
        <v>1710</v>
      </c>
      <c r="C982" s="4" t="s">
        <v>988</v>
      </c>
      <c r="S982" s="1"/>
    </row>
    <row r="983" spans="1:19" ht="15.75">
      <c r="A983" s="1" t="s">
        <v>1361</v>
      </c>
      <c r="B983" s="4" t="s">
        <v>715</v>
      </c>
      <c r="C983" s="4" t="s">
        <v>1781</v>
      </c>
      <c r="S983" s="1"/>
    </row>
    <row r="984" spans="1:19" ht="15.75">
      <c r="A984" s="1" t="s">
        <v>430</v>
      </c>
      <c r="B984" s="4" t="s">
        <v>1286</v>
      </c>
      <c r="C984" s="4" t="s">
        <v>1690</v>
      </c>
      <c r="S984" s="1"/>
    </row>
    <row r="985" spans="1:19" ht="15.75">
      <c r="A985" s="1" t="s">
        <v>1362</v>
      </c>
      <c r="B985" s="4" t="s">
        <v>1711</v>
      </c>
      <c r="C985" s="4" t="s">
        <v>1851</v>
      </c>
      <c r="S985" s="1"/>
    </row>
    <row r="986" spans="1:19" ht="15.75">
      <c r="A986" s="1" t="s">
        <v>1363</v>
      </c>
      <c r="B986" s="4" t="s">
        <v>1712</v>
      </c>
      <c r="C986" s="4" t="s">
        <v>1106</v>
      </c>
      <c r="S986" s="1"/>
    </row>
    <row r="987" spans="1:19" ht="15.75">
      <c r="A987" s="1" t="s">
        <v>503</v>
      </c>
      <c r="B987" s="4" t="s">
        <v>984</v>
      </c>
      <c r="C987" s="4" t="s">
        <v>1193</v>
      </c>
      <c r="S987" s="1"/>
    </row>
    <row r="988" spans="1:19" ht="15.75">
      <c r="A988" s="1" t="s">
        <v>1364</v>
      </c>
      <c r="B988" s="4" t="s">
        <v>1713</v>
      </c>
      <c r="C988" s="4" t="s">
        <v>1578</v>
      </c>
      <c r="S988" s="1"/>
    </row>
    <row r="989" spans="1:19" ht="15.75">
      <c r="A989" s="1" t="s">
        <v>1365</v>
      </c>
      <c r="B989" s="4" t="s">
        <v>1223</v>
      </c>
      <c r="C989" s="4" t="s">
        <v>1852</v>
      </c>
      <c r="S989" s="1"/>
    </row>
    <row r="990" spans="1:19" ht="15.75">
      <c r="A990" s="1" t="s">
        <v>1366</v>
      </c>
      <c r="B990" s="4" t="s">
        <v>1714</v>
      </c>
      <c r="C990" s="4" t="s">
        <v>1213</v>
      </c>
      <c r="S990" s="1"/>
    </row>
    <row r="991" spans="1:19" ht="15.75">
      <c r="A991" s="1" t="s">
        <v>1367</v>
      </c>
      <c r="B991" s="4" t="s">
        <v>463</v>
      </c>
      <c r="C991" s="4" t="s">
        <v>1250</v>
      </c>
      <c r="S991" s="1"/>
    </row>
    <row r="992" spans="1:19" ht="15.75">
      <c r="A992" s="1" t="s">
        <v>1368</v>
      </c>
      <c r="B992" s="4" t="s">
        <v>1715</v>
      </c>
      <c r="C992" s="4" t="s">
        <v>1853</v>
      </c>
      <c r="S992" s="1"/>
    </row>
    <row r="993" spans="1:19" ht="15.75">
      <c r="A993" s="1" t="s">
        <v>1369</v>
      </c>
      <c r="B993" s="4" t="s">
        <v>1716</v>
      </c>
      <c r="C993" s="4" t="s">
        <v>1055</v>
      </c>
      <c r="S993" s="1"/>
    </row>
    <row r="994" spans="1:19" ht="15.75">
      <c r="A994" s="1" t="s">
        <v>1370</v>
      </c>
      <c r="B994" s="4" t="s">
        <v>1717</v>
      </c>
      <c r="C994" s="4" t="s">
        <v>693</v>
      </c>
      <c r="S994" s="1"/>
    </row>
    <row r="995" spans="1:19" ht="15.75">
      <c r="A995" s="1" t="s">
        <v>1371</v>
      </c>
      <c r="B995" s="4" t="s">
        <v>1718</v>
      </c>
      <c r="C995" s="4" t="s">
        <v>1318</v>
      </c>
      <c r="S995" s="1"/>
    </row>
    <row r="996" spans="1:19" ht="15.75">
      <c r="A996" s="1" t="s">
        <v>1372</v>
      </c>
      <c r="B996" s="4" t="s">
        <v>1719</v>
      </c>
      <c r="C996" s="4" t="s">
        <v>1350</v>
      </c>
      <c r="S996" s="1"/>
    </row>
    <row r="997" spans="1:19" ht="15.75">
      <c r="A997" s="1" t="s">
        <v>1373</v>
      </c>
      <c r="B997" s="4" t="s">
        <v>1807</v>
      </c>
      <c r="C997" s="4" t="s">
        <v>1638</v>
      </c>
      <c r="S997" s="1"/>
    </row>
    <row r="998" spans="1:19" ht="15.75">
      <c r="A998" s="1" t="s">
        <v>1374</v>
      </c>
      <c r="B998" s="4" t="s">
        <v>1720</v>
      </c>
      <c r="C998" s="4" t="s">
        <v>1267</v>
      </c>
      <c r="S998" s="1"/>
    </row>
    <row r="999" spans="1:19" ht="15.75">
      <c r="A999" s="1" t="s">
        <v>1375</v>
      </c>
      <c r="B999" s="4" t="s">
        <v>1101</v>
      </c>
      <c r="C999" s="4" t="s">
        <v>1513</v>
      </c>
      <c r="S999" s="1"/>
    </row>
    <row r="1000" spans="1:19" ht="15.75">
      <c r="A1000" s="1" t="s">
        <v>1376</v>
      </c>
      <c r="B1000" s="4" t="s">
        <v>1881</v>
      </c>
      <c r="C1000" s="4" t="s">
        <v>1854</v>
      </c>
      <c r="S1000" s="1"/>
    </row>
    <row r="1001" spans="1:19" ht="15.75">
      <c r="B1001" s="4" t="s">
        <v>1721</v>
      </c>
      <c r="C1001" s="4" t="s">
        <v>1855</v>
      </c>
      <c r="S1001" s="1"/>
    </row>
    <row r="1002" spans="1:19" ht="15.75">
      <c r="S1002" s="1"/>
    </row>
    <row r="1003" spans="1:19" ht="15.75">
      <c r="S1003" s="1"/>
    </row>
    <row r="1004" spans="1:19" ht="15.75">
      <c r="S1004" s="1"/>
    </row>
    <row r="1005" spans="1:19" ht="15.75">
      <c r="S1005" s="1"/>
    </row>
    <row r="1006" spans="1:19" ht="15.75">
      <c r="S1006" s="1"/>
    </row>
    <row r="1007" spans="1:19" ht="15.75">
      <c r="S1007" s="1"/>
    </row>
    <row r="1008" spans="1:19" ht="15.75">
      <c r="S1008" s="1"/>
    </row>
    <row r="1009" spans="19:19" ht="15.75">
      <c r="S1009" s="1"/>
    </row>
    <row r="1010" spans="19:19" ht="15.75">
      <c r="S1010" s="1"/>
    </row>
    <row r="1011" spans="19:19" ht="15.75">
      <c r="S1011" s="1"/>
    </row>
    <row r="1012" spans="19:19" ht="15.75">
      <c r="S1012" s="1"/>
    </row>
    <row r="1013" spans="19:19" ht="15.75">
      <c r="S1013" s="1"/>
    </row>
    <row r="1014" spans="19:19" ht="15.75">
      <c r="S1014" s="1"/>
    </row>
    <row r="1015" spans="19:19" ht="15.75">
      <c r="S1015" s="1"/>
    </row>
    <row r="1016" spans="19:19" ht="15.75">
      <c r="S1016" s="1"/>
    </row>
    <row r="1017" spans="19:19" ht="15.75">
      <c r="S1017" s="1"/>
    </row>
    <row r="1018" spans="19:19" ht="15.75">
      <c r="S1018" s="1"/>
    </row>
    <row r="1019" spans="19:19" ht="15.75">
      <c r="S1019" s="1"/>
    </row>
    <row r="1020" spans="19:19" ht="15.75">
      <c r="S1020" s="1"/>
    </row>
    <row r="1021" spans="19:19" ht="15.75">
      <c r="S1021" s="1"/>
    </row>
    <row r="1022" spans="19:19" ht="15.75">
      <c r="S1022" s="1"/>
    </row>
    <row r="1023" spans="19:19" ht="15.75">
      <c r="S1023" s="1"/>
    </row>
    <row r="1024" spans="19:19" ht="15.75">
      <c r="S1024" s="1"/>
    </row>
    <row r="1025" spans="19:19" ht="15.75">
      <c r="S1025" s="1"/>
    </row>
    <row r="1026" spans="19:19" ht="15.75">
      <c r="S1026" s="1"/>
    </row>
    <row r="1027" spans="19:19" ht="15.75">
      <c r="S1027" s="1"/>
    </row>
    <row r="1028" spans="19:19" ht="15.75">
      <c r="S1028" s="1"/>
    </row>
    <row r="1029" spans="19:19" ht="15.75">
      <c r="S1029" s="1"/>
    </row>
    <row r="1030" spans="19:19" ht="15.75">
      <c r="S1030" s="1"/>
    </row>
    <row r="1031" spans="19:19" ht="15.75">
      <c r="S1031" s="1"/>
    </row>
    <row r="1032" spans="19:19" ht="15.75">
      <c r="S1032" s="1"/>
    </row>
    <row r="1033" spans="19:19" ht="15.75">
      <c r="S1033" s="1"/>
    </row>
    <row r="1034" spans="19:19" ht="15.75">
      <c r="S1034" s="1"/>
    </row>
    <row r="1035" spans="19:19" ht="15.75">
      <c r="S1035" s="1"/>
    </row>
    <row r="1036" spans="19:19" ht="15.75">
      <c r="S1036" s="1"/>
    </row>
    <row r="1037" spans="19:19" ht="15.75">
      <c r="S1037" s="1"/>
    </row>
    <row r="1038" spans="19:19" ht="15.75">
      <c r="S1038" s="1"/>
    </row>
    <row r="1039" spans="19:19" ht="15.75">
      <c r="S1039" s="1"/>
    </row>
    <row r="1040" spans="19:19" ht="15.75">
      <c r="S1040" s="1"/>
    </row>
    <row r="1041" spans="19:19" ht="15.75">
      <c r="S1041" s="1"/>
    </row>
    <row r="1042" spans="19:19" ht="15.75">
      <c r="S1042" s="1"/>
    </row>
    <row r="1043" spans="19:19" ht="15.75">
      <c r="S1043" s="1"/>
    </row>
    <row r="1044" spans="19:19" ht="15.75">
      <c r="S1044" s="1"/>
    </row>
    <row r="1045" spans="19:19" ht="15.75">
      <c r="S1045" s="1"/>
    </row>
    <row r="1046" spans="19:19" ht="15.75">
      <c r="S1046" s="1"/>
    </row>
    <row r="1047" spans="19:19" ht="15.75">
      <c r="S1047" s="1"/>
    </row>
    <row r="1048" spans="19:19" ht="15.75">
      <c r="S1048" s="1"/>
    </row>
    <row r="1049" spans="19:19" ht="15.75">
      <c r="S1049" s="1"/>
    </row>
    <row r="1050" spans="19:19" ht="15.75">
      <c r="S1050" s="1"/>
    </row>
    <row r="1051" spans="19:19" ht="15.75">
      <c r="S1051" s="1"/>
    </row>
    <row r="1052" spans="19:19" ht="15.75">
      <c r="S1052" s="1"/>
    </row>
    <row r="1053" spans="19:19" ht="15.75">
      <c r="S1053" s="1"/>
    </row>
    <row r="1054" spans="19:19" ht="15.75">
      <c r="S1054" s="1"/>
    </row>
    <row r="1055" spans="19:19" ht="15.75">
      <c r="S1055" s="1"/>
    </row>
    <row r="1056" spans="19:19" ht="15.75">
      <c r="S1056" s="1"/>
    </row>
    <row r="1057" spans="19:19" ht="15.75">
      <c r="S1057" s="1"/>
    </row>
    <row r="1058" spans="19:19" ht="15.75">
      <c r="S1058" s="1"/>
    </row>
    <row r="1059" spans="19:19" ht="15.75">
      <c r="S1059" s="1"/>
    </row>
    <row r="1060" spans="19:19" ht="15.75">
      <c r="S1060" s="1"/>
    </row>
    <row r="1061" spans="19:19" ht="15.75">
      <c r="S1061" s="1"/>
    </row>
    <row r="1062" spans="19:19" ht="15.75">
      <c r="S1062" s="1"/>
    </row>
    <row r="1063" spans="19:19" ht="15.75">
      <c r="S1063" s="1"/>
    </row>
    <row r="1064" spans="19:19" ht="15.75">
      <c r="S1064" s="1"/>
    </row>
    <row r="1065" spans="19:19" ht="15.75">
      <c r="S1065" s="1"/>
    </row>
    <row r="1066" spans="19:19" ht="15.75">
      <c r="S1066" s="1"/>
    </row>
    <row r="1067" spans="19:19" ht="15.75">
      <c r="S1067" s="1"/>
    </row>
    <row r="1068" spans="19:19" ht="15.75">
      <c r="S1068" s="1"/>
    </row>
    <row r="1069" spans="19:19" ht="15.75">
      <c r="S1069" s="1"/>
    </row>
    <row r="1070" spans="19:19" ht="15.75">
      <c r="S1070" s="1"/>
    </row>
    <row r="1071" spans="19:19" ht="15.75">
      <c r="S1071" s="1"/>
    </row>
    <row r="1072" spans="19:19" ht="15.75">
      <c r="S1072" s="1"/>
    </row>
    <row r="1073" spans="19:19" ht="15.75">
      <c r="S1073" s="1"/>
    </row>
    <row r="1074" spans="19:19" ht="15.75">
      <c r="S1074" s="1"/>
    </row>
    <row r="1075" spans="19:19" ht="15.75">
      <c r="S1075" s="1"/>
    </row>
    <row r="1076" spans="19:19" ht="15.75">
      <c r="S1076" s="1"/>
    </row>
    <row r="1077" spans="19:19" ht="15.75">
      <c r="S1077" s="1"/>
    </row>
    <row r="1078" spans="19:19" ht="15.75">
      <c r="S1078" s="1"/>
    </row>
    <row r="1079" spans="19:19" ht="15.75">
      <c r="S1079" s="1"/>
    </row>
    <row r="1080" spans="19:19" ht="15.75">
      <c r="S1080" s="1"/>
    </row>
    <row r="1081" spans="19:19" ht="15.75">
      <c r="S1081" s="1"/>
    </row>
    <row r="1082" spans="19:19" ht="15.75">
      <c r="S1082" s="1"/>
    </row>
    <row r="1083" spans="19:19" ht="15.75">
      <c r="S1083" s="1"/>
    </row>
    <row r="1084" spans="19:19" ht="15.75">
      <c r="S1084" s="1"/>
    </row>
    <row r="1085" spans="19:19" ht="15.75">
      <c r="S1085" s="1"/>
    </row>
    <row r="1086" spans="19:19" ht="15.75">
      <c r="S1086" s="1"/>
    </row>
    <row r="1087" spans="19:19" ht="15.75">
      <c r="S1087" s="1"/>
    </row>
    <row r="1088" spans="19:19" ht="15.75">
      <c r="S1088" s="1"/>
    </row>
    <row r="1089" spans="19:19" ht="15.75">
      <c r="S1089" s="1"/>
    </row>
    <row r="1090" spans="19:19" ht="15.75">
      <c r="S1090" s="1"/>
    </row>
    <row r="1091" spans="19:19" ht="15.75">
      <c r="S1091" s="1"/>
    </row>
    <row r="1092" spans="19:19" ht="15.75">
      <c r="S1092" s="1"/>
    </row>
    <row r="1093" spans="19:19" ht="15.75">
      <c r="S1093" s="1"/>
    </row>
    <row r="1094" spans="19:19" ht="15.75">
      <c r="S1094" s="1"/>
    </row>
    <row r="1095" spans="19:19" ht="15.75">
      <c r="S1095" s="1"/>
    </row>
    <row r="1096" spans="19:19" ht="15.75">
      <c r="S1096" s="1"/>
    </row>
    <row r="1097" spans="19:19" ht="15.75">
      <c r="S1097" s="1"/>
    </row>
    <row r="1098" spans="19:19" ht="15.75">
      <c r="S1098" s="1"/>
    </row>
    <row r="1099" spans="19:19" ht="15.75">
      <c r="S1099" s="1"/>
    </row>
    <row r="1100" spans="19:19" ht="15.75">
      <c r="S1100" s="1"/>
    </row>
    <row r="1101" spans="19:19" ht="15.75">
      <c r="S1101" s="1"/>
    </row>
    <row r="1102" spans="19:19" ht="15.75">
      <c r="S1102" s="1"/>
    </row>
    <row r="1103" spans="19:19" ht="15.75">
      <c r="S1103" s="1"/>
    </row>
    <row r="1104" spans="19:19" ht="15.75">
      <c r="S1104" s="1"/>
    </row>
    <row r="1105" spans="19:19" ht="15.75">
      <c r="S1105" s="1"/>
    </row>
    <row r="1106" spans="19:19" ht="15.75">
      <c r="S1106" s="1"/>
    </row>
    <row r="1107" spans="19:19" ht="15.75">
      <c r="S1107" s="1"/>
    </row>
    <row r="1108" spans="19:19" ht="15.75">
      <c r="S1108" s="1"/>
    </row>
    <row r="1109" spans="19:19" ht="15.75">
      <c r="S1109" s="1"/>
    </row>
    <row r="1110" spans="19:19" ht="15.75">
      <c r="S1110" s="1"/>
    </row>
    <row r="1111" spans="19:19" ht="15.75">
      <c r="S1111" s="1"/>
    </row>
    <row r="1112" spans="19:19" ht="15.75">
      <c r="S1112" s="1"/>
    </row>
    <row r="1113" spans="19:19" ht="15.75">
      <c r="S1113" s="1"/>
    </row>
    <row r="1114" spans="19:19" ht="15.75">
      <c r="S1114" s="1"/>
    </row>
    <row r="1115" spans="19:19" ht="15.75">
      <c r="S1115" s="1"/>
    </row>
    <row r="1116" spans="19:19" ht="15.75">
      <c r="S1116" s="1"/>
    </row>
    <row r="1117" spans="19:19" ht="15.75">
      <c r="S1117" s="1"/>
    </row>
    <row r="1118" spans="19:19" ht="15.75">
      <c r="S1118" s="1"/>
    </row>
    <row r="1119" spans="19:19" ht="15.75">
      <c r="S1119" s="1"/>
    </row>
    <row r="1120" spans="19:19" ht="15.75">
      <c r="S1120" s="1"/>
    </row>
    <row r="1121" spans="19:19" ht="15.75">
      <c r="S1121" s="1"/>
    </row>
    <row r="1122" spans="19:19" ht="15.75">
      <c r="S1122" s="1"/>
    </row>
    <row r="1123" spans="19:19" ht="15.75">
      <c r="S1123" s="1"/>
    </row>
    <row r="1124" spans="19:19" ht="15.75">
      <c r="S1124" s="1"/>
    </row>
    <row r="1125" spans="19:19" ht="15.75">
      <c r="S1125" s="1"/>
    </row>
    <row r="1126" spans="19:19" ht="15.75">
      <c r="S1126" s="1"/>
    </row>
    <row r="1127" spans="19:19" ht="15.75">
      <c r="S1127" s="1"/>
    </row>
    <row r="1128" spans="19:19" ht="15.75">
      <c r="S1128" s="1"/>
    </row>
    <row r="1129" spans="19:19" ht="15.75">
      <c r="S1129" s="1"/>
    </row>
    <row r="1130" spans="19:19" ht="15.75">
      <c r="S1130" s="1"/>
    </row>
    <row r="1131" spans="19:19" ht="15.75">
      <c r="S1131" s="1"/>
    </row>
    <row r="1132" spans="19:19" ht="15.75">
      <c r="S1132" s="1"/>
    </row>
    <row r="1133" spans="19:19" ht="15.75">
      <c r="S1133" s="1"/>
    </row>
    <row r="1134" spans="19:19" ht="15.75">
      <c r="S1134" s="1"/>
    </row>
    <row r="1135" spans="19:19" ht="15.75">
      <c r="S1135" s="1"/>
    </row>
    <row r="1136" spans="19:19" ht="15.75">
      <c r="S1136" s="1"/>
    </row>
    <row r="1137" spans="19:19" ht="15.75">
      <c r="S1137" s="1"/>
    </row>
    <row r="1138" spans="19:19" ht="15.75">
      <c r="S1138" s="1"/>
    </row>
    <row r="1139" spans="19:19" ht="15.75">
      <c r="S1139" s="1"/>
    </row>
    <row r="1140" spans="19:19" ht="15.75">
      <c r="S1140" s="1"/>
    </row>
    <row r="1141" spans="19:19" ht="15.75">
      <c r="S1141" s="1"/>
    </row>
    <row r="1142" spans="19:19" ht="15.75">
      <c r="S1142" s="1"/>
    </row>
    <row r="1143" spans="19:19" ht="15.75">
      <c r="S1143" s="1"/>
    </row>
    <row r="1144" spans="19:19" ht="15.75">
      <c r="S1144" s="1"/>
    </row>
    <row r="1145" spans="19:19" ht="15.75">
      <c r="S1145" s="1"/>
    </row>
    <row r="1146" spans="19:19" ht="15.75">
      <c r="S1146" s="1"/>
    </row>
    <row r="1147" spans="19:19" ht="15.75">
      <c r="S1147" s="1"/>
    </row>
    <row r="1148" spans="19:19" ht="15.75">
      <c r="S1148" s="1"/>
    </row>
    <row r="1149" spans="19:19" ht="15.75">
      <c r="S1149" s="1"/>
    </row>
    <row r="1150" spans="19:19" ht="15.75">
      <c r="S1150" s="1"/>
    </row>
    <row r="1151" spans="19:19" ht="15.75">
      <c r="S1151" s="1"/>
    </row>
    <row r="1152" spans="19:19" ht="15.75">
      <c r="S1152" s="1"/>
    </row>
    <row r="1153" spans="19:19" ht="15.75">
      <c r="S1153" s="1"/>
    </row>
    <row r="1154" spans="19:19" ht="15.75">
      <c r="S1154" s="1"/>
    </row>
    <row r="1155" spans="19:19" ht="15.75">
      <c r="S1155" s="1"/>
    </row>
    <row r="1156" spans="19:19" ht="15.75">
      <c r="S1156" s="1"/>
    </row>
    <row r="1157" spans="19:19" ht="15.75">
      <c r="S1157" s="1"/>
    </row>
    <row r="1158" spans="19:19" ht="15.75">
      <c r="S1158" s="1"/>
    </row>
    <row r="1159" spans="19:19" ht="15.75">
      <c r="S1159" s="1"/>
    </row>
    <row r="1160" spans="19:19" ht="15.75">
      <c r="S1160" s="1"/>
    </row>
    <row r="1161" spans="19:19" ht="15.75">
      <c r="S1161" s="1"/>
    </row>
    <row r="1162" spans="19:19" ht="15.75">
      <c r="S1162" s="1"/>
    </row>
    <row r="1163" spans="19:19" ht="15.75">
      <c r="S1163" s="1"/>
    </row>
    <row r="1164" spans="19:19" ht="15.75">
      <c r="S1164" s="1"/>
    </row>
    <row r="1165" spans="19:19" ht="15.75">
      <c r="S1165" s="1"/>
    </row>
    <row r="1166" spans="19:19" ht="15.75">
      <c r="S1166" s="1"/>
    </row>
    <row r="1167" spans="19:19" ht="15.75">
      <c r="S1167" s="1"/>
    </row>
    <row r="1168" spans="19:19" ht="15.75">
      <c r="S1168" s="1"/>
    </row>
    <row r="1169" spans="19:19" ht="15.75">
      <c r="S1169" s="1"/>
    </row>
    <row r="1170" spans="19:19" ht="15.75">
      <c r="S1170" s="1"/>
    </row>
    <row r="1171" spans="19:19" ht="15.75">
      <c r="S1171" s="1"/>
    </row>
    <row r="1172" spans="19:19" ht="15.75">
      <c r="S1172" s="1"/>
    </row>
    <row r="1173" spans="19:19" ht="15.75">
      <c r="S1173" s="1"/>
    </row>
    <row r="1174" spans="19:19" ht="15.75">
      <c r="S1174" s="1"/>
    </row>
    <row r="1175" spans="19:19" ht="15.75">
      <c r="S1175" s="1"/>
    </row>
    <row r="1176" spans="19:19" ht="15.75">
      <c r="S1176" s="1"/>
    </row>
    <row r="1177" spans="19:19" ht="15.75">
      <c r="S1177" s="1"/>
    </row>
    <row r="1178" spans="19:19" ht="15.75">
      <c r="S1178" s="1"/>
    </row>
    <row r="1179" spans="19:19" ht="15.75">
      <c r="S1179" s="1"/>
    </row>
    <row r="1180" spans="19:19" ht="15.75">
      <c r="S1180" s="1"/>
    </row>
    <row r="1181" spans="19:19" ht="15.75">
      <c r="S1181" s="1"/>
    </row>
    <row r="1182" spans="19:19" ht="15.75">
      <c r="S1182" s="1"/>
    </row>
    <row r="1183" spans="19:19" ht="15.75">
      <c r="S1183" s="1"/>
    </row>
    <row r="1184" spans="19:19" ht="15.75">
      <c r="S1184" s="1"/>
    </row>
    <row r="1185" spans="19:19" ht="15.75">
      <c r="S1185" s="1"/>
    </row>
    <row r="1186" spans="19:19" ht="15.75">
      <c r="S1186" s="1"/>
    </row>
    <row r="1187" spans="19:19" ht="15.75">
      <c r="S1187" s="1"/>
    </row>
    <row r="1188" spans="19:19" ht="15.75">
      <c r="S1188" s="1"/>
    </row>
    <row r="1189" spans="19:19" ht="15.75">
      <c r="S1189" s="1"/>
    </row>
    <row r="1190" spans="19:19" ht="15.75">
      <c r="S1190" s="1"/>
    </row>
    <row r="1191" spans="19:19" ht="15.75">
      <c r="S1191" s="1"/>
    </row>
    <row r="1192" spans="19:19" ht="15.75">
      <c r="S1192" s="1"/>
    </row>
    <row r="1193" spans="19:19" ht="15.75">
      <c r="S1193" s="1"/>
    </row>
    <row r="1194" spans="19:19" ht="15.75">
      <c r="S1194" s="1"/>
    </row>
    <row r="1195" spans="19:19" ht="15.75">
      <c r="S1195" s="1"/>
    </row>
    <row r="1196" spans="19:19" ht="15.75">
      <c r="S1196" s="1"/>
    </row>
    <row r="1197" spans="19:19" ht="15.75">
      <c r="S1197" s="1"/>
    </row>
    <row r="1198" spans="19:19" ht="15.75">
      <c r="S1198" s="1"/>
    </row>
    <row r="1199" spans="19:19" ht="15.75">
      <c r="S1199" s="1"/>
    </row>
    <row r="1200" spans="19:19" ht="15.75">
      <c r="S1200" s="1"/>
    </row>
    <row r="1201" spans="19:19" ht="15.75">
      <c r="S1201" s="1"/>
    </row>
    <row r="1202" spans="19:19" ht="15.75">
      <c r="S1202" s="1"/>
    </row>
    <row r="1203" spans="19:19" ht="15.75">
      <c r="S1203" s="1"/>
    </row>
    <row r="1204" spans="19:19" ht="15.75">
      <c r="S1204" s="1"/>
    </row>
    <row r="1205" spans="19:19" ht="15.75">
      <c r="S1205" s="1"/>
    </row>
    <row r="1206" spans="19:19" ht="15.75">
      <c r="S1206" s="1"/>
    </row>
    <row r="1207" spans="19:19" ht="15.75">
      <c r="S1207" s="1"/>
    </row>
    <row r="1208" spans="19:19" ht="15.75">
      <c r="S1208" s="1"/>
    </row>
    <row r="1209" spans="19:19" ht="15.75">
      <c r="S1209" s="1"/>
    </row>
    <row r="1210" spans="19:19" ht="15.75">
      <c r="S1210" s="1"/>
    </row>
    <row r="1211" spans="19:19" ht="15.75">
      <c r="S1211" s="1"/>
    </row>
    <row r="1212" spans="19:19" ht="15.75">
      <c r="S1212" s="1"/>
    </row>
    <row r="1213" spans="19:19" ht="15.75">
      <c r="S1213" s="1"/>
    </row>
    <row r="1214" spans="19:19" ht="15.75">
      <c r="S1214" s="1"/>
    </row>
    <row r="1215" spans="19:19" ht="15.75">
      <c r="S1215" s="1"/>
    </row>
    <row r="1216" spans="19:19" ht="15.75">
      <c r="S1216" s="1"/>
    </row>
    <row r="1217" spans="19:19" ht="15.75">
      <c r="S1217" s="1"/>
    </row>
    <row r="1218" spans="19:19" ht="15.75">
      <c r="S1218" s="1"/>
    </row>
    <row r="1219" spans="19:19" ht="15.75">
      <c r="S1219" s="1"/>
    </row>
    <row r="1220" spans="19:19" ht="15.75">
      <c r="S1220" s="1"/>
    </row>
    <row r="1221" spans="19:19" ht="15.75">
      <c r="S1221" s="1"/>
    </row>
    <row r="1222" spans="19:19" ht="15.75">
      <c r="S1222" s="1"/>
    </row>
    <row r="1223" spans="19:19" ht="15.75">
      <c r="S1223" s="1"/>
    </row>
    <row r="1224" spans="19:19" ht="15.75">
      <c r="S1224" s="1"/>
    </row>
    <row r="1225" spans="19:19" ht="15.75">
      <c r="S1225" s="1"/>
    </row>
    <row r="1226" spans="19:19" ht="15.75">
      <c r="S1226" s="1"/>
    </row>
    <row r="1227" spans="19:19" ht="15.75">
      <c r="S1227" s="1"/>
    </row>
    <row r="1228" spans="19:19" ht="15.75">
      <c r="S1228" s="1"/>
    </row>
    <row r="1229" spans="19:19" ht="15.75">
      <c r="S1229" s="1"/>
    </row>
    <row r="1230" spans="19:19" ht="15.75">
      <c r="S1230" s="1"/>
    </row>
    <row r="1231" spans="19:19" ht="15.75">
      <c r="S1231" s="1"/>
    </row>
    <row r="1232" spans="19:19" ht="15.75">
      <c r="S1232" s="1"/>
    </row>
    <row r="1233" spans="19:19" ht="15.75">
      <c r="S1233" s="1"/>
    </row>
    <row r="1234" spans="19:19" ht="15.75">
      <c r="S1234" s="1"/>
    </row>
    <row r="1235" spans="19:19" ht="15.75">
      <c r="S1235" s="1"/>
    </row>
    <row r="1236" spans="19:19" ht="15.75">
      <c r="S1236" s="1"/>
    </row>
    <row r="1237" spans="19:19" ht="15.75">
      <c r="S1237" s="1"/>
    </row>
    <row r="1238" spans="19:19" ht="15.75">
      <c r="S1238" s="1"/>
    </row>
    <row r="1239" spans="19:19" ht="15.75">
      <c r="S1239" s="1"/>
    </row>
    <row r="1240" spans="19:19" ht="15.75">
      <c r="S1240" s="1"/>
    </row>
    <row r="1241" spans="19:19" ht="15.75">
      <c r="S1241" s="1"/>
    </row>
    <row r="1242" spans="19:19" ht="15.75">
      <c r="S1242" s="1"/>
    </row>
    <row r="1243" spans="19:19" ht="15.75">
      <c r="S1243" s="1"/>
    </row>
    <row r="1244" spans="19:19" ht="15.75">
      <c r="S1244" s="1"/>
    </row>
    <row r="1245" spans="19:19" ht="15.75">
      <c r="S1245" s="1"/>
    </row>
    <row r="1246" spans="19:19" ht="15.75">
      <c r="S1246" s="1"/>
    </row>
    <row r="1247" spans="19:19" ht="15.75">
      <c r="S1247" s="1"/>
    </row>
    <row r="1248" spans="19:19" ht="15.75">
      <c r="S1248" s="1"/>
    </row>
    <row r="1249" spans="19:19" ht="15.75">
      <c r="S1249" s="1"/>
    </row>
    <row r="1250" spans="19:19" ht="15.75">
      <c r="S1250" s="1"/>
    </row>
    <row r="1251" spans="19:19" ht="15.75">
      <c r="S1251" s="1"/>
    </row>
    <row r="1252" spans="19:19" ht="15.75">
      <c r="S1252" s="1"/>
    </row>
    <row r="1253" spans="19:19" ht="15.75">
      <c r="S1253" s="1"/>
    </row>
    <row r="1254" spans="19:19" ht="15.75">
      <c r="S1254" s="1"/>
    </row>
    <row r="1255" spans="19:19" ht="15.75">
      <c r="S1255" s="1"/>
    </row>
    <row r="1256" spans="19:19" ht="15.75">
      <c r="S1256" s="1"/>
    </row>
    <row r="1257" spans="19:19" ht="15.75">
      <c r="S1257" s="1"/>
    </row>
    <row r="1258" spans="19:19" ht="15.75">
      <c r="S1258" s="1"/>
    </row>
    <row r="1259" spans="19:19" ht="15.75">
      <c r="S1259" s="1"/>
    </row>
    <row r="1260" spans="19:19" ht="15.75">
      <c r="S1260" s="1"/>
    </row>
    <row r="1261" spans="19:19" ht="15.75">
      <c r="S1261" s="1"/>
    </row>
    <row r="1262" spans="19:19" ht="15.75">
      <c r="S1262" s="1"/>
    </row>
    <row r="1263" spans="19:19" ht="15.75">
      <c r="S1263" s="1"/>
    </row>
    <row r="1264" spans="19:19" ht="15.75">
      <c r="S1264" s="1"/>
    </row>
    <row r="1265" spans="19:19" ht="15.75">
      <c r="S1265" s="1"/>
    </row>
    <row r="1266" spans="19:19" ht="15.75">
      <c r="S1266" s="1"/>
    </row>
    <row r="1267" spans="19:19" ht="15.75">
      <c r="S1267" s="1"/>
    </row>
    <row r="1268" spans="19:19" ht="15.75">
      <c r="S1268" s="1"/>
    </row>
    <row r="1269" spans="19:19" ht="15.75">
      <c r="S1269" s="1"/>
    </row>
    <row r="1270" spans="19:19" ht="15.75">
      <c r="S1270" s="1"/>
    </row>
    <row r="1271" spans="19:19" ht="15.75">
      <c r="S1271" s="1"/>
    </row>
    <row r="1272" spans="19:19" ht="15.75">
      <c r="S1272" s="1"/>
    </row>
    <row r="1273" spans="19:19" ht="15.75">
      <c r="S1273" s="1"/>
    </row>
    <row r="1274" spans="19:19" ht="15.75">
      <c r="S1274" s="1"/>
    </row>
    <row r="1275" spans="19:19" ht="15.75">
      <c r="S1275" s="1"/>
    </row>
    <row r="1276" spans="19:19" ht="15.75">
      <c r="S1276" s="1"/>
    </row>
    <row r="1277" spans="19:19" ht="15.75">
      <c r="S1277" s="1"/>
    </row>
    <row r="1278" spans="19:19" ht="15.75">
      <c r="S1278" s="1"/>
    </row>
    <row r="1279" spans="19:19" ht="15.75">
      <c r="S1279" s="1"/>
    </row>
    <row r="1280" spans="19:19" ht="15.75">
      <c r="S1280" s="1"/>
    </row>
    <row r="1281" spans="19:19" ht="15.75">
      <c r="S1281" s="1"/>
    </row>
    <row r="1282" spans="19:19" ht="15.75">
      <c r="S1282" s="1"/>
    </row>
    <row r="1283" spans="19:19" ht="15.75">
      <c r="S1283" s="1"/>
    </row>
    <row r="1284" spans="19:19" ht="15.75">
      <c r="S1284" s="1"/>
    </row>
    <row r="1285" spans="19:19" ht="15.75">
      <c r="S1285" s="1"/>
    </row>
    <row r="1286" spans="19:19" ht="15.75">
      <c r="S1286" s="1"/>
    </row>
    <row r="1287" spans="19:19" ht="15.75">
      <c r="S1287" s="1"/>
    </row>
    <row r="1288" spans="19:19" ht="15.75">
      <c r="S1288" s="1"/>
    </row>
    <row r="1289" spans="19:19" ht="15.75">
      <c r="S1289" s="1"/>
    </row>
    <row r="1290" spans="19:19" ht="15.75">
      <c r="S1290" s="1"/>
    </row>
    <row r="1291" spans="19:19" ht="15.75">
      <c r="S1291" s="1"/>
    </row>
    <row r="1292" spans="19:19" ht="15.75">
      <c r="S1292" s="1"/>
    </row>
    <row r="1293" spans="19:19" ht="15.75">
      <c r="S1293" s="1"/>
    </row>
    <row r="1294" spans="19:19" ht="15.75">
      <c r="S1294" s="1"/>
    </row>
    <row r="1295" spans="19:19" ht="15.75">
      <c r="S1295" s="1"/>
    </row>
    <row r="1296" spans="19:19" ht="15.75">
      <c r="S1296" s="1"/>
    </row>
    <row r="1297" spans="19:19" ht="15.75">
      <c r="S1297" s="1"/>
    </row>
    <row r="1298" spans="19:19" ht="15.75">
      <c r="S1298" s="1"/>
    </row>
    <row r="1299" spans="19:19" ht="15.75">
      <c r="S1299" s="1"/>
    </row>
    <row r="1300" spans="19:19" ht="15.75">
      <c r="S1300" s="1"/>
    </row>
    <row r="1301" spans="19:19" ht="15.75">
      <c r="S1301" s="1"/>
    </row>
    <row r="1302" spans="19:19" ht="15.75">
      <c r="S1302" s="1"/>
    </row>
    <row r="1303" spans="19:19" ht="15.75">
      <c r="S1303" s="1"/>
    </row>
    <row r="1304" spans="19:19" ht="15.75">
      <c r="S1304" s="1"/>
    </row>
    <row r="1305" spans="19:19" ht="15.75">
      <c r="S1305" s="1"/>
    </row>
    <row r="1306" spans="19:19" ht="15.75">
      <c r="S1306" s="1"/>
    </row>
    <row r="1307" spans="19:19" ht="15.75">
      <c r="S1307" s="1"/>
    </row>
    <row r="1308" spans="19:19" ht="15.75">
      <c r="S1308" s="1"/>
    </row>
    <row r="1309" spans="19:19" ht="15.75">
      <c r="S1309" s="1"/>
    </row>
    <row r="1310" spans="19:19" ht="15.75">
      <c r="S1310" s="1"/>
    </row>
    <row r="1311" spans="19:19" ht="15.75">
      <c r="S1311" s="1"/>
    </row>
    <row r="1312" spans="19:19" ht="15.75">
      <c r="S1312" s="1"/>
    </row>
    <row r="1313" spans="19:19" ht="15.75">
      <c r="S1313" s="1"/>
    </row>
    <row r="1314" spans="19:19" ht="15.75">
      <c r="S1314" s="1"/>
    </row>
    <row r="1315" spans="19:19" ht="15.75">
      <c r="S1315" s="1"/>
    </row>
    <row r="1316" spans="19:19" ht="15.75">
      <c r="S1316" s="1"/>
    </row>
    <row r="1317" spans="19:19" ht="15.75">
      <c r="S1317" s="1"/>
    </row>
    <row r="1318" spans="19:19" ht="15.75">
      <c r="S1318" s="1"/>
    </row>
    <row r="1319" spans="19:19" ht="15.75">
      <c r="S1319" s="1"/>
    </row>
    <row r="1320" spans="19:19" ht="15.75">
      <c r="S1320" s="1"/>
    </row>
    <row r="1321" spans="19:19" ht="15.75">
      <c r="S1321" s="1"/>
    </row>
    <row r="1322" spans="19:19" ht="15.75">
      <c r="S1322" s="1"/>
    </row>
    <row r="1323" spans="19:19" ht="15.75">
      <c r="S1323" s="1"/>
    </row>
    <row r="1324" spans="19:19" ht="15.75">
      <c r="S1324" s="1"/>
    </row>
    <row r="1325" spans="19:19" ht="15.75">
      <c r="S1325" s="1"/>
    </row>
    <row r="1326" spans="19:19" ht="15.75">
      <c r="S1326" s="1"/>
    </row>
    <row r="1327" spans="19:19" ht="15.75">
      <c r="S1327" s="1"/>
    </row>
    <row r="1328" spans="19:19" ht="15.75">
      <c r="S1328" s="1"/>
    </row>
    <row r="1329" spans="19:19" ht="15.75">
      <c r="S1329" s="1"/>
    </row>
    <row r="1330" spans="19:19" ht="15.75">
      <c r="S1330" s="1"/>
    </row>
    <row r="1331" spans="19:19" ht="15.75">
      <c r="S1331" s="1"/>
    </row>
    <row r="1332" spans="19:19" ht="15.75">
      <c r="S1332" s="1"/>
    </row>
    <row r="1333" spans="19:19" ht="15.75">
      <c r="S1333" s="1"/>
    </row>
    <row r="1334" spans="19:19" ht="15.75">
      <c r="S1334" s="1"/>
    </row>
    <row r="1335" spans="19:19" ht="15.75">
      <c r="S1335" s="1"/>
    </row>
    <row r="1336" spans="19:19" ht="15.75">
      <c r="S1336" s="1"/>
    </row>
    <row r="1337" spans="19:19" ht="15.75">
      <c r="S1337" s="1"/>
    </row>
    <row r="1338" spans="19:19" ht="15.75">
      <c r="S1338" s="1"/>
    </row>
    <row r="1339" spans="19:19" ht="15.75">
      <c r="S1339" s="1"/>
    </row>
    <row r="1340" spans="19:19" ht="15.75">
      <c r="S1340" s="1"/>
    </row>
    <row r="1341" spans="19:19" ht="15.75">
      <c r="S1341" s="1"/>
    </row>
    <row r="1342" spans="19:19" ht="15.75">
      <c r="S1342" s="1"/>
    </row>
    <row r="1343" spans="19:19" ht="15.75">
      <c r="S1343" s="1"/>
    </row>
    <row r="1344" spans="19:19" ht="15.75">
      <c r="S1344" s="1"/>
    </row>
    <row r="1345" spans="19:19" ht="15.75">
      <c r="S1345" s="1"/>
    </row>
    <row r="1346" spans="19:19" ht="15.75">
      <c r="S1346" s="1"/>
    </row>
    <row r="1347" spans="19:19" ht="15.75">
      <c r="S1347" s="1"/>
    </row>
    <row r="1348" spans="19:19" ht="15.75">
      <c r="S1348" s="1"/>
    </row>
    <row r="1349" spans="19:19" ht="15.75">
      <c r="S1349" s="1"/>
    </row>
    <row r="1350" spans="19:19" ht="15.75">
      <c r="S1350" s="1"/>
    </row>
    <row r="1351" spans="19:19" ht="15.75">
      <c r="S1351" s="1"/>
    </row>
    <row r="1352" spans="19:19" ht="15.75">
      <c r="S1352" s="1"/>
    </row>
    <row r="1353" spans="19:19" ht="15.75">
      <c r="S1353" s="1"/>
    </row>
    <row r="1354" spans="19:19" ht="15.75">
      <c r="S1354" s="1"/>
    </row>
    <row r="1355" spans="19:19" ht="15.75">
      <c r="S1355" s="1"/>
    </row>
    <row r="1356" spans="19:19" ht="15.75">
      <c r="S1356" s="1"/>
    </row>
    <row r="1357" spans="19:19" ht="15.75">
      <c r="S1357" s="1"/>
    </row>
    <row r="1358" spans="19:19" ht="15.75">
      <c r="S1358" s="1"/>
    </row>
    <row r="1359" spans="19:19" ht="15.75">
      <c r="S1359" s="1"/>
    </row>
    <row r="1360" spans="19:19" ht="15.75">
      <c r="S1360" s="1"/>
    </row>
    <row r="1361" spans="19:19" ht="15.75">
      <c r="S1361" s="1"/>
    </row>
    <row r="1362" spans="19:19" ht="15.75">
      <c r="S1362" s="1"/>
    </row>
    <row r="1363" spans="19:19" ht="15.75">
      <c r="S1363" s="1"/>
    </row>
    <row r="1364" spans="19:19" ht="15.75">
      <c r="S1364" s="1"/>
    </row>
    <row r="1365" spans="19:19" ht="15.75">
      <c r="S1365" s="1"/>
    </row>
    <row r="1366" spans="19:19" ht="15.75">
      <c r="S1366" s="1"/>
    </row>
    <row r="1367" spans="19:19" ht="15.75">
      <c r="S1367" s="1"/>
    </row>
    <row r="1368" spans="19:19" ht="15.75">
      <c r="S1368" s="1"/>
    </row>
    <row r="1369" spans="19:19" ht="15.75">
      <c r="S1369" s="1"/>
    </row>
    <row r="1370" spans="19:19" ht="15.75">
      <c r="S1370" s="1"/>
    </row>
    <row r="1371" spans="19:19" ht="15.75">
      <c r="S1371" s="1"/>
    </row>
    <row r="1372" spans="19:19" ht="15.75">
      <c r="S1372" s="1"/>
    </row>
    <row r="1373" spans="19:19" ht="15.75">
      <c r="S1373" s="1"/>
    </row>
    <row r="1374" spans="19:19" ht="15.75">
      <c r="S1374" s="1"/>
    </row>
    <row r="1375" spans="19:19" ht="15.75">
      <c r="S1375" s="1"/>
    </row>
    <row r="1376" spans="19:19" ht="15.75">
      <c r="S1376" s="1"/>
    </row>
    <row r="1377" spans="19:19" ht="15.75">
      <c r="S1377" s="1"/>
    </row>
    <row r="1378" spans="19:19" ht="15.75">
      <c r="S1378" s="1"/>
    </row>
    <row r="1379" spans="19:19" ht="15.75">
      <c r="S1379" s="1"/>
    </row>
    <row r="1380" spans="19:19" ht="15.75">
      <c r="S1380" s="1"/>
    </row>
    <row r="1381" spans="19:19" ht="15.75">
      <c r="S1381" s="1"/>
    </row>
    <row r="1382" spans="19:19" ht="15.75">
      <c r="S1382" s="1"/>
    </row>
    <row r="1383" spans="19:19" ht="15.75">
      <c r="S1383" s="1"/>
    </row>
    <row r="1384" spans="19:19" ht="15.75">
      <c r="S1384" s="1"/>
    </row>
    <row r="1385" spans="19:19" ht="15.75">
      <c r="S1385" s="1"/>
    </row>
    <row r="1386" spans="19:19" ht="15.75">
      <c r="S1386" s="1"/>
    </row>
    <row r="1387" spans="19:19" ht="15.75">
      <c r="S1387" s="1"/>
    </row>
    <row r="1388" spans="19:19" ht="15.75">
      <c r="S1388" s="1"/>
    </row>
    <row r="1389" spans="19:19" ht="15.75">
      <c r="S1389" s="1"/>
    </row>
    <row r="1390" spans="19:19" ht="15.75">
      <c r="S1390" s="1"/>
    </row>
    <row r="1391" spans="19:19" ht="15.75">
      <c r="S1391" s="1"/>
    </row>
    <row r="1392" spans="19:19" ht="15.75">
      <c r="S1392" s="1"/>
    </row>
    <row r="1393" spans="19:19" ht="15.75">
      <c r="S1393" s="1"/>
    </row>
    <row r="1394" spans="19:19" ht="15.75">
      <c r="S1394" s="1"/>
    </row>
    <row r="1395" spans="19:19" ht="15.75">
      <c r="S1395" s="1"/>
    </row>
    <row r="1396" spans="19:19" ht="15.75">
      <c r="S1396" s="1"/>
    </row>
    <row r="1397" spans="19:19" ht="15.75">
      <c r="S1397" s="1"/>
    </row>
    <row r="1398" spans="19:19" ht="15.75">
      <c r="S1398" s="1"/>
    </row>
    <row r="1399" spans="19:19" ht="15.75">
      <c r="S1399" s="1"/>
    </row>
    <row r="1400" spans="19:19" ht="15.75">
      <c r="S1400" s="1"/>
    </row>
    <row r="1401" spans="19:19" ht="15.75">
      <c r="S1401" s="1"/>
    </row>
    <row r="1402" spans="19:19" ht="15.75">
      <c r="S1402" s="1"/>
    </row>
    <row r="1403" spans="19:19" ht="15.75">
      <c r="S1403" s="1"/>
    </row>
    <row r="1404" spans="19:19" ht="15.75">
      <c r="S1404" s="1"/>
    </row>
    <row r="1405" spans="19:19" ht="15.75">
      <c r="S1405" s="1"/>
    </row>
    <row r="1406" spans="19:19" ht="15.75">
      <c r="S1406" s="1"/>
    </row>
    <row r="1407" spans="19:19" ht="15.75">
      <c r="S1407" s="1"/>
    </row>
    <row r="1408" spans="19:19" ht="15.75">
      <c r="S1408" s="1"/>
    </row>
    <row r="1409" spans="19:19" ht="15.75">
      <c r="S1409" s="1"/>
    </row>
    <row r="1410" spans="19:19" ht="15.75">
      <c r="S1410" s="1"/>
    </row>
    <row r="1411" spans="19:19" ht="15.75">
      <c r="S1411" s="1"/>
    </row>
    <row r="1412" spans="19:19" ht="15.75">
      <c r="S1412" s="1"/>
    </row>
    <row r="1413" spans="19:19" ht="15.75">
      <c r="S1413" s="1"/>
    </row>
    <row r="1414" spans="19:19" ht="15.75">
      <c r="S1414" s="1"/>
    </row>
    <row r="1415" spans="19:19" ht="15.75">
      <c r="S1415" s="1"/>
    </row>
    <row r="1416" spans="19:19" ht="15.75">
      <c r="S1416" s="1"/>
    </row>
    <row r="1417" spans="19:19" ht="15.75">
      <c r="S1417" s="1"/>
    </row>
    <row r="1418" spans="19:19" ht="15.75">
      <c r="S1418" s="1"/>
    </row>
    <row r="1419" spans="19:19" ht="15.75">
      <c r="S1419" s="1"/>
    </row>
    <row r="1420" spans="19:19" ht="15.75">
      <c r="S1420" s="1"/>
    </row>
    <row r="1421" spans="19:19" ht="15.75">
      <c r="S1421" s="1"/>
    </row>
    <row r="1422" spans="19:19" ht="15.75">
      <c r="S1422" s="1"/>
    </row>
    <row r="1423" spans="19:19" ht="15.75">
      <c r="S1423" s="1"/>
    </row>
    <row r="1424" spans="19:19" ht="15.75">
      <c r="S1424" s="1"/>
    </row>
    <row r="1425" spans="19:19" ht="15.75">
      <c r="S1425" s="1"/>
    </row>
    <row r="1426" spans="19:19" ht="15.75">
      <c r="S1426" s="1"/>
    </row>
    <row r="1427" spans="19:19" ht="15.75">
      <c r="S1427" s="1"/>
    </row>
    <row r="1428" spans="19:19" ht="15.75">
      <c r="S1428" s="1"/>
    </row>
    <row r="1429" spans="19:19" ht="15.75">
      <c r="S1429" s="1"/>
    </row>
    <row r="1430" spans="19:19" ht="15.75">
      <c r="S1430" s="1"/>
    </row>
    <row r="1431" spans="19:19" ht="15.75">
      <c r="S1431" s="1"/>
    </row>
    <row r="1432" spans="19:19" ht="15.75">
      <c r="S1432" s="1"/>
    </row>
    <row r="1433" spans="19:19" ht="15.75">
      <c r="S1433" s="1"/>
    </row>
    <row r="1434" spans="19:19" ht="15.75">
      <c r="S1434" s="1"/>
    </row>
    <row r="1435" spans="19:19" ht="15.75">
      <c r="S1435" s="1"/>
    </row>
    <row r="1436" spans="19:19" ht="15.75">
      <c r="S1436" s="1"/>
    </row>
    <row r="1437" spans="19:19" ht="15.75">
      <c r="S1437" s="1"/>
    </row>
    <row r="1438" spans="19:19" ht="15.75">
      <c r="S1438" s="1"/>
    </row>
    <row r="1439" spans="19:19" ht="15.75">
      <c r="S1439" s="1"/>
    </row>
    <row r="1440" spans="19:19" ht="15.75">
      <c r="S1440" s="1"/>
    </row>
    <row r="1441" spans="19:19" ht="15.75">
      <c r="S1441" s="1"/>
    </row>
    <row r="1442" spans="19:19" ht="15.75">
      <c r="S1442" s="1"/>
    </row>
    <row r="1443" spans="19:19" ht="15.75">
      <c r="S1443" s="1"/>
    </row>
    <row r="1444" spans="19:19" ht="15.75">
      <c r="S1444" s="1"/>
    </row>
    <row r="1445" spans="19:19" ht="15.75">
      <c r="S1445" s="1"/>
    </row>
    <row r="1446" spans="19:19" ht="15.75">
      <c r="S1446" s="1"/>
    </row>
    <row r="1447" spans="19:19" ht="15.75">
      <c r="S1447" s="1"/>
    </row>
    <row r="1448" spans="19:19" ht="15.75">
      <c r="S1448" s="1"/>
    </row>
    <row r="1449" spans="19:19" ht="15.75">
      <c r="S1449" s="1"/>
    </row>
    <row r="1450" spans="19:19" ht="15.75">
      <c r="S1450" s="1"/>
    </row>
    <row r="1451" spans="19:19" ht="15.75">
      <c r="S1451" s="1"/>
    </row>
    <row r="1452" spans="19:19" ht="15.75">
      <c r="S1452" s="1"/>
    </row>
    <row r="1453" spans="19:19" ht="15.75">
      <c r="S1453" s="1"/>
    </row>
    <row r="1454" spans="19:19" ht="15.75">
      <c r="S1454" s="1"/>
    </row>
    <row r="1455" spans="19:19" ht="15.75">
      <c r="S1455" s="1"/>
    </row>
    <row r="1456" spans="19:19" ht="15.75">
      <c r="S1456" s="1"/>
    </row>
    <row r="1457" spans="19:19" ht="15.75">
      <c r="S1457" s="1"/>
    </row>
    <row r="1458" spans="19:19" ht="15.75">
      <c r="S1458" s="1"/>
    </row>
    <row r="1459" spans="19:19" ht="15.75">
      <c r="S1459" s="1"/>
    </row>
    <row r="1460" spans="19:19" ht="15.75">
      <c r="S1460" s="1"/>
    </row>
    <row r="1461" spans="19:19" ht="15.75">
      <c r="S1461" s="1"/>
    </row>
    <row r="1462" spans="19:19" ht="15.75">
      <c r="S1462" s="1"/>
    </row>
    <row r="1463" spans="19:19" ht="15.75">
      <c r="S1463" s="1"/>
    </row>
    <row r="1464" spans="19:19" ht="15.75">
      <c r="S1464" s="1"/>
    </row>
    <row r="1465" spans="19:19" ht="15.75">
      <c r="S1465" s="1"/>
    </row>
    <row r="1466" spans="19:19" ht="15.75">
      <c r="S1466" s="1"/>
    </row>
    <row r="1467" spans="19:19" ht="15.75">
      <c r="S1467" s="1"/>
    </row>
    <row r="1468" spans="19:19" ht="15.75">
      <c r="S1468" s="1"/>
    </row>
    <row r="1469" spans="19:19" ht="15.75">
      <c r="S1469" s="1"/>
    </row>
    <row r="1470" spans="19:19" ht="15.75">
      <c r="S1470" s="1"/>
    </row>
    <row r="1471" spans="19:19" ht="15.75">
      <c r="S1471" s="1"/>
    </row>
    <row r="1472" spans="19:19" ht="15.75">
      <c r="S1472" s="1"/>
    </row>
    <row r="1473" spans="19:19" ht="15.75">
      <c r="S1473" s="1"/>
    </row>
    <row r="1474" spans="19:19" ht="15.75">
      <c r="S1474" s="1"/>
    </row>
    <row r="1475" spans="19:19" ht="15.75">
      <c r="S1475" s="1"/>
    </row>
    <row r="1476" spans="19:19" ht="15.75">
      <c r="S1476" s="1"/>
    </row>
    <row r="1477" spans="19:19" ht="15.75">
      <c r="S1477" s="1"/>
    </row>
    <row r="1478" spans="19:19" ht="15.75">
      <c r="S1478" s="1"/>
    </row>
    <row r="1479" spans="19:19" ht="15.75">
      <c r="S1479" s="1"/>
    </row>
    <row r="1480" spans="19:19" ht="15.75">
      <c r="S1480" s="1"/>
    </row>
    <row r="1481" spans="19:19" ht="15.75">
      <c r="S1481" s="1"/>
    </row>
    <row r="1482" spans="19:19" ht="15.75">
      <c r="S1482" s="1"/>
    </row>
    <row r="1483" spans="19:19" ht="15.75">
      <c r="S1483" s="1"/>
    </row>
    <row r="1484" spans="19:19" ht="15.75">
      <c r="S1484" s="1"/>
    </row>
    <row r="1485" spans="19:19" ht="15.75">
      <c r="S1485" s="1"/>
    </row>
    <row r="1486" spans="19:19" ht="15.75">
      <c r="S1486" s="1"/>
    </row>
    <row r="1487" spans="19:19" ht="15.75">
      <c r="S1487" s="1"/>
    </row>
    <row r="1488" spans="19:19" ht="15.75">
      <c r="S1488" s="1"/>
    </row>
    <row r="1489" spans="19:19" ht="15.75">
      <c r="S1489" s="1"/>
    </row>
    <row r="1490" spans="19:19" ht="15.75">
      <c r="S1490" s="1"/>
    </row>
    <row r="1491" spans="19:19" ht="15.75">
      <c r="S1491" s="1"/>
    </row>
    <row r="1492" spans="19:19" ht="15.75">
      <c r="S1492" s="1"/>
    </row>
    <row r="1493" spans="19:19" ht="15.75">
      <c r="S1493" s="1"/>
    </row>
    <row r="1494" spans="19:19" ht="15.75">
      <c r="S1494" s="1"/>
    </row>
    <row r="1495" spans="19:19" ht="15.75">
      <c r="S1495" s="1"/>
    </row>
    <row r="1496" spans="19:19" ht="15.75">
      <c r="S1496" s="1"/>
    </row>
    <row r="1497" spans="19:19" ht="15.75">
      <c r="S1497" s="1"/>
    </row>
    <row r="1498" spans="19:19" ht="15.75">
      <c r="S1498" s="1"/>
    </row>
    <row r="1499" spans="19:19" ht="15.75">
      <c r="S1499" s="1"/>
    </row>
    <row r="1500" spans="19:19" ht="15.75">
      <c r="S1500" s="1"/>
    </row>
    <row r="1501" spans="19:19" ht="15.75">
      <c r="S1501" s="1"/>
    </row>
    <row r="1502" spans="19:19" ht="15.75">
      <c r="S1502" s="1"/>
    </row>
    <row r="1503" spans="19:19" ht="15.75">
      <c r="S1503" s="1"/>
    </row>
    <row r="1504" spans="19:19" ht="15.75">
      <c r="S1504" s="1"/>
    </row>
    <row r="1505" spans="19:19" ht="15.75">
      <c r="S1505" s="1"/>
    </row>
    <row r="1506" spans="19:19" ht="15.75">
      <c r="S1506" s="1"/>
    </row>
    <row r="1507" spans="19:19" ht="15.75">
      <c r="S1507" s="1"/>
    </row>
    <row r="1508" spans="19:19" ht="15.75">
      <c r="S1508" s="1"/>
    </row>
    <row r="1509" spans="19:19" ht="15.75">
      <c r="S1509" s="1"/>
    </row>
    <row r="1510" spans="19:19" ht="15.75">
      <c r="S1510" s="1"/>
    </row>
    <row r="1511" spans="19:19" ht="15.75">
      <c r="S1511" s="1"/>
    </row>
    <row r="1512" spans="19:19" ht="15.75">
      <c r="S1512" s="1"/>
    </row>
    <row r="1513" spans="19:19" ht="15.75">
      <c r="S1513" s="1"/>
    </row>
    <row r="1514" spans="19:19" ht="15.75">
      <c r="S1514" s="1"/>
    </row>
    <row r="1515" spans="19:19" ht="15.75">
      <c r="S1515" s="1"/>
    </row>
    <row r="1516" spans="19:19" ht="15.75">
      <c r="S1516" s="1"/>
    </row>
    <row r="1517" spans="19:19" ht="15.75">
      <c r="S1517" s="1"/>
    </row>
    <row r="1518" spans="19:19" ht="15.75">
      <c r="S1518" s="1"/>
    </row>
    <row r="1519" spans="19:19" ht="15.75">
      <c r="S1519" s="1"/>
    </row>
    <row r="1520" spans="19:19" ht="15.75">
      <c r="S1520" s="1"/>
    </row>
    <row r="1521" spans="19:19" ht="15.75">
      <c r="S1521" s="1"/>
    </row>
    <row r="1522" spans="19:19" ht="15.75">
      <c r="S1522" s="1"/>
    </row>
    <row r="1523" spans="19:19" ht="15.75">
      <c r="S1523" s="1"/>
    </row>
    <row r="1524" spans="19:19" ht="15.75">
      <c r="S1524" s="1"/>
    </row>
    <row r="1525" spans="19:19" ht="15.75">
      <c r="S1525" s="1"/>
    </row>
    <row r="1526" spans="19:19" ht="15.75">
      <c r="S1526" s="1"/>
    </row>
    <row r="1527" spans="19:19" ht="15.75">
      <c r="S1527" s="1"/>
    </row>
    <row r="1528" spans="19:19" ht="15.75">
      <c r="S1528" s="1"/>
    </row>
    <row r="1529" spans="19:19" ht="15.75">
      <c r="S1529" s="1"/>
    </row>
    <row r="1530" spans="19:19" ht="15.75">
      <c r="S1530" s="1"/>
    </row>
    <row r="1531" spans="19:19" ht="15.75">
      <c r="S1531" s="1"/>
    </row>
    <row r="1532" spans="19:19" ht="15.75">
      <c r="S1532" s="1"/>
    </row>
    <row r="1533" spans="19:19" ht="15.75">
      <c r="S1533" s="1"/>
    </row>
    <row r="1534" spans="19:19" ht="15.75">
      <c r="S1534" s="1"/>
    </row>
    <row r="1535" spans="19:19" ht="15.75">
      <c r="S1535" s="1"/>
    </row>
    <row r="1536" spans="19:19" ht="15.75">
      <c r="S1536" s="1"/>
    </row>
    <row r="1537" spans="19:19" ht="15.75">
      <c r="S1537" s="1"/>
    </row>
    <row r="1538" spans="19:19" ht="15.75">
      <c r="S1538" s="1"/>
    </row>
    <row r="1539" spans="19:19" ht="15.75">
      <c r="S1539" s="1"/>
    </row>
    <row r="1540" spans="19:19" ht="15.75">
      <c r="S1540" s="1"/>
    </row>
    <row r="1541" spans="19:19" ht="15.75">
      <c r="S1541" s="1"/>
    </row>
    <row r="1542" spans="19:19" ht="15.75">
      <c r="S1542" s="1"/>
    </row>
    <row r="1543" spans="19:19" ht="15.75">
      <c r="S1543" s="1"/>
    </row>
    <row r="1544" spans="19:19" ht="15.75">
      <c r="S1544" s="1"/>
    </row>
    <row r="1545" spans="19:19" ht="15.75">
      <c r="S1545" s="1"/>
    </row>
    <row r="1546" spans="19:19" ht="15.75">
      <c r="S1546" s="1"/>
    </row>
    <row r="1547" spans="19:19" ht="15.75">
      <c r="S1547" s="1"/>
    </row>
    <row r="1548" spans="19:19" ht="15.75">
      <c r="S1548" s="1"/>
    </row>
    <row r="1549" spans="19:19" ht="15.75">
      <c r="S1549" s="1"/>
    </row>
    <row r="1550" spans="19:19" ht="15.75">
      <c r="S1550" s="1"/>
    </row>
    <row r="1551" spans="19:19" ht="15.75">
      <c r="S1551" s="1"/>
    </row>
    <row r="1552" spans="19:19" ht="15.75">
      <c r="S1552" s="1"/>
    </row>
    <row r="1553" spans="19:19" ht="15.75">
      <c r="S1553" s="1"/>
    </row>
    <row r="1554" spans="19:19" ht="15.75">
      <c r="S1554" s="1"/>
    </row>
    <row r="1555" spans="19:19" ht="15.75">
      <c r="S1555" s="1"/>
    </row>
    <row r="1556" spans="19:19" ht="15.75">
      <c r="S1556" s="1"/>
    </row>
    <row r="1557" spans="19:19" ht="15.75">
      <c r="S1557" s="1"/>
    </row>
    <row r="1558" spans="19:19" ht="15.75">
      <c r="S1558" s="1"/>
    </row>
    <row r="1559" spans="19:19" ht="15.75">
      <c r="S1559" s="1"/>
    </row>
    <row r="1560" spans="19:19" ht="15.75">
      <c r="S1560" s="1"/>
    </row>
    <row r="1561" spans="19:19" ht="15.75">
      <c r="S1561" s="1"/>
    </row>
    <row r="1562" spans="19:19" ht="15.75">
      <c r="S1562" s="1"/>
    </row>
    <row r="1563" spans="19:19" ht="15.75">
      <c r="S1563" s="1"/>
    </row>
    <row r="1564" spans="19:19" ht="15.75">
      <c r="S1564" s="1"/>
    </row>
    <row r="1565" spans="19:19" ht="15.75">
      <c r="S1565" s="1"/>
    </row>
    <row r="1566" spans="19:19" ht="15.75">
      <c r="S1566" s="1"/>
    </row>
    <row r="1567" spans="19:19" ht="15.75">
      <c r="S1567" s="1"/>
    </row>
    <row r="1568" spans="19:19" ht="15.75">
      <c r="S1568" s="1"/>
    </row>
    <row r="1569" spans="19:19" ht="15.75">
      <c r="S1569" s="1"/>
    </row>
    <row r="1570" spans="19:19" ht="15.75">
      <c r="S1570" s="1"/>
    </row>
    <row r="1571" spans="19:19" ht="15.75">
      <c r="S1571" s="1"/>
    </row>
    <row r="1572" spans="19:19" ht="15.75">
      <c r="S1572" s="1"/>
    </row>
    <row r="1573" spans="19:19" ht="15.75">
      <c r="S1573" s="1"/>
    </row>
    <row r="1574" spans="19:19" ht="15.75">
      <c r="S1574" s="1"/>
    </row>
    <row r="1575" spans="19:19" ht="15.75">
      <c r="S1575" s="1"/>
    </row>
    <row r="1576" spans="19:19" ht="15.75">
      <c r="S1576" s="1"/>
    </row>
    <row r="1577" spans="19:19" ht="15.75">
      <c r="S1577" s="1"/>
    </row>
    <row r="1578" spans="19:19" ht="15.75">
      <c r="S1578" s="1"/>
    </row>
    <row r="1579" spans="19:19" ht="15.75">
      <c r="S1579" s="1"/>
    </row>
    <row r="1580" spans="19:19" ht="15.75">
      <c r="S1580" s="1"/>
    </row>
    <row r="1581" spans="19:19" ht="15.75">
      <c r="S1581" s="1"/>
    </row>
    <row r="1582" spans="19:19" ht="15.75">
      <c r="S1582" s="1"/>
    </row>
    <row r="1583" spans="19:19" ht="15.75">
      <c r="S1583" s="1"/>
    </row>
    <row r="1584" spans="19:19" ht="15.75">
      <c r="S1584" s="1"/>
    </row>
    <row r="1585" spans="19:19" ht="15.75">
      <c r="S1585" s="1"/>
    </row>
    <row r="1586" spans="19:19" ht="15.75">
      <c r="S1586" s="1"/>
    </row>
    <row r="1587" spans="19:19" ht="15.75">
      <c r="S1587" s="1"/>
    </row>
    <row r="1588" spans="19:19" ht="15.75">
      <c r="S1588" s="1"/>
    </row>
    <row r="1589" spans="19:19" ht="15.75">
      <c r="S1589" s="1"/>
    </row>
    <row r="1590" spans="19:19" ht="15.75">
      <c r="S1590" s="1"/>
    </row>
    <row r="1591" spans="19:19" ht="15.75">
      <c r="S1591" s="1"/>
    </row>
    <row r="1592" spans="19:19" ht="15.75">
      <c r="S1592" s="1"/>
    </row>
    <row r="1593" spans="19:19" ht="15.75">
      <c r="S1593" s="1"/>
    </row>
    <row r="1594" spans="19:19" ht="15.75">
      <c r="S1594" s="1"/>
    </row>
    <row r="1595" spans="19:19" ht="15.75">
      <c r="S1595" s="1"/>
    </row>
    <row r="1596" spans="19:19" ht="15.75">
      <c r="S1596" s="1"/>
    </row>
    <row r="1597" spans="19:19" ht="15.75">
      <c r="S1597" s="1"/>
    </row>
    <row r="1598" spans="19:19" ht="15.75">
      <c r="S1598" s="1"/>
    </row>
    <row r="1599" spans="19:19" ht="15.75">
      <c r="S1599" s="1"/>
    </row>
    <row r="1600" spans="19:19" ht="15.75">
      <c r="S1600" s="1"/>
    </row>
    <row r="1601" spans="19:19" ht="15.75">
      <c r="S1601" s="1"/>
    </row>
    <row r="1602" spans="19:19" ht="15.75">
      <c r="S1602" s="1"/>
    </row>
    <row r="1603" spans="19:19" ht="15.75">
      <c r="S1603" s="1"/>
    </row>
    <row r="1604" spans="19:19" ht="15.75">
      <c r="S1604" s="1"/>
    </row>
    <row r="1605" spans="19:19" ht="15.75">
      <c r="S1605" s="1"/>
    </row>
    <row r="1606" spans="19:19" ht="15.75">
      <c r="S1606" s="1"/>
    </row>
    <row r="1607" spans="19:19" ht="15.75">
      <c r="S1607" s="1"/>
    </row>
    <row r="1608" spans="19:19" ht="15.75">
      <c r="S1608" s="1"/>
    </row>
    <row r="1609" spans="19:19" ht="15.75">
      <c r="S1609" s="1"/>
    </row>
    <row r="1610" spans="19:19" ht="15.75">
      <c r="S1610" s="1"/>
    </row>
    <row r="1611" spans="19:19" ht="15.75">
      <c r="S1611" s="1"/>
    </row>
    <row r="1612" spans="19:19" ht="15.75">
      <c r="S1612" s="1"/>
    </row>
    <row r="1613" spans="19:19" ht="15.75">
      <c r="S1613" s="1"/>
    </row>
    <row r="1614" spans="19:19" ht="15.75">
      <c r="S1614" s="1"/>
    </row>
    <row r="1615" spans="19:19" ht="15.75">
      <c r="S1615" s="1"/>
    </row>
    <row r="1616" spans="19:19" ht="15.75">
      <c r="S1616" s="1"/>
    </row>
    <row r="1617" spans="19:19" ht="15.75">
      <c r="S1617" s="1"/>
    </row>
    <row r="1618" spans="19:19" ht="15.75">
      <c r="S1618" s="1"/>
    </row>
    <row r="1619" spans="19:19" ht="15.75">
      <c r="S1619" s="1"/>
    </row>
    <row r="1620" spans="19:19" ht="15.75">
      <c r="S1620" s="1"/>
    </row>
    <row r="1621" spans="19:19" ht="15.75">
      <c r="S1621" s="1"/>
    </row>
    <row r="1622" spans="19:19" ht="15.75">
      <c r="S1622" s="1"/>
    </row>
    <row r="1623" spans="19:19" ht="15.75">
      <c r="S1623" s="1"/>
    </row>
    <row r="1624" spans="19:19" ht="15.75">
      <c r="S1624" s="1"/>
    </row>
    <row r="1625" spans="19:19" ht="15.75">
      <c r="S1625" s="1"/>
    </row>
    <row r="1626" spans="19:19" ht="15.75">
      <c r="S1626" s="1"/>
    </row>
    <row r="1627" spans="19:19" ht="15.75">
      <c r="S1627" s="1"/>
    </row>
    <row r="1628" spans="19:19" ht="15.75">
      <c r="S1628" s="1"/>
    </row>
    <row r="1629" spans="19:19" ht="15.75">
      <c r="S1629" s="1"/>
    </row>
    <row r="1630" spans="19:19" ht="15.75">
      <c r="S1630" s="1"/>
    </row>
    <row r="1631" spans="19:19" ht="15.75">
      <c r="S1631" s="1"/>
    </row>
    <row r="1632" spans="19:19" ht="15.75">
      <c r="S1632" s="1"/>
    </row>
    <row r="1633" spans="19:19" ht="15.75">
      <c r="S1633" s="1"/>
    </row>
    <row r="1634" spans="19:19" ht="15.75">
      <c r="S1634" s="1"/>
    </row>
    <row r="1635" spans="19:19" ht="15.75">
      <c r="S1635" s="1"/>
    </row>
    <row r="1636" spans="19:19" ht="15.75">
      <c r="S1636" s="1"/>
    </row>
    <row r="1637" spans="19:19" ht="15.75">
      <c r="S1637" s="1"/>
    </row>
    <row r="1638" spans="19:19" ht="15.75">
      <c r="S1638" s="1"/>
    </row>
    <row r="1639" spans="19:19" ht="15.75">
      <c r="S1639" s="1"/>
    </row>
    <row r="1640" spans="19:19" ht="15.75">
      <c r="S1640" s="1"/>
    </row>
    <row r="1641" spans="19:19" ht="15.75">
      <c r="S1641" s="1"/>
    </row>
    <row r="1642" spans="19:19" ht="15.75">
      <c r="S1642" s="1"/>
    </row>
    <row r="1643" spans="19:19" ht="15.75">
      <c r="S1643" s="1"/>
    </row>
    <row r="1644" spans="19:19" ht="15.75">
      <c r="S1644" s="1"/>
    </row>
    <row r="1645" spans="19:19" ht="15.75">
      <c r="S1645" s="1"/>
    </row>
    <row r="1646" spans="19:19" ht="15.75">
      <c r="S1646" s="1"/>
    </row>
    <row r="1647" spans="19:19" ht="15.75">
      <c r="S1647" s="1"/>
    </row>
    <row r="1648" spans="19:19" ht="15.75">
      <c r="S1648" s="1"/>
    </row>
    <row r="1649" spans="19:19" ht="15.75">
      <c r="S1649" s="1"/>
    </row>
    <row r="1650" spans="19:19" ht="15.75">
      <c r="S1650" s="1"/>
    </row>
    <row r="1651" spans="19:19" ht="15.75">
      <c r="S1651" s="1"/>
    </row>
    <row r="1652" spans="19:19" ht="15.75">
      <c r="S1652" s="1"/>
    </row>
    <row r="1653" spans="19:19" ht="15.75">
      <c r="S1653" s="1"/>
    </row>
    <row r="1654" spans="19:19" ht="15.75">
      <c r="S1654" s="1"/>
    </row>
    <row r="1655" spans="19:19" ht="15.75">
      <c r="S1655" s="1"/>
    </row>
    <row r="1656" spans="19:19" ht="15.75">
      <c r="S1656" s="1"/>
    </row>
    <row r="1657" spans="19:19" ht="15.75">
      <c r="S1657" s="1"/>
    </row>
    <row r="1658" spans="19:19" ht="15.75">
      <c r="S1658" s="1"/>
    </row>
    <row r="1659" spans="19:19" ht="15.75">
      <c r="S1659" s="1"/>
    </row>
    <row r="1660" spans="19:19" ht="15.75">
      <c r="S1660" s="1"/>
    </row>
    <row r="1661" spans="19:19" ht="15.75">
      <c r="S1661" s="1"/>
    </row>
    <row r="1662" spans="19:19" ht="15.75">
      <c r="S1662" s="1"/>
    </row>
    <row r="1663" spans="19:19" ht="15.75">
      <c r="S1663" s="1"/>
    </row>
    <row r="1664" spans="19:19" ht="15.75">
      <c r="S1664" s="1"/>
    </row>
    <row r="1665" spans="19:19" ht="15.75">
      <c r="S1665" s="1"/>
    </row>
    <row r="1666" spans="19:19" ht="15.75">
      <c r="S1666" s="1"/>
    </row>
    <row r="1667" spans="19:19" ht="15.75">
      <c r="S1667" s="1"/>
    </row>
    <row r="1668" spans="19:19" ht="15.75">
      <c r="S1668" s="1"/>
    </row>
    <row r="1669" spans="19:19" ht="15.75">
      <c r="S1669" s="1"/>
    </row>
    <row r="1670" spans="19:19" ht="15.75">
      <c r="S1670" s="1"/>
    </row>
    <row r="1671" spans="19:19" ht="15.75">
      <c r="S1671" s="1"/>
    </row>
    <row r="1672" spans="19:19" ht="15.75">
      <c r="S1672" s="1"/>
    </row>
    <row r="1673" spans="19:19" ht="15.75">
      <c r="S1673" s="1"/>
    </row>
    <row r="1674" spans="19:19" ht="15.75">
      <c r="S1674" s="1"/>
    </row>
    <row r="1675" spans="19:19" ht="15.75">
      <c r="S1675" s="1"/>
    </row>
    <row r="1676" spans="19:19" ht="15.75">
      <c r="S1676" s="1"/>
    </row>
    <row r="1677" spans="19:19" ht="15.75">
      <c r="S1677" s="1"/>
    </row>
    <row r="1678" spans="19:19" ht="15.75">
      <c r="S1678" s="1"/>
    </row>
    <row r="1679" spans="19:19" ht="15.75">
      <c r="S1679" s="1"/>
    </row>
    <row r="1680" spans="19:19" ht="15.75">
      <c r="S1680" s="1"/>
    </row>
    <row r="1681" spans="19:19" ht="15.75">
      <c r="S1681" s="1"/>
    </row>
    <row r="1682" spans="19:19" ht="15.75">
      <c r="S1682" s="1"/>
    </row>
    <row r="1683" spans="19:19" ht="15.75">
      <c r="S1683" s="1"/>
    </row>
    <row r="1684" spans="19:19" ht="15.75">
      <c r="S1684" s="1"/>
    </row>
    <row r="1685" spans="19:19" ht="15.75">
      <c r="S1685" s="1"/>
    </row>
    <row r="1686" spans="19:19" ht="15.75">
      <c r="S1686" s="1"/>
    </row>
    <row r="1687" spans="19:19" ht="15.75">
      <c r="S1687" s="1"/>
    </row>
    <row r="1688" spans="19:19" ht="15.75">
      <c r="S1688" s="1"/>
    </row>
    <row r="1689" spans="19:19" ht="15.75">
      <c r="S1689" s="1"/>
    </row>
    <row r="1690" spans="19:19" ht="15.75">
      <c r="S1690" s="1"/>
    </row>
    <row r="1691" spans="19:19" ht="15.75">
      <c r="S1691" s="1"/>
    </row>
    <row r="1692" spans="19:19" ht="15.75">
      <c r="S1692" s="1"/>
    </row>
    <row r="1693" spans="19:19" ht="15.75">
      <c r="S1693" s="1"/>
    </row>
    <row r="1694" spans="19:19" ht="15.75">
      <c r="S1694" s="1"/>
    </row>
    <row r="1695" spans="19:19" ht="15.75">
      <c r="S1695" s="1"/>
    </row>
    <row r="1696" spans="19:19" ht="15.75">
      <c r="S1696" s="1"/>
    </row>
    <row r="1697" spans="19:19" ht="15.75">
      <c r="S1697" s="1"/>
    </row>
    <row r="1698" spans="19:19" ht="15.75">
      <c r="S1698" s="1"/>
    </row>
    <row r="1699" spans="19:19" ht="15.75">
      <c r="S1699" s="1"/>
    </row>
    <row r="1700" spans="19:19" ht="15.75">
      <c r="S1700" s="1"/>
    </row>
    <row r="1701" spans="19:19" ht="15.75">
      <c r="S1701" s="1"/>
    </row>
    <row r="1702" spans="19:19" ht="15.75">
      <c r="S1702" s="1"/>
    </row>
    <row r="1703" spans="19:19" ht="15.75">
      <c r="S1703" s="1"/>
    </row>
    <row r="1704" spans="19:19" ht="15.75">
      <c r="S1704" s="1"/>
    </row>
    <row r="1705" spans="19:19" ht="15.75">
      <c r="S1705" s="1"/>
    </row>
    <row r="1706" spans="19:19" ht="15.75">
      <c r="S1706" s="1"/>
    </row>
    <row r="1707" spans="19:19" ht="15.75">
      <c r="S1707" s="1"/>
    </row>
    <row r="1708" spans="19:19" ht="15.75">
      <c r="S1708" s="1"/>
    </row>
    <row r="1709" spans="19:19" ht="15.75">
      <c r="S1709" s="1"/>
    </row>
    <row r="1710" spans="19:19" ht="15.75">
      <c r="S1710" s="1"/>
    </row>
    <row r="1711" spans="19:19" ht="15.75">
      <c r="S1711" s="1"/>
    </row>
    <row r="1712" spans="19:19" ht="15.75">
      <c r="S1712" s="1"/>
    </row>
    <row r="1713" spans="19:19" ht="15.75">
      <c r="S1713" s="1"/>
    </row>
    <row r="1714" spans="19:19" ht="15.75">
      <c r="S1714" s="1"/>
    </row>
    <row r="1715" spans="19:19" ht="15.75">
      <c r="S1715" s="1"/>
    </row>
    <row r="1716" spans="19:19" ht="15.75">
      <c r="S1716" s="1"/>
    </row>
    <row r="1717" spans="19:19" ht="15.75">
      <c r="S1717" s="1"/>
    </row>
    <row r="1718" spans="19:19" ht="15.75">
      <c r="S1718" s="1"/>
    </row>
    <row r="1719" spans="19:19" ht="15.75">
      <c r="S1719" s="1"/>
    </row>
    <row r="1720" spans="19:19" ht="15.75">
      <c r="S1720" s="1"/>
    </row>
    <row r="1721" spans="19:19" ht="15.75">
      <c r="S1721" s="1"/>
    </row>
    <row r="1722" spans="19:19" ht="15.75">
      <c r="S1722" s="1"/>
    </row>
    <row r="1723" spans="19:19" ht="15.75">
      <c r="S1723" s="1"/>
    </row>
    <row r="1724" spans="19:19" ht="15.75">
      <c r="S1724" s="1"/>
    </row>
    <row r="1725" spans="19:19" ht="15.75">
      <c r="S1725" s="1"/>
    </row>
    <row r="1726" spans="19:19" ht="15.75">
      <c r="S1726" s="1"/>
    </row>
    <row r="1727" spans="19:19" ht="15.75">
      <c r="S1727" s="1"/>
    </row>
    <row r="1728" spans="19:19" ht="15.75">
      <c r="S1728" s="1"/>
    </row>
    <row r="1729" spans="19:19" ht="15.75">
      <c r="S1729" s="1"/>
    </row>
    <row r="1730" spans="19:19" ht="15.75">
      <c r="S1730" s="1"/>
    </row>
    <row r="1731" spans="19:19" ht="15.75">
      <c r="S1731" s="1"/>
    </row>
    <row r="1732" spans="19:19" ht="15.75">
      <c r="S1732" s="1"/>
    </row>
    <row r="1733" spans="19:19" ht="15.75">
      <c r="S1733" s="1"/>
    </row>
    <row r="1734" spans="19:19" ht="15.75">
      <c r="S1734" s="1"/>
    </row>
    <row r="1735" spans="19:19" ht="15.75">
      <c r="S1735" s="1"/>
    </row>
    <row r="1736" spans="19:19" ht="15.75">
      <c r="S1736" s="1"/>
    </row>
    <row r="1737" spans="19:19" ht="15.75">
      <c r="S1737" s="1"/>
    </row>
    <row r="1738" spans="19:19" ht="15.75">
      <c r="S1738" s="1"/>
    </row>
    <row r="1739" spans="19:19" ht="15.75">
      <c r="S1739" s="1"/>
    </row>
    <row r="1740" spans="19:19" ht="15.75">
      <c r="S1740" s="1"/>
    </row>
    <row r="1741" spans="19:19" ht="15.75">
      <c r="S1741" s="1"/>
    </row>
    <row r="1742" spans="19:19" ht="15.75">
      <c r="S1742" s="1"/>
    </row>
    <row r="1743" spans="19:19" ht="15.75">
      <c r="S1743" s="1"/>
    </row>
    <row r="1744" spans="19:19" ht="15.75">
      <c r="S1744" s="1"/>
    </row>
    <row r="1745" spans="19:19" ht="15.75">
      <c r="S1745" s="1"/>
    </row>
    <row r="1746" spans="19:19" ht="15.75">
      <c r="S1746" s="1"/>
    </row>
    <row r="1747" spans="19:19" ht="15.75">
      <c r="S1747" s="1"/>
    </row>
    <row r="1748" spans="19:19" ht="15.75">
      <c r="S1748" s="1"/>
    </row>
    <row r="1749" spans="19:19" ht="15.75">
      <c r="S1749" s="1"/>
    </row>
    <row r="1750" spans="19:19" ht="15.75">
      <c r="S1750" s="1"/>
    </row>
    <row r="1751" spans="19:19" ht="15.75">
      <c r="S1751" s="1"/>
    </row>
    <row r="1752" spans="19:19" ht="15.75">
      <c r="S1752" s="1"/>
    </row>
    <row r="1753" spans="19:19" ht="15.75">
      <c r="S1753" s="1"/>
    </row>
    <row r="1754" spans="19:19" ht="15.75">
      <c r="S1754" s="1"/>
    </row>
    <row r="1755" spans="19:19" ht="15.75">
      <c r="S1755" s="1"/>
    </row>
    <row r="1756" spans="19:19" ht="15.75">
      <c r="S1756" s="1"/>
    </row>
    <row r="1757" spans="19:19" ht="15.75">
      <c r="S1757" s="1"/>
    </row>
    <row r="1758" spans="19:19" ht="15.75">
      <c r="S1758" s="1"/>
    </row>
    <row r="1759" spans="19:19" ht="15.75">
      <c r="S1759" s="1"/>
    </row>
    <row r="1760" spans="19:19" ht="15.75">
      <c r="S1760" s="1"/>
    </row>
    <row r="1761" spans="19:19" ht="15.75">
      <c r="S1761" s="1"/>
    </row>
    <row r="1762" spans="19:19" ht="15.75">
      <c r="S1762" s="1"/>
    </row>
    <row r="1763" spans="19:19" ht="15.75">
      <c r="S1763" s="1"/>
    </row>
    <row r="1764" spans="19:19" ht="15.75">
      <c r="S1764" s="1"/>
    </row>
    <row r="1765" spans="19:19" ht="15.75">
      <c r="S1765" s="1"/>
    </row>
    <row r="1766" spans="19:19" ht="15.75">
      <c r="S1766" s="1"/>
    </row>
    <row r="1767" spans="19:19" ht="15.75">
      <c r="S1767" s="1"/>
    </row>
    <row r="1768" spans="19:19" ht="15.75">
      <c r="S1768" s="1"/>
    </row>
    <row r="1769" spans="19:19" ht="15.75">
      <c r="S1769" s="1"/>
    </row>
    <row r="1770" spans="19:19" ht="15.75">
      <c r="S1770" s="1"/>
    </row>
    <row r="1771" spans="19:19" ht="15.75">
      <c r="S1771" s="1"/>
    </row>
    <row r="1772" spans="19:19" ht="15.75">
      <c r="S1772" s="1"/>
    </row>
    <row r="1773" spans="19:19" ht="15.75">
      <c r="S1773" s="1"/>
    </row>
    <row r="1774" spans="19:19" ht="15.75">
      <c r="S1774" s="1"/>
    </row>
    <row r="1775" spans="19:19" ht="15.75">
      <c r="S1775" s="1"/>
    </row>
    <row r="1776" spans="19:19" ht="15.75">
      <c r="S1776" s="1"/>
    </row>
    <row r="1777" spans="19:19" ht="15.75">
      <c r="S1777" s="1"/>
    </row>
    <row r="1778" spans="19:19" ht="15.75">
      <c r="S1778" s="1"/>
    </row>
    <row r="1779" spans="19:19" ht="15.75">
      <c r="S1779" s="1"/>
    </row>
    <row r="1780" spans="19:19" ht="15.75">
      <c r="S1780" s="1"/>
    </row>
    <row r="1781" spans="19:19" ht="15.75">
      <c r="S1781" s="1"/>
    </row>
    <row r="1782" spans="19:19" ht="15.75">
      <c r="S1782" s="1"/>
    </row>
    <row r="1783" spans="19:19" ht="15.75">
      <c r="S1783" s="1"/>
    </row>
    <row r="1784" spans="19:19" ht="15.75">
      <c r="S1784" s="1"/>
    </row>
    <row r="1785" spans="19:19" ht="15.75">
      <c r="S1785" s="1"/>
    </row>
    <row r="1786" spans="19:19" ht="15.75">
      <c r="S1786" s="1"/>
    </row>
    <row r="1787" spans="19:19" ht="15.75">
      <c r="S1787" s="1"/>
    </row>
    <row r="1788" spans="19:19" ht="15.75">
      <c r="S1788" s="1"/>
    </row>
    <row r="1789" spans="19:19" ht="15.75">
      <c r="S1789" s="1"/>
    </row>
    <row r="1790" spans="19:19" ht="15.75">
      <c r="S1790" s="1"/>
    </row>
    <row r="1791" spans="19:19" ht="15.75">
      <c r="S1791" s="1"/>
    </row>
    <row r="1792" spans="19:19" ht="15.75">
      <c r="S1792" s="1"/>
    </row>
    <row r="1793" spans="19:19" ht="15.75">
      <c r="S1793" s="1"/>
    </row>
    <row r="1794" spans="19:19" ht="15.75">
      <c r="S1794" s="1"/>
    </row>
    <row r="1795" spans="19:19" ht="15.75">
      <c r="S1795" s="1"/>
    </row>
    <row r="1796" spans="19:19" ht="15.75">
      <c r="S1796" s="1"/>
    </row>
    <row r="1797" spans="19:19" ht="15.75">
      <c r="S1797" s="1"/>
    </row>
    <row r="1798" spans="19:19" ht="15.75">
      <c r="S1798" s="1"/>
    </row>
    <row r="1799" spans="19:19" ht="15.75">
      <c r="S1799" s="1"/>
    </row>
    <row r="1800" spans="19:19" ht="15.75">
      <c r="S1800" s="1"/>
    </row>
    <row r="1801" spans="19:19" ht="15.75">
      <c r="S1801" s="1"/>
    </row>
    <row r="1802" spans="19:19" ht="15.75">
      <c r="S1802" s="1"/>
    </row>
    <row r="1803" spans="19:19" ht="15.75">
      <c r="S1803" s="1"/>
    </row>
    <row r="1804" spans="19:19" ht="15.75">
      <c r="S1804" s="1"/>
    </row>
    <row r="1805" spans="19:19" ht="15.75">
      <c r="S1805" s="1"/>
    </row>
    <row r="1806" spans="19:19" ht="15.75">
      <c r="S1806" s="1"/>
    </row>
    <row r="1807" spans="19:19" ht="15.75">
      <c r="S1807" s="1"/>
    </row>
    <row r="1808" spans="19:19" ht="15.75">
      <c r="S1808" s="1"/>
    </row>
    <row r="1809" spans="19:19" ht="15.75">
      <c r="S1809" s="1"/>
    </row>
    <row r="1810" spans="19:19" ht="15.75">
      <c r="S1810" s="1"/>
    </row>
    <row r="1811" spans="19:19" ht="15.75">
      <c r="S1811" s="1"/>
    </row>
    <row r="1812" spans="19:19" ht="15.75">
      <c r="S1812" s="1"/>
    </row>
    <row r="1813" spans="19:19" ht="15.75">
      <c r="S1813" s="1"/>
    </row>
    <row r="1814" spans="19:19" ht="15.75">
      <c r="S1814" s="1"/>
    </row>
    <row r="1815" spans="19:19" ht="15.75">
      <c r="S1815" s="1"/>
    </row>
    <row r="1816" spans="19:19" ht="15.75">
      <c r="S1816" s="1"/>
    </row>
    <row r="1817" spans="19:19" ht="15.75">
      <c r="S1817" s="1"/>
    </row>
    <row r="1818" spans="19:19" ht="15.75">
      <c r="S1818" s="1"/>
    </row>
    <row r="1819" spans="19:19" ht="15.75">
      <c r="S1819" s="1"/>
    </row>
    <row r="1820" spans="19:19" ht="15.75">
      <c r="S1820" s="1"/>
    </row>
    <row r="1821" spans="19:19" ht="15.75">
      <c r="S1821" s="1"/>
    </row>
    <row r="1822" spans="19:19" ht="15.75">
      <c r="S1822" s="1"/>
    </row>
    <row r="1823" spans="19:19" ht="15.75">
      <c r="S1823" s="1"/>
    </row>
    <row r="1824" spans="19:19" ht="15.75">
      <c r="S1824" s="1"/>
    </row>
    <row r="1825" spans="19:19" ht="15.75">
      <c r="S1825" s="1"/>
    </row>
    <row r="1826" spans="19:19" ht="15.75">
      <c r="S1826" s="1"/>
    </row>
    <row r="1827" spans="19:19" ht="15.75">
      <c r="S1827" s="1"/>
    </row>
    <row r="1828" spans="19:19" ht="15.75">
      <c r="S1828" s="1"/>
    </row>
    <row r="1829" spans="19:19" ht="15.75">
      <c r="S1829" s="1"/>
    </row>
    <row r="1830" spans="19:19" ht="15.75">
      <c r="S1830" s="1"/>
    </row>
    <row r="1831" spans="19:19" ht="15.75">
      <c r="S1831" s="1"/>
    </row>
    <row r="1832" spans="19:19" ht="15.75">
      <c r="S1832" s="1"/>
    </row>
    <row r="1833" spans="19:19" ht="15.75">
      <c r="S1833" s="1"/>
    </row>
    <row r="1834" spans="19:19" ht="15.75">
      <c r="S1834" s="1"/>
    </row>
    <row r="1835" spans="19:19" ht="15.75">
      <c r="S1835" s="1"/>
    </row>
    <row r="1836" spans="19:19" ht="15.75">
      <c r="S1836" s="1"/>
    </row>
    <row r="1837" spans="19:19" ht="15.75">
      <c r="S1837" s="1"/>
    </row>
    <row r="1838" spans="19:19" ht="15.75">
      <c r="S1838" s="1"/>
    </row>
    <row r="1839" spans="19:19" ht="15.75">
      <c r="S1839" s="1"/>
    </row>
    <row r="1840" spans="19:19" ht="15.75">
      <c r="S1840" s="1"/>
    </row>
    <row r="1841" spans="19:19" ht="15.75">
      <c r="S1841" s="1"/>
    </row>
    <row r="1842" spans="19:19" ht="15.75">
      <c r="S1842" s="1"/>
    </row>
    <row r="1843" spans="19:19" ht="15.75">
      <c r="S1843" s="1"/>
    </row>
    <row r="1844" spans="19:19" ht="15.75">
      <c r="S1844" s="1"/>
    </row>
    <row r="1845" spans="19:19" ht="15.75">
      <c r="S1845" s="1"/>
    </row>
    <row r="1846" spans="19:19" ht="15.75">
      <c r="S1846" s="1"/>
    </row>
    <row r="1847" spans="19:19" ht="15.75">
      <c r="S1847" s="1"/>
    </row>
    <row r="1848" spans="19:19" ht="15.75">
      <c r="S1848" s="1"/>
    </row>
    <row r="1849" spans="19:19" ht="15.75">
      <c r="S1849" s="1"/>
    </row>
    <row r="1850" spans="19:19" ht="15.75">
      <c r="S1850" s="1"/>
    </row>
    <row r="1851" spans="19:19" ht="15.75">
      <c r="S1851" s="1"/>
    </row>
    <row r="1852" spans="19:19" ht="15.75">
      <c r="S1852" s="1"/>
    </row>
    <row r="1853" spans="19:19" ht="15.75">
      <c r="S1853" s="1"/>
    </row>
    <row r="1854" spans="19:19" ht="15.75">
      <c r="S1854" s="1"/>
    </row>
    <row r="1855" spans="19:19" ht="15.75">
      <c r="S1855" s="1"/>
    </row>
    <row r="1856" spans="19:19" ht="15.75">
      <c r="S1856" s="1"/>
    </row>
    <row r="1857" spans="19:19" ht="15.75">
      <c r="S1857" s="1"/>
    </row>
    <row r="1858" spans="19:19" ht="15.75">
      <c r="S1858" s="1"/>
    </row>
    <row r="1859" spans="19:19" ht="15.75">
      <c r="S1859" s="1"/>
    </row>
    <row r="1860" spans="19:19" ht="15.75">
      <c r="S1860" s="1"/>
    </row>
    <row r="1861" spans="19:19" ht="15.75">
      <c r="S1861" s="1"/>
    </row>
    <row r="1862" spans="19:19" ht="15.75">
      <c r="S1862" s="1"/>
    </row>
    <row r="1863" spans="19:19" ht="15.75">
      <c r="S1863" s="1"/>
    </row>
    <row r="1864" spans="19:19" ht="15.75">
      <c r="S1864" s="1"/>
    </row>
    <row r="1865" spans="19:19" ht="15.75">
      <c r="S1865" s="1"/>
    </row>
    <row r="1866" spans="19:19" ht="15.75">
      <c r="S1866" s="1"/>
    </row>
    <row r="1867" spans="19:19" ht="15.75">
      <c r="S1867" s="1"/>
    </row>
    <row r="1868" spans="19:19" ht="15.75">
      <c r="S1868" s="1"/>
    </row>
    <row r="1869" spans="19:19" ht="15.75">
      <c r="S1869" s="1"/>
    </row>
    <row r="1870" spans="19:19" ht="15.75">
      <c r="S1870" s="1"/>
    </row>
    <row r="1871" spans="19:19" ht="15.75">
      <c r="S1871" s="1"/>
    </row>
    <row r="1872" spans="19:19" ht="15.75">
      <c r="S1872" s="1"/>
    </row>
    <row r="1873" spans="19:19" ht="15.75">
      <c r="S1873" s="1"/>
    </row>
    <row r="1874" spans="19:19" ht="15.75">
      <c r="S1874" s="1"/>
    </row>
    <row r="1875" spans="19:19" ht="15.75">
      <c r="S1875" s="1"/>
    </row>
    <row r="1876" spans="19:19" ht="15.75">
      <c r="S1876" s="1"/>
    </row>
    <row r="1877" spans="19:19" ht="15.75">
      <c r="S1877" s="1"/>
    </row>
    <row r="1878" spans="19:19" ht="15.75">
      <c r="S1878" s="1"/>
    </row>
    <row r="1879" spans="19:19" ht="15.75">
      <c r="S1879" s="1"/>
    </row>
    <row r="1880" spans="19:19" ht="15.75">
      <c r="S1880" s="1"/>
    </row>
    <row r="1881" spans="19:19" ht="15.75">
      <c r="S1881" s="1"/>
    </row>
    <row r="1882" spans="19:19" ht="15.75">
      <c r="S1882" s="1"/>
    </row>
    <row r="1883" spans="19:19" ht="15.75">
      <c r="S1883" s="1"/>
    </row>
    <row r="1884" spans="19:19" ht="15.75">
      <c r="S1884" s="1"/>
    </row>
    <row r="1885" spans="19:19" ht="15.75">
      <c r="S1885" s="1"/>
    </row>
    <row r="1886" spans="19:19" ht="15.75">
      <c r="S1886" s="1"/>
    </row>
    <row r="1887" spans="19:19" ht="15.75">
      <c r="S1887" s="1"/>
    </row>
    <row r="1888" spans="19:19" ht="15.75">
      <c r="S1888" s="1"/>
    </row>
    <row r="1889" spans="19:19" ht="15.75">
      <c r="S1889" s="1"/>
    </row>
    <row r="1890" spans="19:19" ht="15.75">
      <c r="S1890" s="1"/>
    </row>
    <row r="1891" spans="19:19" ht="15.75">
      <c r="S1891" s="1"/>
    </row>
    <row r="1892" spans="19:19" ht="15.75">
      <c r="S1892" s="1"/>
    </row>
    <row r="1893" spans="19:19" ht="15.75">
      <c r="S1893" s="1"/>
    </row>
    <row r="1894" spans="19:19" ht="15.75">
      <c r="S1894" s="1"/>
    </row>
    <row r="1895" spans="19:19" ht="15.75">
      <c r="S1895" s="1"/>
    </row>
    <row r="1896" spans="19:19" ht="15.75">
      <c r="S1896" s="1"/>
    </row>
    <row r="1897" spans="19:19" ht="15.75">
      <c r="S1897" s="1"/>
    </row>
    <row r="1898" spans="19:19" ht="15.75">
      <c r="S1898" s="1"/>
    </row>
    <row r="1899" spans="19:19" ht="15.75">
      <c r="S1899" s="1"/>
    </row>
    <row r="1900" spans="19:19" ht="15.75">
      <c r="S1900" s="1"/>
    </row>
    <row r="1901" spans="19:19" ht="15.75">
      <c r="S1901" s="1"/>
    </row>
    <row r="1902" spans="19:19" ht="15.75">
      <c r="S1902" s="1"/>
    </row>
    <row r="1903" spans="19:19" ht="15.75">
      <c r="S1903" s="1"/>
    </row>
    <row r="1904" spans="19:19" ht="15.75">
      <c r="S1904" s="1"/>
    </row>
    <row r="1905" spans="19:19" ht="15.75">
      <c r="S1905" s="1"/>
    </row>
    <row r="1906" spans="19:19" ht="15.75">
      <c r="S1906" s="1"/>
    </row>
    <row r="1907" spans="19:19" ht="15.75">
      <c r="S1907" s="1"/>
    </row>
    <row r="1908" spans="19:19" ht="15.75">
      <c r="S1908" s="1"/>
    </row>
    <row r="1909" spans="19:19" ht="15.75">
      <c r="S1909" s="1"/>
    </row>
    <row r="1910" spans="19:19" ht="15.75">
      <c r="S1910" s="1"/>
    </row>
    <row r="1911" spans="19:19" ht="15.75">
      <c r="S1911" s="1"/>
    </row>
    <row r="1912" spans="19:19" ht="15.75">
      <c r="S1912" s="1"/>
    </row>
    <row r="1913" spans="19:19" ht="15.75">
      <c r="S1913" s="1"/>
    </row>
    <row r="1914" spans="19:19" ht="15.75">
      <c r="S1914" s="1"/>
    </row>
    <row r="1915" spans="19:19" ht="15.75">
      <c r="S1915" s="1"/>
    </row>
    <row r="1916" spans="19:19" ht="15.75">
      <c r="S1916" s="1"/>
    </row>
    <row r="1917" spans="19:19" ht="15.75">
      <c r="S1917" s="1"/>
    </row>
    <row r="1918" spans="19:19" ht="15.75">
      <c r="S1918" s="1"/>
    </row>
    <row r="1919" spans="19:19" ht="15.75">
      <c r="S1919" s="1"/>
    </row>
    <row r="1920" spans="19:19" ht="15.75">
      <c r="S1920" s="1"/>
    </row>
    <row r="1921" spans="19:19" ht="15.75">
      <c r="S1921" s="1"/>
    </row>
    <row r="1922" spans="19:19" ht="15.75">
      <c r="S1922" s="1"/>
    </row>
    <row r="1923" spans="19:19" ht="15.75">
      <c r="S1923" s="1"/>
    </row>
    <row r="1924" spans="19:19" ht="15.75">
      <c r="S1924" s="1"/>
    </row>
    <row r="1925" spans="19:19" ht="15.75">
      <c r="S1925" s="1"/>
    </row>
    <row r="1926" spans="19:19" ht="15.75">
      <c r="S1926" s="1"/>
    </row>
    <row r="1927" spans="19:19" ht="15.75">
      <c r="S1927" s="1"/>
    </row>
    <row r="1928" spans="19:19" ht="15.75">
      <c r="S1928" s="1"/>
    </row>
    <row r="1929" spans="19:19" ht="15.75">
      <c r="S1929" s="1"/>
    </row>
    <row r="1930" spans="19:19" ht="15.75">
      <c r="S1930" s="1"/>
    </row>
    <row r="1931" spans="19:19" ht="15.75">
      <c r="S1931" s="1"/>
    </row>
    <row r="1932" spans="19:19" ht="15.75">
      <c r="S1932" s="1"/>
    </row>
    <row r="1933" spans="19:19" ht="15.75">
      <c r="S1933" s="1"/>
    </row>
    <row r="1934" spans="19:19" ht="15.75">
      <c r="S1934" s="1"/>
    </row>
    <row r="1935" spans="19:19" ht="15.75">
      <c r="S1935" s="1"/>
    </row>
    <row r="1936" spans="19:19" ht="15.75">
      <c r="S1936" s="1"/>
    </row>
    <row r="1937" spans="19:19" ht="15.75">
      <c r="S1937" s="1"/>
    </row>
    <row r="1938" spans="19:19" ht="15.75">
      <c r="S1938" s="1"/>
    </row>
    <row r="1939" spans="19:19" ht="15.75">
      <c r="S1939" s="1"/>
    </row>
    <row r="1940" spans="19:19" ht="15.75">
      <c r="S1940" s="1"/>
    </row>
    <row r="1941" spans="19:19" ht="15.75">
      <c r="S1941" s="1"/>
    </row>
    <row r="1942" spans="19:19" ht="15.75">
      <c r="S1942" s="1"/>
    </row>
    <row r="1943" spans="19:19" ht="15.75">
      <c r="S1943" s="1"/>
    </row>
    <row r="1944" spans="19:19" ht="15.75">
      <c r="S1944" s="1"/>
    </row>
    <row r="1945" spans="19:19" ht="15.75">
      <c r="S1945" s="1"/>
    </row>
    <row r="1946" spans="19:19" ht="15.75">
      <c r="S1946" s="1"/>
    </row>
    <row r="1947" spans="19:19" ht="15.75">
      <c r="S1947" s="1"/>
    </row>
    <row r="1948" spans="19:19" ht="15.75">
      <c r="S1948" s="1"/>
    </row>
    <row r="1949" spans="19:19" ht="15.75">
      <c r="S1949" s="1"/>
    </row>
    <row r="1950" spans="19:19" ht="15.75">
      <c r="S1950" s="1"/>
    </row>
    <row r="1951" spans="19:19" ht="15.75">
      <c r="S1951" s="1"/>
    </row>
    <row r="1952" spans="19:19" ht="15.75">
      <c r="S1952" s="1"/>
    </row>
    <row r="1953" spans="19:19" ht="15.75">
      <c r="S1953" s="1"/>
    </row>
    <row r="1954" spans="19:19" ht="15.75">
      <c r="S1954" s="1"/>
    </row>
    <row r="1955" spans="19:19" ht="15.75">
      <c r="S1955" s="1"/>
    </row>
    <row r="1956" spans="19:19" ht="15.75">
      <c r="S1956" s="1"/>
    </row>
    <row r="1957" spans="19:19" ht="15.75">
      <c r="S1957" s="1"/>
    </row>
    <row r="1958" spans="19:19" ht="15.75">
      <c r="S1958" s="1"/>
    </row>
    <row r="1959" spans="19:19" ht="15.75">
      <c r="S1959" s="1"/>
    </row>
    <row r="1960" spans="19:19" ht="15.75">
      <c r="S1960" s="1"/>
    </row>
    <row r="1961" spans="19:19" ht="15.75">
      <c r="S1961" s="1"/>
    </row>
    <row r="1962" spans="19:19" ht="15.75">
      <c r="S1962" s="1"/>
    </row>
    <row r="1963" spans="19:19" ht="15.75">
      <c r="S1963" s="1"/>
    </row>
    <row r="1964" spans="19:19" ht="15.75">
      <c r="S1964" s="1"/>
    </row>
    <row r="1965" spans="19:19" ht="15.75">
      <c r="S1965" s="1"/>
    </row>
    <row r="1966" spans="19:19" ht="15.75">
      <c r="S1966" s="1"/>
    </row>
    <row r="1967" spans="19:19" ht="15.75">
      <c r="S1967" s="1"/>
    </row>
    <row r="1968" spans="19:19" ht="15.75">
      <c r="S1968" s="1"/>
    </row>
    <row r="1969" spans="19:19" ht="15.75">
      <c r="S1969" s="1"/>
    </row>
    <row r="1970" spans="19:19" ht="15.75">
      <c r="S1970" s="1"/>
    </row>
    <row r="1971" spans="19:19" ht="15.75">
      <c r="S1971" s="1"/>
    </row>
    <row r="1972" spans="19:19" ht="15.75">
      <c r="S1972" s="1"/>
    </row>
    <row r="1973" spans="19:19" ht="15.75">
      <c r="S1973" s="1"/>
    </row>
    <row r="1974" spans="19:19" ht="15.75">
      <c r="S1974" s="1"/>
    </row>
    <row r="1975" spans="19:19" ht="15.75">
      <c r="S1975" s="1"/>
    </row>
    <row r="1976" spans="19:19" ht="15.75">
      <c r="S1976" s="1"/>
    </row>
    <row r="1977" spans="19:19" ht="15.75">
      <c r="S1977" s="1"/>
    </row>
    <row r="1978" spans="19:19" ht="15.75">
      <c r="S1978" s="1"/>
    </row>
    <row r="1979" spans="19:19" ht="15.75">
      <c r="S1979" s="1"/>
    </row>
    <row r="1980" spans="19:19" ht="15.75">
      <c r="S1980" s="1"/>
    </row>
    <row r="1981" spans="19:19" ht="15.75">
      <c r="S1981" s="1"/>
    </row>
    <row r="1982" spans="19:19" ht="15.75">
      <c r="S1982" s="1"/>
    </row>
    <row r="1983" spans="19:19" ht="15.75">
      <c r="S1983" s="1"/>
    </row>
    <row r="1984" spans="19:19" ht="15.75">
      <c r="S1984" s="1"/>
    </row>
    <row r="1985" spans="19:19" ht="15.75">
      <c r="S1985" s="1"/>
    </row>
    <row r="1986" spans="19:19" ht="15.75">
      <c r="S1986" s="1"/>
    </row>
    <row r="1987" spans="19:19" ht="15.75">
      <c r="S1987" s="1"/>
    </row>
    <row r="1988" spans="19:19" ht="15.75">
      <c r="S1988" s="1"/>
    </row>
    <row r="1989" spans="19:19" ht="15.75">
      <c r="S1989" s="1"/>
    </row>
    <row r="1990" spans="19:19" ht="15.75">
      <c r="S1990" s="1"/>
    </row>
    <row r="1991" spans="19:19" ht="15.75">
      <c r="S1991" s="1"/>
    </row>
    <row r="1992" spans="19:19" ht="15.75">
      <c r="S1992" s="1"/>
    </row>
    <row r="1993" spans="19:19" ht="15.75">
      <c r="S1993" s="1"/>
    </row>
    <row r="1994" spans="19:19" ht="15.75">
      <c r="S1994" s="1"/>
    </row>
    <row r="1995" spans="19:19" ht="15.75">
      <c r="S1995" s="1"/>
    </row>
    <row r="1996" spans="19:19" ht="15.75">
      <c r="S1996" s="1"/>
    </row>
    <row r="1997" spans="19:19" ht="15.75">
      <c r="S1997" s="1"/>
    </row>
    <row r="1998" spans="19:19" ht="15.75">
      <c r="S1998" s="1"/>
    </row>
    <row r="1999" spans="19:19" ht="15.75">
      <c r="S1999" s="1"/>
    </row>
    <row r="2000" spans="19:19" ht="15.75">
      <c r="S2000" s="1"/>
    </row>
    <row r="2001" spans="19:19" ht="15.75">
      <c r="S2001" s="1"/>
    </row>
    <row r="2002" spans="19:19" ht="15.75">
      <c r="S2002" s="1"/>
    </row>
    <row r="2003" spans="19:19" ht="15.75">
      <c r="S2003" s="1"/>
    </row>
    <row r="2004" spans="19:19" ht="15.75">
      <c r="S2004" s="1"/>
    </row>
    <row r="2005" spans="19:19" ht="15.75">
      <c r="S2005" s="1"/>
    </row>
    <row r="2006" spans="19:19" ht="15.75">
      <c r="S2006" s="1"/>
    </row>
    <row r="2007" spans="19:19" ht="15.75">
      <c r="S2007" s="1"/>
    </row>
    <row r="2008" spans="19:19" ht="15.75">
      <c r="S2008" s="1"/>
    </row>
    <row r="2009" spans="19:19" ht="15.75">
      <c r="S2009" s="1"/>
    </row>
    <row r="2010" spans="19:19" ht="15.75">
      <c r="S2010" s="1"/>
    </row>
    <row r="2011" spans="19:19" ht="15.75">
      <c r="S2011" s="1"/>
    </row>
    <row r="2012" spans="19:19" ht="15.75">
      <c r="S2012" s="1"/>
    </row>
    <row r="2013" spans="19:19" ht="15.75">
      <c r="S2013" s="1"/>
    </row>
    <row r="2014" spans="19:19" ht="15.75">
      <c r="S2014" s="1"/>
    </row>
    <row r="2015" spans="19:19" ht="15.75">
      <c r="S2015" s="1"/>
    </row>
    <row r="2016" spans="19:19" ht="15.75">
      <c r="S2016" s="1"/>
    </row>
    <row r="2017" spans="19:19" ht="15.75">
      <c r="S2017" s="1"/>
    </row>
    <row r="2018" spans="19:19" ht="15.75">
      <c r="S2018" s="1"/>
    </row>
    <row r="2019" spans="19:19" ht="15.75">
      <c r="S2019" s="1"/>
    </row>
    <row r="2020" spans="19:19" ht="15.75">
      <c r="S2020" s="1"/>
    </row>
    <row r="2021" spans="19:19" ht="15.75">
      <c r="S2021" s="1"/>
    </row>
    <row r="2022" spans="19:19" ht="15.75">
      <c r="S2022" s="1"/>
    </row>
    <row r="2023" spans="19:19" ht="15.75">
      <c r="S2023" s="1"/>
    </row>
    <row r="2024" spans="19:19" ht="15.75">
      <c r="S2024" s="1"/>
    </row>
    <row r="2025" spans="19:19" ht="15.75">
      <c r="S2025" s="1"/>
    </row>
    <row r="2026" spans="19:19" ht="15.75">
      <c r="S2026" s="1"/>
    </row>
    <row r="2027" spans="19:19" ht="15.75">
      <c r="S2027" s="1"/>
    </row>
    <row r="2028" spans="19:19" ht="15.75">
      <c r="S2028" s="1"/>
    </row>
    <row r="2029" spans="19:19" ht="15.75">
      <c r="S2029" s="1"/>
    </row>
    <row r="2030" spans="19:19" ht="15.75">
      <c r="S2030" s="1"/>
    </row>
    <row r="2031" spans="19:19" ht="15.75">
      <c r="S2031" s="1"/>
    </row>
    <row r="2032" spans="19:19" ht="15.75">
      <c r="S2032" s="1"/>
    </row>
    <row r="2033" spans="19:19" ht="15.75">
      <c r="S2033" s="1"/>
    </row>
    <row r="2034" spans="19:19" ht="15.75">
      <c r="S2034" s="1"/>
    </row>
    <row r="2035" spans="19:19" ht="15.75">
      <c r="S2035" s="1"/>
    </row>
    <row r="2036" spans="19:19" ht="15.75">
      <c r="S2036" s="1"/>
    </row>
    <row r="2037" spans="19:19" ht="15.75">
      <c r="S2037" s="1"/>
    </row>
    <row r="2038" spans="19:19" ht="15.75">
      <c r="S2038" s="1"/>
    </row>
    <row r="2039" spans="19:19" ht="15.75">
      <c r="S2039" s="1"/>
    </row>
    <row r="2040" spans="19:19" ht="15.75">
      <c r="S2040" s="1"/>
    </row>
    <row r="2041" spans="19:19" ht="15.75">
      <c r="S2041" s="1"/>
    </row>
    <row r="2042" spans="19:19" ht="15.75">
      <c r="S2042" s="1"/>
    </row>
    <row r="2043" spans="19:19" ht="15.75">
      <c r="S2043" s="1"/>
    </row>
    <row r="2044" spans="19:19" ht="15.75">
      <c r="S2044" s="1"/>
    </row>
    <row r="2045" spans="19:19" ht="15.75">
      <c r="S2045" s="1"/>
    </row>
    <row r="2046" spans="19:19" ht="15.75">
      <c r="S2046" s="1"/>
    </row>
    <row r="2047" spans="19:19" ht="15.75">
      <c r="S2047" s="1"/>
    </row>
    <row r="2048" spans="19:19" ht="15.75">
      <c r="S2048" s="1"/>
    </row>
    <row r="2049" spans="19:19" ht="15.75">
      <c r="S2049" s="1"/>
    </row>
    <row r="2050" spans="19:19" ht="15.75">
      <c r="S2050" s="1"/>
    </row>
    <row r="2051" spans="19:19" ht="15.75">
      <c r="S2051" s="1"/>
    </row>
    <row r="2052" spans="19:19" ht="15.75">
      <c r="S2052" s="1"/>
    </row>
    <row r="2053" spans="19:19" ht="15.75">
      <c r="S2053" s="1"/>
    </row>
    <row r="2054" spans="19:19" ht="15.75">
      <c r="S2054" s="1"/>
    </row>
    <row r="2055" spans="19:19" ht="15.75">
      <c r="S2055" s="1"/>
    </row>
    <row r="2056" spans="19:19" ht="15.75">
      <c r="S2056" s="1"/>
    </row>
    <row r="2057" spans="19:19" ht="15.75">
      <c r="S2057" s="1"/>
    </row>
    <row r="2058" spans="19:19" ht="15.75">
      <c r="S2058" s="1"/>
    </row>
    <row r="2059" spans="19:19" ht="15.75">
      <c r="S2059" s="1"/>
    </row>
    <row r="2060" spans="19:19" ht="15.75">
      <c r="S2060" s="1"/>
    </row>
    <row r="2061" spans="19:19" ht="15.75">
      <c r="S2061" s="1"/>
    </row>
    <row r="2062" spans="19:19" ht="15.75">
      <c r="S2062" s="1"/>
    </row>
    <row r="2063" spans="19:19" ht="15.75">
      <c r="S2063" s="1"/>
    </row>
    <row r="2064" spans="19:19" ht="15.75">
      <c r="S2064" s="1"/>
    </row>
    <row r="2065" spans="19:19" ht="15.75">
      <c r="S2065" s="1"/>
    </row>
    <row r="2066" spans="19:19" ht="15.75">
      <c r="S2066" s="1"/>
    </row>
    <row r="2067" spans="19:19" ht="15.75">
      <c r="S2067" s="1"/>
    </row>
    <row r="2068" spans="19:19" ht="15.75">
      <c r="S2068" s="1"/>
    </row>
    <row r="2069" spans="19:19" ht="15.75">
      <c r="S2069" s="1"/>
    </row>
    <row r="2070" spans="19:19" ht="15.75">
      <c r="S2070" s="1"/>
    </row>
    <row r="2071" spans="19:19" ht="15.75">
      <c r="S2071" s="1"/>
    </row>
    <row r="2072" spans="19:19" ht="15.75">
      <c r="S2072" s="1"/>
    </row>
    <row r="2073" spans="19:19" ht="15.75">
      <c r="S2073" s="1"/>
    </row>
    <row r="2074" spans="19:19" ht="15.75">
      <c r="S2074" s="1"/>
    </row>
    <row r="2075" spans="19:19" ht="15.75">
      <c r="S2075" s="1"/>
    </row>
    <row r="2076" spans="19:19" ht="15.75">
      <c r="S2076" s="1"/>
    </row>
    <row r="2077" spans="19:19" ht="15.75">
      <c r="S2077" s="1"/>
    </row>
    <row r="2078" spans="19:19" ht="15.75">
      <c r="S2078" s="1"/>
    </row>
    <row r="2079" spans="19:19" ht="15.75">
      <c r="S2079" s="1"/>
    </row>
    <row r="2080" spans="19:19" ht="15.75">
      <c r="S2080" s="1"/>
    </row>
    <row r="2081" spans="19:19" ht="15.75">
      <c r="S2081" s="1"/>
    </row>
    <row r="2082" spans="19:19" ht="15.75">
      <c r="S2082" s="1"/>
    </row>
    <row r="2083" spans="19:19" ht="15.75">
      <c r="S2083" s="1"/>
    </row>
    <row r="2084" spans="19:19" ht="15.75">
      <c r="S2084" s="1"/>
    </row>
    <row r="2085" spans="19:19" ht="15.75">
      <c r="S2085" s="1"/>
    </row>
    <row r="2086" spans="19:19" ht="15.75">
      <c r="S2086" s="1"/>
    </row>
    <row r="2087" spans="19:19" ht="15.75">
      <c r="S2087" s="1"/>
    </row>
    <row r="2088" spans="19:19" ht="15.75">
      <c r="S2088" s="1"/>
    </row>
    <row r="2089" spans="19:19" ht="15.75">
      <c r="S2089" s="1"/>
    </row>
    <row r="2090" spans="19:19" ht="15.75">
      <c r="S2090" s="1"/>
    </row>
    <row r="2091" spans="19:19" ht="15.75">
      <c r="S2091" s="1"/>
    </row>
    <row r="2092" spans="19:19" ht="15.75">
      <c r="S2092" s="1"/>
    </row>
    <row r="2093" spans="19:19" ht="15.75">
      <c r="S2093" s="1"/>
    </row>
    <row r="2094" spans="19:19" ht="15.75">
      <c r="S2094" s="1"/>
    </row>
    <row r="2095" spans="19:19" ht="15.75">
      <c r="S2095" s="1"/>
    </row>
    <row r="2096" spans="19:19" ht="15.75">
      <c r="S2096" s="1"/>
    </row>
    <row r="2097" spans="19:19" ht="15.75">
      <c r="S2097" s="1"/>
    </row>
    <row r="2098" spans="19:19" ht="15.75">
      <c r="S2098" s="1"/>
    </row>
    <row r="2099" spans="19:19" ht="15.75">
      <c r="S2099" s="1"/>
    </row>
    <row r="2100" spans="19:19" ht="15.75">
      <c r="S2100" s="1"/>
    </row>
    <row r="2101" spans="19:19" ht="15.75">
      <c r="S2101" s="1"/>
    </row>
    <row r="2102" spans="19:19" ht="15.75">
      <c r="S2102" s="1"/>
    </row>
    <row r="2103" spans="19:19" ht="15.75">
      <c r="S2103" s="1"/>
    </row>
    <row r="2104" spans="19:19" ht="15.75">
      <c r="S2104" s="1"/>
    </row>
    <row r="2105" spans="19:19" ht="15.75">
      <c r="S2105" s="1"/>
    </row>
    <row r="2106" spans="19:19" ht="15.75">
      <c r="S2106" s="1"/>
    </row>
    <row r="2107" spans="19:19" ht="15.75">
      <c r="S2107" s="1"/>
    </row>
    <row r="2108" spans="19:19" ht="15.75">
      <c r="S2108" s="1"/>
    </row>
    <row r="2109" spans="19:19" ht="15.75">
      <c r="S2109" s="1"/>
    </row>
    <row r="2110" spans="19:19" ht="15.75">
      <c r="S2110" s="1"/>
    </row>
    <row r="2111" spans="19:19" ht="15.75">
      <c r="S2111" s="1"/>
    </row>
    <row r="2112" spans="19:19" ht="15.75">
      <c r="S2112" s="1"/>
    </row>
    <row r="2113" spans="19:19" ht="15.75">
      <c r="S2113" s="1"/>
    </row>
    <row r="2114" spans="19:19" ht="15.75">
      <c r="S2114" s="1"/>
    </row>
    <row r="2115" spans="19:19" ht="15.75">
      <c r="S2115" s="1"/>
    </row>
    <row r="2116" spans="19:19" ht="15.75">
      <c r="S2116" s="1"/>
    </row>
    <row r="2117" spans="19:19" ht="15.75">
      <c r="S2117" s="1"/>
    </row>
    <row r="2118" spans="19:19" ht="15.75">
      <c r="S2118" s="1"/>
    </row>
    <row r="2119" spans="19:19" ht="15.75">
      <c r="S2119" s="1"/>
    </row>
    <row r="2120" spans="19:19" ht="15.75">
      <c r="S2120" s="1"/>
    </row>
    <row r="2121" spans="19:19" ht="15.75">
      <c r="S2121" s="1"/>
    </row>
    <row r="2122" spans="19:19" ht="15.75">
      <c r="S2122" s="1"/>
    </row>
    <row r="2123" spans="19:19" ht="15.75">
      <c r="S2123" s="1"/>
    </row>
    <row r="2124" spans="19:19" ht="15.75">
      <c r="S2124" s="1"/>
    </row>
    <row r="2125" spans="19:19" ht="15.75">
      <c r="S2125" s="1"/>
    </row>
    <row r="2126" spans="19:19" ht="15.75">
      <c r="S2126" s="1"/>
    </row>
    <row r="2127" spans="19:19" ht="15.75">
      <c r="S2127" s="1"/>
    </row>
    <row r="2128" spans="19:19" ht="15.75">
      <c r="S2128" s="1"/>
    </row>
    <row r="2129" spans="19:19" ht="15.75">
      <c r="S2129" s="1"/>
    </row>
    <row r="2130" spans="19:19" ht="15.75">
      <c r="S2130" s="1"/>
    </row>
    <row r="2131" spans="19:19" ht="15.75">
      <c r="S2131" s="1"/>
    </row>
    <row r="2132" spans="19:19" ht="15.75">
      <c r="S2132" s="1"/>
    </row>
    <row r="2133" spans="19:19" ht="15.75">
      <c r="S2133" s="1"/>
    </row>
    <row r="2134" spans="19:19" ht="15.75">
      <c r="S2134" s="1"/>
    </row>
    <row r="2135" spans="19:19" ht="15.75">
      <c r="S2135" s="1"/>
    </row>
    <row r="2136" spans="19:19" ht="15.75">
      <c r="S2136" s="1"/>
    </row>
    <row r="2137" spans="19:19" ht="15.75">
      <c r="S2137" s="1"/>
    </row>
    <row r="2138" spans="19:19" ht="15.75">
      <c r="S2138" s="1"/>
    </row>
    <row r="2139" spans="19:19" ht="15.75">
      <c r="S2139" s="1"/>
    </row>
    <row r="2140" spans="19:19" ht="15.75">
      <c r="S2140" s="1"/>
    </row>
    <row r="2141" spans="19:19" ht="15.75">
      <c r="S2141" s="1"/>
    </row>
    <row r="2142" spans="19:19" ht="15.75">
      <c r="S2142" s="1"/>
    </row>
    <row r="2143" spans="19:19" ht="15.75">
      <c r="S2143" s="1"/>
    </row>
    <row r="2144" spans="19:19" ht="15.75">
      <c r="S2144" s="1"/>
    </row>
    <row r="2145" spans="19:19" ht="15.75">
      <c r="S2145" s="1"/>
    </row>
    <row r="2146" spans="19:19" ht="15.75">
      <c r="S2146" s="1"/>
    </row>
    <row r="2147" spans="19:19" ht="15.75">
      <c r="S2147" s="1"/>
    </row>
    <row r="2148" spans="19:19" ht="15.75">
      <c r="S2148" s="1"/>
    </row>
    <row r="2149" spans="19:19" ht="15.75">
      <c r="S2149" s="1"/>
    </row>
    <row r="2150" spans="19:19" ht="15.75">
      <c r="S2150" s="1"/>
    </row>
    <row r="2151" spans="19:19" ht="15.75">
      <c r="S2151" s="1"/>
    </row>
    <row r="2152" spans="19:19" ht="15.75">
      <c r="S2152" s="1"/>
    </row>
    <row r="2153" spans="19:19" ht="15.75">
      <c r="S2153" s="1"/>
    </row>
    <row r="2154" spans="19:19" ht="15.75">
      <c r="S2154" s="1"/>
    </row>
    <row r="2155" spans="19:19" ht="15.75">
      <c r="S2155" s="1"/>
    </row>
    <row r="2156" spans="19:19" ht="15.75">
      <c r="S2156" s="1"/>
    </row>
    <row r="2157" spans="19:19" ht="15.75">
      <c r="S2157" s="1"/>
    </row>
    <row r="2158" spans="19:19" ht="15.75">
      <c r="S2158" s="1"/>
    </row>
    <row r="2159" spans="19:19" ht="15.75">
      <c r="S2159" s="1"/>
    </row>
    <row r="2160" spans="19:19" ht="15.75">
      <c r="S2160" s="1"/>
    </row>
    <row r="2161" spans="19:19" ht="15.75">
      <c r="S2161" s="1"/>
    </row>
    <row r="2162" spans="19:19" ht="15.75">
      <c r="S2162" s="1"/>
    </row>
    <row r="2163" spans="19:19" ht="15.75">
      <c r="S2163" s="1"/>
    </row>
    <row r="2164" spans="19:19" ht="15.75">
      <c r="S2164" s="1"/>
    </row>
    <row r="2165" spans="19:19" ht="15.75">
      <c r="S2165" s="1"/>
    </row>
    <row r="2166" spans="19:19" ht="15.75">
      <c r="S2166" s="1"/>
    </row>
    <row r="2167" spans="19:19" ht="15.75">
      <c r="S2167" s="1"/>
    </row>
    <row r="2168" spans="19:19" ht="15.75">
      <c r="S2168" s="1"/>
    </row>
    <row r="2169" spans="19:19" ht="15.75">
      <c r="S2169" s="1"/>
    </row>
    <row r="2170" spans="19:19" ht="15.75">
      <c r="S2170" s="1"/>
    </row>
    <row r="2171" spans="19:19" ht="15.75">
      <c r="S2171" s="1"/>
    </row>
    <row r="2172" spans="19:19" ht="15.75">
      <c r="S2172" s="1"/>
    </row>
    <row r="2173" spans="19:19" ht="15.75">
      <c r="S2173" s="1"/>
    </row>
    <row r="2174" spans="19:19" ht="15.75">
      <c r="S2174" s="1"/>
    </row>
    <row r="2175" spans="19:19" ht="15.75">
      <c r="S2175" s="1"/>
    </row>
    <row r="2176" spans="19:19" ht="15.75">
      <c r="S2176" s="1"/>
    </row>
    <row r="2177" spans="19:19" ht="15.75">
      <c r="S2177" s="1"/>
    </row>
    <row r="2178" spans="19:19" ht="15.75">
      <c r="S2178" s="1"/>
    </row>
    <row r="2179" spans="19:19" ht="15.75">
      <c r="S2179" s="1"/>
    </row>
    <row r="2180" spans="19:19" ht="15.75">
      <c r="S2180" s="1"/>
    </row>
    <row r="2181" spans="19:19" ht="15.75">
      <c r="S2181" s="1"/>
    </row>
    <row r="2182" spans="19:19" ht="15.75">
      <c r="S2182" s="1"/>
    </row>
    <row r="2183" spans="19:19" ht="15.75">
      <c r="S2183" s="1"/>
    </row>
    <row r="2184" spans="19:19" ht="15.75">
      <c r="S2184" s="1"/>
    </row>
    <row r="2185" spans="19:19" ht="15.75">
      <c r="S2185" s="1"/>
    </row>
    <row r="2186" spans="19:19" ht="15.75">
      <c r="S2186" s="1"/>
    </row>
    <row r="2187" spans="19:19" ht="15.75">
      <c r="S2187" s="1"/>
    </row>
    <row r="2188" spans="19:19" ht="15.75">
      <c r="S2188" s="1"/>
    </row>
    <row r="2189" spans="19:19" ht="15.75">
      <c r="S2189" s="1"/>
    </row>
    <row r="2190" spans="19:19" ht="15.75">
      <c r="S2190" s="1"/>
    </row>
    <row r="2191" spans="19:19" ht="15.75">
      <c r="S2191" s="1"/>
    </row>
    <row r="2192" spans="19:19" ht="15.75">
      <c r="S2192" s="1"/>
    </row>
    <row r="2193" spans="19:19" ht="15.75">
      <c r="S2193" s="1"/>
    </row>
    <row r="2194" spans="19:19" ht="15.75">
      <c r="S2194" s="1"/>
    </row>
    <row r="2195" spans="19:19" ht="15.75">
      <c r="S2195" s="1"/>
    </row>
    <row r="2196" spans="19:19" ht="15.75">
      <c r="S2196" s="1"/>
    </row>
    <row r="2197" spans="19:19" ht="15.75">
      <c r="S2197" s="1"/>
    </row>
    <row r="2198" spans="19:19" ht="15.75">
      <c r="S2198" s="1"/>
    </row>
    <row r="2199" spans="19:19" ht="15.75">
      <c r="S2199" s="1"/>
    </row>
    <row r="2200" spans="19:19" ht="15.75">
      <c r="S2200" s="1"/>
    </row>
    <row r="2201" spans="19:19" ht="15.75">
      <c r="S2201" s="1"/>
    </row>
    <row r="2202" spans="19:19" ht="15.75">
      <c r="S2202" s="1"/>
    </row>
    <row r="2203" spans="19:19" ht="15.75">
      <c r="S2203" s="1"/>
    </row>
    <row r="2204" spans="19:19" ht="15.75">
      <c r="S2204" s="1"/>
    </row>
    <row r="2205" spans="19:19" ht="15.75">
      <c r="S2205" s="1"/>
    </row>
    <row r="2206" spans="19:19" ht="15.75">
      <c r="S2206" s="1"/>
    </row>
    <row r="2207" spans="19:19" ht="15.75">
      <c r="S2207" s="1"/>
    </row>
    <row r="2208" spans="19:19" ht="15.75">
      <c r="S2208" s="1"/>
    </row>
    <row r="2209" spans="19:19" ht="15.75">
      <c r="S2209" s="1"/>
    </row>
    <row r="2210" spans="19:19" ht="15.75">
      <c r="S2210" s="1"/>
    </row>
    <row r="2211" spans="19:19" ht="15.75">
      <c r="S2211" s="1"/>
    </row>
    <row r="2212" spans="19:19" ht="15.75">
      <c r="S2212" s="1"/>
    </row>
    <row r="2213" spans="19:19" ht="15.75">
      <c r="S2213" s="1"/>
    </row>
    <row r="2214" spans="19:19" ht="15.75">
      <c r="S2214" s="1"/>
    </row>
    <row r="2215" spans="19:19" ht="15.75">
      <c r="S2215" s="1"/>
    </row>
    <row r="2216" spans="19:19" ht="15.75">
      <c r="S2216" s="1"/>
    </row>
    <row r="2217" spans="19:19" ht="15.75">
      <c r="S2217" s="1"/>
    </row>
    <row r="2218" spans="19:19" ht="15.75">
      <c r="S2218" s="1"/>
    </row>
    <row r="2219" spans="19:19" ht="15.75">
      <c r="S2219" s="1"/>
    </row>
    <row r="2220" spans="19:19" ht="15.75">
      <c r="S2220" s="1"/>
    </row>
    <row r="2221" spans="19:19" ht="15.75">
      <c r="S2221" s="1"/>
    </row>
    <row r="2222" spans="19:19" ht="15.75">
      <c r="S2222" s="1"/>
    </row>
    <row r="2223" spans="19:19" ht="15.75">
      <c r="S2223" s="1"/>
    </row>
    <row r="2224" spans="19:19" ht="15.75">
      <c r="S2224" s="1"/>
    </row>
    <row r="2225" spans="19:19" ht="15.75">
      <c r="S2225" s="1"/>
    </row>
    <row r="2226" spans="19:19" ht="15.75">
      <c r="S2226" s="1"/>
    </row>
    <row r="2227" spans="19:19" ht="15.75">
      <c r="S2227" s="1"/>
    </row>
    <row r="2228" spans="19:19" ht="15.75">
      <c r="S2228" s="1"/>
    </row>
    <row r="2229" spans="19:19" ht="15.75">
      <c r="S2229" s="1"/>
    </row>
    <row r="2230" spans="19:19" ht="15.75">
      <c r="S2230" s="1"/>
    </row>
    <row r="2231" spans="19:19" ht="15.75">
      <c r="S2231" s="1"/>
    </row>
    <row r="2232" spans="19:19" ht="15.75">
      <c r="S2232" s="1"/>
    </row>
    <row r="2233" spans="19:19" ht="15.75">
      <c r="S2233" s="1"/>
    </row>
    <row r="2234" spans="19:19" ht="15.75">
      <c r="S2234" s="1"/>
    </row>
    <row r="2235" spans="19:19" ht="15.75">
      <c r="S2235" s="1"/>
    </row>
    <row r="2236" spans="19:19" ht="15.75">
      <c r="S2236" s="1"/>
    </row>
    <row r="2237" spans="19:19" ht="15.75">
      <c r="S2237" s="1"/>
    </row>
    <row r="2238" spans="19:19" ht="15.75">
      <c r="S2238" s="1"/>
    </row>
    <row r="2239" spans="19:19" ht="15.75">
      <c r="S2239" s="1"/>
    </row>
    <row r="2240" spans="19:19" ht="15.75">
      <c r="S2240" s="1"/>
    </row>
    <row r="2241" spans="19:19" ht="15.75">
      <c r="S2241" s="1"/>
    </row>
    <row r="2242" spans="19:19" ht="15.75">
      <c r="S2242" s="1"/>
    </row>
    <row r="2243" spans="19:19" ht="15.75">
      <c r="S2243" s="1"/>
    </row>
    <row r="2244" spans="19:19" ht="15.75">
      <c r="S2244" s="1"/>
    </row>
    <row r="2245" spans="19:19" ht="15.75">
      <c r="S2245" s="1"/>
    </row>
    <row r="2246" spans="19:19" ht="15.75">
      <c r="S2246" s="1"/>
    </row>
    <row r="2247" spans="19:19" ht="15.75">
      <c r="S2247" s="1"/>
    </row>
    <row r="2248" spans="19:19" ht="15.75">
      <c r="S2248" s="1"/>
    </row>
    <row r="2249" spans="19:19" ht="15.75">
      <c r="S2249" s="1"/>
    </row>
    <row r="2250" spans="19:19" ht="15.75">
      <c r="S2250" s="1"/>
    </row>
    <row r="2251" spans="19:19" ht="15.75">
      <c r="S2251" s="1"/>
    </row>
    <row r="2252" spans="19:19" ht="15.75">
      <c r="S2252" s="1"/>
    </row>
    <row r="2253" spans="19:19" ht="15.75">
      <c r="S2253" s="1"/>
    </row>
    <row r="2254" spans="19:19" ht="15.75">
      <c r="S2254" s="1"/>
    </row>
    <row r="2255" spans="19:19" ht="15.75">
      <c r="S2255" s="1"/>
    </row>
    <row r="2256" spans="19:19" ht="15.75">
      <c r="S2256" s="1"/>
    </row>
    <row r="2257" spans="19:19" ht="15.75">
      <c r="S2257" s="1"/>
    </row>
    <row r="2258" spans="19:19" ht="15.75">
      <c r="S2258" s="1"/>
    </row>
    <row r="2259" spans="19:19" ht="15.75">
      <c r="S2259" s="1"/>
    </row>
    <row r="2260" spans="19:19" ht="15.75">
      <c r="S2260" s="1"/>
    </row>
    <row r="2261" spans="19:19" ht="15.75">
      <c r="S2261" s="1"/>
    </row>
    <row r="2262" spans="19:19" ht="15.75">
      <c r="S2262" s="1"/>
    </row>
    <row r="2263" spans="19:19" ht="15.75">
      <c r="S2263" s="1"/>
    </row>
    <row r="2264" spans="19:19" ht="15.75">
      <c r="S2264" s="1"/>
    </row>
    <row r="2265" spans="19:19" ht="15.75">
      <c r="S2265" s="1"/>
    </row>
    <row r="2266" spans="19:19" ht="15.75">
      <c r="S2266" s="1"/>
    </row>
    <row r="2267" spans="19:19" ht="15.75">
      <c r="S2267" s="1"/>
    </row>
    <row r="2268" spans="19:19" ht="15.75">
      <c r="S2268" s="1"/>
    </row>
    <row r="2269" spans="19:19" ht="15.75">
      <c r="S2269" s="1"/>
    </row>
    <row r="2270" spans="19:19" ht="15.75">
      <c r="S2270" s="1"/>
    </row>
    <row r="2271" spans="19:19" ht="15.75">
      <c r="S2271" s="1"/>
    </row>
    <row r="2272" spans="19:19" ht="15.75">
      <c r="S2272" s="1"/>
    </row>
    <row r="2273" spans="19:19" ht="15.75">
      <c r="S2273" s="1"/>
    </row>
    <row r="2274" spans="19:19" ht="15.75">
      <c r="S2274" s="1"/>
    </row>
    <row r="2275" spans="19:19" ht="15.75">
      <c r="S2275" s="1"/>
    </row>
    <row r="2276" spans="19:19" ht="15.75">
      <c r="S2276" s="1"/>
    </row>
    <row r="2277" spans="19:19" ht="15.75">
      <c r="S2277" s="1"/>
    </row>
    <row r="2278" spans="19:19" ht="15.75">
      <c r="S2278" s="1"/>
    </row>
    <row r="2279" spans="19:19" ht="15.75">
      <c r="S2279" s="1"/>
    </row>
    <row r="2280" spans="19:19" ht="15.75">
      <c r="S2280" s="1"/>
    </row>
    <row r="2281" spans="19:19" ht="15.75">
      <c r="S2281" s="1"/>
    </row>
    <row r="2282" spans="19:19" ht="15.75">
      <c r="S2282" s="1"/>
    </row>
    <row r="2283" spans="19:19" ht="15.75">
      <c r="S2283" s="1"/>
    </row>
    <row r="2284" spans="19:19" ht="15.75">
      <c r="S2284" s="1"/>
    </row>
    <row r="2285" spans="19:19" ht="15.75">
      <c r="S2285" s="1"/>
    </row>
    <row r="2286" spans="19:19" ht="15.75">
      <c r="S2286" s="1"/>
    </row>
    <row r="2287" spans="19:19" ht="15.75">
      <c r="S2287" s="1"/>
    </row>
    <row r="2288" spans="19:19" ht="15.75">
      <c r="S2288" s="1"/>
    </row>
    <row r="2289" spans="19:19" ht="15.75">
      <c r="S2289" s="1"/>
    </row>
    <row r="2290" spans="19:19" ht="15.75">
      <c r="S2290" s="1"/>
    </row>
    <row r="2291" spans="19:19" ht="15.75">
      <c r="S2291" s="1"/>
    </row>
    <row r="2292" spans="19:19" ht="15.75">
      <c r="S2292" s="1"/>
    </row>
    <row r="2293" spans="19:19" ht="15.75">
      <c r="S2293" s="1"/>
    </row>
    <row r="2294" spans="19:19" ht="15.75">
      <c r="S2294" s="1"/>
    </row>
    <row r="2295" spans="19:19" ht="15.75">
      <c r="S2295" s="1"/>
    </row>
    <row r="2296" spans="19:19" ht="15.75">
      <c r="S2296" s="1"/>
    </row>
    <row r="2297" spans="19:19" ht="15.75">
      <c r="S2297" s="1"/>
    </row>
    <row r="2298" spans="19:19" ht="15.75">
      <c r="S2298" s="1"/>
    </row>
    <row r="2299" spans="19:19" ht="15.75">
      <c r="S2299" s="1"/>
    </row>
    <row r="2300" spans="19:19" ht="15.75">
      <c r="S2300" s="1"/>
    </row>
    <row r="2301" spans="19:19" ht="15.75">
      <c r="S2301" s="1"/>
    </row>
    <row r="2302" spans="19:19" ht="15.75">
      <c r="S2302" s="1"/>
    </row>
    <row r="2303" spans="19:19" ht="15.75">
      <c r="S2303" s="1"/>
    </row>
    <row r="2304" spans="19:19" ht="15.75">
      <c r="S2304" s="1"/>
    </row>
    <row r="2305" spans="19:19" ht="15.75">
      <c r="S2305" s="1"/>
    </row>
    <row r="2306" spans="19:19" ht="15.75">
      <c r="S2306" s="1"/>
    </row>
    <row r="2307" spans="19:19" ht="15.75">
      <c r="S2307" s="1"/>
    </row>
    <row r="2308" spans="19:19" ht="15.75">
      <c r="S2308" s="1"/>
    </row>
    <row r="2309" spans="19:19" ht="15.75">
      <c r="S2309" s="1"/>
    </row>
    <row r="2310" spans="19:19" ht="15.75">
      <c r="S2310" s="1"/>
    </row>
    <row r="2311" spans="19:19" ht="15.75">
      <c r="S2311" s="1"/>
    </row>
    <row r="2312" spans="19:19" ht="15.75">
      <c r="S2312" s="1"/>
    </row>
    <row r="2313" spans="19:19" ht="15.75">
      <c r="S2313" s="1"/>
    </row>
    <row r="2314" spans="19:19" ht="15.75">
      <c r="S2314" s="1"/>
    </row>
    <row r="2315" spans="19:19" ht="15.75">
      <c r="S2315" s="1"/>
    </row>
    <row r="2316" spans="19:19" ht="15.75">
      <c r="S2316" s="1"/>
    </row>
    <row r="2317" spans="19:19" ht="15.75">
      <c r="S2317" s="1"/>
    </row>
    <row r="2318" spans="19:19" ht="15.75">
      <c r="S2318" s="1"/>
    </row>
    <row r="2319" spans="19:19" ht="15.75">
      <c r="S2319" s="1"/>
    </row>
    <row r="2320" spans="19:19" ht="15.75">
      <c r="S2320" s="1"/>
    </row>
    <row r="2321" spans="19:19" ht="15.75">
      <c r="S2321" s="1"/>
    </row>
    <row r="2322" spans="19:19" ht="15.75">
      <c r="S2322" s="1"/>
    </row>
    <row r="2323" spans="19:19" ht="15.75">
      <c r="S2323" s="1"/>
    </row>
    <row r="2324" spans="19:19" ht="15.75">
      <c r="S2324" s="1"/>
    </row>
    <row r="2325" spans="19:19" ht="15.75">
      <c r="S2325" s="1"/>
    </row>
    <row r="2326" spans="19:19" ht="15.75">
      <c r="S2326" s="1"/>
    </row>
    <row r="2327" spans="19:19" ht="15.75">
      <c r="S2327" s="1"/>
    </row>
    <row r="2328" spans="19:19" ht="15.75">
      <c r="S2328" s="1"/>
    </row>
    <row r="2329" spans="19:19" ht="15.75">
      <c r="S2329" s="1"/>
    </row>
    <row r="2330" spans="19:19" ht="15.75">
      <c r="S2330" s="1"/>
    </row>
    <row r="2331" spans="19:19" ht="15.75">
      <c r="S2331" s="1"/>
    </row>
    <row r="2332" spans="19:19" ht="15.75">
      <c r="S2332" s="1"/>
    </row>
    <row r="2333" spans="19:19" ht="15.75">
      <c r="S2333" s="1"/>
    </row>
    <row r="2334" spans="19:19" ht="15.75">
      <c r="S2334" s="1"/>
    </row>
    <row r="2335" spans="19:19" ht="15.75">
      <c r="S2335" s="1"/>
    </row>
    <row r="2336" spans="19:19" ht="15.75">
      <c r="S2336" s="1"/>
    </row>
    <row r="2337" spans="19:19" ht="15.75">
      <c r="S2337" s="1"/>
    </row>
    <row r="2338" spans="19:19" ht="15.75">
      <c r="S2338" s="1"/>
    </row>
    <row r="2339" spans="19:19" ht="15.75">
      <c r="S2339" s="1"/>
    </row>
    <row r="2340" spans="19:19" ht="15.75">
      <c r="S2340" s="1"/>
    </row>
    <row r="2341" spans="19:19" ht="15.75">
      <c r="S2341" s="1"/>
    </row>
    <row r="2342" spans="19:19" ht="15.75">
      <c r="S2342" s="1"/>
    </row>
    <row r="2343" spans="19:19" ht="15.75">
      <c r="S2343" s="1"/>
    </row>
    <row r="2344" spans="19:19" ht="15.75">
      <c r="S2344" s="1"/>
    </row>
    <row r="2345" spans="19:19" ht="15.75">
      <c r="S2345" s="1"/>
    </row>
    <row r="2346" spans="19:19" ht="15.75">
      <c r="S2346" s="1"/>
    </row>
    <row r="2347" spans="19:19" ht="15.75">
      <c r="S2347" s="1"/>
    </row>
    <row r="2348" spans="19:19" ht="15.75">
      <c r="S2348" s="1"/>
    </row>
    <row r="2349" spans="19:19" ht="15.75">
      <c r="S2349" s="1"/>
    </row>
    <row r="2350" spans="19:19" ht="15.75">
      <c r="S2350" s="1"/>
    </row>
    <row r="2351" spans="19:19" ht="15.75">
      <c r="S2351" s="1"/>
    </row>
    <row r="2352" spans="19:19" ht="15.75">
      <c r="S2352" s="1"/>
    </row>
    <row r="2353" spans="19:19" ht="15.75">
      <c r="S2353" s="1"/>
    </row>
    <row r="2354" spans="19:19" ht="15.75">
      <c r="S2354" s="1"/>
    </row>
    <row r="2355" spans="19:19" ht="15.75">
      <c r="S2355" s="1"/>
    </row>
    <row r="2356" spans="19:19" ht="15.75">
      <c r="S2356" s="1"/>
    </row>
    <row r="2357" spans="19:19" ht="15.75">
      <c r="S2357" s="1"/>
    </row>
    <row r="2358" spans="19:19" ht="15.75">
      <c r="S2358" s="1"/>
    </row>
    <row r="2359" spans="19:19" ht="15.75">
      <c r="S2359" s="1"/>
    </row>
    <row r="2360" spans="19:19" ht="15.75">
      <c r="S2360" s="1"/>
    </row>
    <row r="2361" spans="19:19" ht="15.75">
      <c r="S2361" s="1"/>
    </row>
    <row r="2362" spans="19:19" ht="15.75">
      <c r="S2362" s="1"/>
    </row>
    <row r="2363" spans="19:19" ht="15.75">
      <c r="S2363" s="1"/>
    </row>
    <row r="2364" spans="19:19" ht="15.75">
      <c r="S2364" s="1"/>
    </row>
    <row r="2365" spans="19:19" ht="15.75">
      <c r="S2365" s="1"/>
    </row>
    <row r="2366" spans="19:19" ht="15.75">
      <c r="S2366" s="1"/>
    </row>
    <row r="2367" spans="19:19" ht="15.75">
      <c r="S2367" s="1"/>
    </row>
    <row r="2368" spans="19:19" ht="15.75">
      <c r="S2368" s="1"/>
    </row>
    <row r="2369" spans="19:19" ht="15.75">
      <c r="S2369" s="1"/>
    </row>
    <row r="2370" spans="19:19" ht="15.75">
      <c r="S2370" s="1"/>
    </row>
    <row r="2371" spans="19:19" ht="15.75">
      <c r="S2371" s="1"/>
    </row>
    <row r="2372" spans="19:19" ht="15.75">
      <c r="S2372" s="1"/>
    </row>
    <row r="2373" spans="19:19" ht="15.75">
      <c r="S2373" s="1"/>
    </row>
    <row r="2374" spans="19:19" ht="15.75">
      <c r="S2374" s="1"/>
    </row>
    <row r="2375" spans="19:19" ht="15.75">
      <c r="S2375" s="1"/>
    </row>
    <row r="2376" spans="19:19" ht="15.75">
      <c r="S2376" s="1"/>
    </row>
    <row r="2377" spans="19:19" ht="15.75">
      <c r="S2377" s="1"/>
    </row>
    <row r="2378" spans="19:19" ht="15.75">
      <c r="S2378" s="1"/>
    </row>
    <row r="2379" spans="19:19" ht="15.75">
      <c r="S2379" s="1"/>
    </row>
    <row r="2380" spans="19:19" ht="15.75">
      <c r="S2380" s="1"/>
    </row>
    <row r="2381" spans="19:19" ht="15.75">
      <c r="S2381" s="1"/>
    </row>
    <row r="2382" spans="19:19" ht="15.75">
      <c r="S2382" s="1"/>
    </row>
    <row r="2383" spans="19:19" ht="15.75">
      <c r="S2383" s="1"/>
    </row>
    <row r="2384" spans="19:19" ht="15.75">
      <c r="S2384" s="1"/>
    </row>
    <row r="2385" spans="19:19" ht="15.75">
      <c r="S2385" s="1"/>
    </row>
    <row r="2386" spans="19:19" ht="15.75">
      <c r="S2386" s="1"/>
    </row>
    <row r="2387" spans="19:19" ht="15.75">
      <c r="S2387" s="1"/>
    </row>
    <row r="2388" spans="19:19" ht="15.75">
      <c r="S2388" s="1"/>
    </row>
    <row r="2389" spans="19:19" ht="15.75">
      <c r="S2389" s="1"/>
    </row>
    <row r="2390" spans="19:19" ht="15.75">
      <c r="S2390" s="1"/>
    </row>
    <row r="2391" spans="19:19" ht="15.75">
      <c r="S2391" s="1"/>
    </row>
    <row r="2392" spans="19:19" ht="15.75">
      <c r="S2392" s="1"/>
    </row>
    <row r="2393" spans="19:19" ht="15.75">
      <c r="S2393" s="1"/>
    </row>
    <row r="2394" spans="19:19" ht="15.75">
      <c r="S2394" s="1"/>
    </row>
    <row r="2395" spans="19:19" ht="15.75">
      <c r="S2395" s="1"/>
    </row>
    <row r="2396" spans="19:19" ht="15.75">
      <c r="S2396" s="1"/>
    </row>
    <row r="2397" spans="19:19" ht="15.75">
      <c r="S2397" s="1"/>
    </row>
    <row r="2398" spans="19:19" ht="15.75">
      <c r="S2398" s="1"/>
    </row>
    <row r="2399" spans="19:19" ht="15.75">
      <c r="S2399" s="1"/>
    </row>
    <row r="2400" spans="19:19" ht="15.75">
      <c r="S2400" s="1"/>
    </row>
    <row r="2401" spans="19:19" ht="15.75">
      <c r="S2401" s="1"/>
    </row>
    <row r="2402" spans="19:19" ht="15.75">
      <c r="S2402" s="1"/>
    </row>
    <row r="2403" spans="19:19" ht="15.75">
      <c r="S2403" s="1"/>
    </row>
    <row r="2404" spans="19:19" ht="15.75">
      <c r="S2404" s="1"/>
    </row>
    <row r="2405" spans="19:19" ht="15.75">
      <c r="S2405" s="1"/>
    </row>
    <row r="2406" spans="19:19" ht="15.75">
      <c r="S2406" s="1"/>
    </row>
    <row r="2407" spans="19:19" ht="15.75">
      <c r="S2407" s="1"/>
    </row>
    <row r="2408" spans="19:19" ht="15.75">
      <c r="S2408" s="1"/>
    </row>
    <row r="2409" spans="19:19" ht="15.75">
      <c r="S2409" s="1"/>
    </row>
    <row r="2410" spans="19:19" ht="15.75">
      <c r="S2410" s="1"/>
    </row>
    <row r="2411" spans="19:19" ht="15.75">
      <c r="S2411" s="1"/>
    </row>
    <row r="2412" spans="19:19" ht="15.75">
      <c r="S2412" s="1"/>
    </row>
    <row r="2413" spans="19:19" ht="15.75">
      <c r="S2413" s="1"/>
    </row>
    <row r="2414" spans="19:19" ht="15.75">
      <c r="S2414" s="1"/>
    </row>
    <row r="2415" spans="19:19" ht="15.75">
      <c r="S2415" s="1"/>
    </row>
    <row r="2416" spans="19:19" ht="15.75">
      <c r="S2416" s="1"/>
    </row>
    <row r="2417" spans="19:19" ht="15.75">
      <c r="S2417" s="1"/>
    </row>
    <row r="2418" spans="19:19" ht="15.75">
      <c r="S2418" s="1"/>
    </row>
    <row r="2419" spans="19:19" ht="15.75">
      <c r="S2419" s="1"/>
    </row>
    <row r="2420" spans="19:19" ht="15.75">
      <c r="S2420" s="1"/>
    </row>
    <row r="2421" spans="19:19" ht="15.75">
      <c r="S2421" s="1"/>
    </row>
    <row r="2422" spans="19:19" ht="15.75">
      <c r="S2422" s="1"/>
    </row>
    <row r="2423" spans="19:19" ht="15.75">
      <c r="S2423" s="1"/>
    </row>
    <row r="2424" spans="19:19" ht="15.75">
      <c r="S2424" s="1"/>
    </row>
    <row r="2425" spans="19:19" ht="15.75">
      <c r="S2425" s="1"/>
    </row>
    <row r="2426" spans="19:19" ht="15.75">
      <c r="S2426" s="1"/>
    </row>
    <row r="2427" spans="19:19" ht="15.75">
      <c r="S2427" s="1"/>
    </row>
    <row r="2428" spans="19:19" ht="15.75">
      <c r="S2428" s="1"/>
    </row>
    <row r="2429" spans="19:19" ht="15.75">
      <c r="S2429" s="1"/>
    </row>
    <row r="2430" spans="19:19" ht="15.75">
      <c r="S2430" s="1"/>
    </row>
    <row r="2431" spans="19:19" ht="15.75">
      <c r="S2431" s="1"/>
    </row>
    <row r="2432" spans="19:19" ht="15.75">
      <c r="S2432" s="1"/>
    </row>
    <row r="2433" spans="19:19" ht="15.75">
      <c r="S2433" s="1"/>
    </row>
    <row r="2434" spans="19:19" ht="15.75">
      <c r="S2434" s="1"/>
    </row>
    <row r="2435" spans="19:19" ht="15.75">
      <c r="S2435" s="1"/>
    </row>
    <row r="2436" spans="19:19" ht="15.75">
      <c r="S2436" s="1"/>
    </row>
    <row r="2437" spans="19:19" ht="15.75">
      <c r="S2437" s="1"/>
    </row>
    <row r="2438" spans="19:19" ht="15.75">
      <c r="S2438" s="1"/>
    </row>
    <row r="2439" spans="19:19" ht="15.75">
      <c r="S2439" s="1"/>
    </row>
    <row r="2440" spans="19:19" ht="15.75">
      <c r="S2440" s="1"/>
    </row>
    <row r="2441" spans="19:19" ht="15.75">
      <c r="S2441" s="1"/>
    </row>
    <row r="2442" spans="19:19" ht="15.75">
      <c r="S2442" s="1"/>
    </row>
    <row r="2443" spans="19:19" ht="15.75">
      <c r="S2443" s="1"/>
    </row>
    <row r="2444" spans="19:19" ht="15.75">
      <c r="S2444" s="1"/>
    </row>
    <row r="2445" spans="19:19" ht="15.75">
      <c r="S2445" s="1"/>
    </row>
    <row r="2446" spans="19:19" ht="15.75">
      <c r="S2446" s="1"/>
    </row>
    <row r="2447" spans="19:19" ht="15.75">
      <c r="S2447" s="1"/>
    </row>
    <row r="2448" spans="19:19" ht="15.75">
      <c r="S2448" s="1"/>
    </row>
    <row r="2449" spans="19:19" ht="15.75">
      <c r="S2449" s="1"/>
    </row>
    <row r="2450" spans="19:19" ht="15.75">
      <c r="S2450" s="1"/>
    </row>
    <row r="2451" spans="19:19" ht="15.75">
      <c r="S2451" s="1"/>
    </row>
    <row r="2452" spans="19:19" ht="15.75">
      <c r="S2452" s="1"/>
    </row>
    <row r="2453" spans="19:19" ht="15.75">
      <c r="S2453" s="1"/>
    </row>
    <row r="2454" spans="19:19" ht="15.75">
      <c r="S2454" s="1"/>
    </row>
    <row r="2455" spans="19:19" ht="15.75">
      <c r="S2455" s="1"/>
    </row>
    <row r="2456" spans="19:19" ht="15.75">
      <c r="S2456" s="1"/>
    </row>
    <row r="2457" spans="19:19" ht="15.75">
      <c r="S2457" s="1"/>
    </row>
    <row r="2458" spans="19:19" ht="15.75">
      <c r="S2458" s="1"/>
    </row>
    <row r="2459" spans="19:19" ht="15.75">
      <c r="S2459" s="1"/>
    </row>
    <row r="2460" spans="19:19" ht="15.75">
      <c r="S2460" s="1"/>
    </row>
    <row r="2461" spans="19:19" ht="15.75">
      <c r="S2461" s="1"/>
    </row>
    <row r="2462" spans="19:19" ht="15.75">
      <c r="S2462" s="1"/>
    </row>
    <row r="2463" spans="19:19" ht="15.75">
      <c r="S2463" s="1"/>
    </row>
    <row r="2464" spans="19:19" ht="15.75">
      <c r="S2464" s="1"/>
    </row>
    <row r="2465" spans="19:19" ht="15.75">
      <c r="S2465" s="1"/>
    </row>
    <row r="2466" spans="19:19" ht="15.75">
      <c r="S2466" s="1"/>
    </row>
    <row r="2467" spans="19:19" ht="15.75">
      <c r="S2467" s="1"/>
    </row>
    <row r="2468" spans="19:19" ht="15.75">
      <c r="S2468" s="1"/>
    </row>
    <row r="2469" spans="19:19" ht="15.75">
      <c r="S2469" s="1"/>
    </row>
    <row r="2470" spans="19:19" ht="15.75">
      <c r="S2470" s="1"/>
    </row>
    <row r="2471" spans="19:19" ht="15.75">
      <c r="S2471" s="1"/>
    </row>
    <row r="2472" spans="19:19" ht="15.75">
      <c r="S2472" s="1"/>
    </row>
    <row r="2473" spans="19:19" ht="15.75">
      <c r="S2473" s="1"/>
    </row>
    <row r="2474" spans="19:19" ht="15.75">
      <c r="S2474" s="1"/>
    </row>
    <row r="2475" spans="19:19" ht="15.75">
      <c r="S2475" s="1"/>
    </row>
    <row r="2476" spans="19:19" ht="15.75">
      <c r="S2476" s="1"/>
    </row>
    <row r="2477" spans="19:19" ht="15.75">
      <c r="S2477" s="1"/>
    </row>
    <row r="2478" spans="19:19" ht="15.75">
      <c r="S2478" s="1"/>
    </row>
    <row r="2479" spans="19:19" ht="15.75">
      <c r="S2479" s="1"/>
    </row>
    <row r="2480" spans="19:19" ht="15.75">
      <c r="S2480" s="1"/>
    </row>
    <row r="2481" spans="19:19" ht="15.75">
      <c r="S2481" s="1"/>
    </row>
    <row r="2482" spans="19:19" ht="15.75">
      <c r="S2482" s="1"/>
    </row>
    <row r="2483" spans="19:19" ht="15.75">
      <c r="S2483" s="1"/>
    </row>
    <row r="2484" spans="19:19" ht="15.75">
      <c r="S2484" s="1"/>
    </row>
    <row r="2485" spans="19:19" ht="15.75">
      <c r="S2485" s="1"/>
    </row>
    <row r="2486" spans="19:19" ht="15.75">
      <c r="S2486" s="1"/>
    </row>
    <row r="2487" spans="19:19" ht="15.75">
      <c r="S2487" s="1"/>
    </row>
    <row r="2488" spans="19:19" ht="15.75">
      <c r="S2488" s="1"/>
    </row>
    <row r="2489" spans="19:19" ht="15.75">
      <c r="S2489" s="1"/>
    </row>
    <row r="2490" spans="19:19" ht="15.75">
      <c r="S2490" s="1"/>
    </row>
    <row r="2491" spans="19:19" ht="15.75">
      <c r="S2491" s="1"/>
    </row>
    <row r="2492" spans="19:19" ht="15.75">
      <c r="S2492" s="1"/>
    </row>
    <row r="2493" spans="19:19" ht="15.75">
      <c r="S2493" s="1"/>
    </row>
    <row r="2494" spans="19:19" ht="15.75">
      <c r="S2494" s="1"/>
    </row>
    <row r="2495" spans="19:19" ht="15.75">
      <c r="S2495" s="1"/>
    </row>
    <row r="2496" spans="19:19" ht="15.75">
      <c r="S2496" s="1"/>
    </row>
    <row r="2497" spans="19:19" ht="15.75">
      <c r="S2497" s="1"/>
    </row>
    <row r="2498" spans="19:19" ht="15.75">
      <c r="S2498" s="1"/>
    </row>
    <row r="2499" spans="19:19" ht="15.75">
      <c r="S2499" s="1"/>
    </row>
    <row r="2500" spans="19:19" ht="15.75">
      <c r="S2500" s="1"/>
    </row>
    <row r="2501" spans="19:19" ht="15.75">
      <c r="S2501" s="1"/>
    </row>
    <row r="2502" spans="19:19" ht="15.75">
      <c r="S2502" s="1"/>
    </row>
    <row r="2503" spans="19:19" ht="15.75">
      <c r="S2503" s="1"/>
    </row>
    <row r="2504" spans="19:19" ht="15.75">
      <c r="S2504" s="1"/>
    </row>
    <row r="2505" spans="19:19" ht="15.75">
      <c r="S2505" s="1"/>
    </row>
    <row r="2506" spans="19:19" ht="15.75">
      <c r="S2506" s="1"/>
    </row>
    <row r="2507" spans="19:19" ht="15.75">
      <c r="S2507" s="1"/>
    </row>
    <row r="2508" spans="19:19" ht="15.75">
      <c r="S2508" s="1"/>
    </row>
    <row r="2509" spans="19:19" ht="15.75">
      <c r="S2509" s="1"/>
    </row>
    <row r="2510" spans="19:19" ht="15.75">
      <c r="S2510" s="1"/>
    </row>
    <row r="2511" spans="19:19" ht="15.75">
      <c r="S2511" s="1"/>
    </row>
    <row r="2512" spans="19:19" ht="15.75">
      <c r="S2512" s="1"/>
    </row>
    <row r="2513" spans="19:19" ht="15.75">
      <c r="S2513" s="1"/>
    </row>
    <row r="2514" spans="19:19" ht="15.75">
      <c r="S2514" s="1"/>
    </row>
    <row r="2515" spans="19:19" ht="15.75">
      <c r="S2515" s="1"/>
    </row>
    <row r="2516" spans="19:19" ht="15.75">
      <c r="S2516" s="1"/>
    </row>
    <row r="2517" spans="19:19" ht="15.75">
      <c r="S2517" s="1"/>
    </row>
    <row r="2518" spans="19:19" ht="15.75">
      <c r="S2518" s="1"/>
    </row>
    <row r="2519" spans="19:19" ht="15.75">
      <c r="S2519" s="1"/>
    </row>
    <row r="2520" spans="19:19" ht="15.75">
      <c r="S2520" s="1"/>
    </row>
    <row r="2521" spans="19:19" ht="15.75">
      <c r="S2521" s="1"/>
    </row>
    <row r="2522" spans="19:19" ht="15.75">
      <c r="S2522" s="1"/>
    </row>
    <row r="2523" spans="19:19" ht="15.75">
      <c r="S2523" s="1"/>
    </row>
    <row r="2524" spans="19:19" ht="15.75">
      <c r="S2524" s="1"/>
    </row>
    <row r="2525" spans="19:19" ht="15.75">
      <c r="S2525" s="1"/>
    </row>
    <row r="2526" spans="19:19" ht="15.75">
      <c r="S2526" s="1"/>
    </row>
    <row r="2527" spans="19:19" ht="15.75">
      <c r="S2527" s="1"/>
    </row>
    <row r="2528" spans="19:19" ht="15.75">
      <c r="S2528" s="1"/>
    </row>
    <row r="2529" spans="19:19" ht="15.75">
      <c r="S2529" s="1"/>
    </row>
    <row r="2530" spans="19:19" ht="15.75">
      <c r="S2530" s="1"/>
    </row>
    <row r="2531" spans="19:19" ht="15.75">
      <c r="S2531" s="1"/>
    </row>
    <row r="2532" spans="19:19" ht="15.75">
      <c r="S2532" s="1"/>
    </row>
    <row r="2533" spans="19:19" ht="15.75">
      <c r="S2533" s="1"/>
    </row>
    <row r="2534" spans="19:19" ht="15.75">
      <c r="S2534" s="1"/>
    </row>
    <row r="2535" spans="19:19" ht="15.75">
      <c r="S2535" s="1"/>
    </row>
    <row r="2536" spans="19:19" ht="15.75">
      <c r="S2536" s="1"/>
    </row>
    <row r="2537" spans="19:19" ht="15.75">
      <c r="S2537" s="1"/>
    </row>
    <row r="2538" spans="19:19" ht="15.75">
      <c r="S2538" s="1"/>
    </row>
    <row r="2539" spans="19:19" ht="15.75">
      <c r="S2539" s="1"/>
    </row>
    <row r="2540" spans="19:19" ht="15.75">
      <c r="S2540" s="1"/>
    </row>
    <row r="2541" spans="19:19" ht="15.75">
      <c r="S2541" s="1"/>
    </row>
    <row r="2542" spans="19:19" ht="15.75">
      <c r="S2542" s="1"/>
    </row>
    <row r="2543" spans="19:19" ht="15.75">
      <c r="S2543" s="1"/>
    </row>
    <row r="2544" spans="19:19" ht="15.75">
      <c r="S2544" s="1"/>
    </row>
    <row r="2545" spans="19:19" ht="15.75">
      <c r="S2545" s="1"/>
    </row>
    <row r="2546" spans="19:19" ht="15.75">
      <c r="S2546" s="1"/>
    </row>
    <row r="2547" spans="19:19" ht="15.75">
      <c r="S2547" s="1"/>
    </row>
    <row r="2548" spans="19:19" ht="15.75">
      <c r="S2548" s="1"/>
    </row>
    <row r="2549" spans="19:19" ht="15.75">
      <c r="S2549" s="1"/>
    </row>
    <row r="2550" spans="19:19" ht="15.75">
      <c r="S2550" s="1"/>
    </row>
    <row r="2551" spans="19:19" ht="15.75">
      <c r="S2551" s="1"/>
    </row>
    <row r="2552" spans="19:19" ht="15.75">
      <c r="S2552" s="1"/>
    </row>
    <row r="2553" spans="19:19" ht="15.75">
      <c r="S2553" s="1"/>
    </row>
    <row r="2554" spans="19:19" ht="15.75">
      <c r="S2554" s="1"/>
    </row>
    <row r="2555" spans="19:19" ht="15.75">
      <c r="S2555" s="1"/>
    </row>
    <row r="2556" spans="19:19" ht="15.75">
      <c r="S2556" s="1"/>
    </row>
    <row r="2557" spans="19:19" ht="15.75">
      <c r="S2557" s="1"/>
    </row>
    <row r="2558" spans="19:19" ht="15.75">
      <c r="S2558" s="1"/>
    </row>
    <row r="2559" spans="19:19" ht="15.75">
      <c r="S2559" s="1"/>
    </row>
    <row r="2560" spans="19:19" ht="15.75">
      <c r="S2560" s="1"/>
    </row>
    <row r="2561" spans="19:19" ht="15.75">
      <c r="S2561" s="1"/>
    </row>
    <row r="2562" spans="19:19" ht="15.75">
      <c r="S2562" s="1"/>
    </row>
    <row r="2563" spans="19:19" ht="15.75">
      <c r="S2563" s="1"/>
    </row>
    <row r="2564" spans="19:19" ht="15.75">
      <c r="S2564" s="1"/>
    </row>
    <row r="2565" spans="19:19" ht="15.75">
      <c r="S2565" s="1"/>
    </row>
    <row r="2566" spans="19:19" ht="15.75">
      <c r="S2566" s="1"/>
    </row>
    <row r="2567" spans="19:19" ht="15.75">
      <c r="S2567" s="1"/>
    </row>
    <row r="2568" spans="19:19" ht="15.75">
      <c r="S2568" s="1"/>
    </row>
    <row r="2569" spans="19:19" ht="15.75">
      <c r="S2569" s="1"/>
    </row>
    <row r="2570" spans="19:19" ht="15.75">
      <c r="S2570" s="1"/>
    </row>
    <row r="2571" spans="19:19" ht="15.75">
      <c r="S2571" s="1"/>
    </row>
    <row r="2572" spans="19:19" ht="15.75">
      <c r="S2572" s="1"/>
    </row>
    <row r="2573" spans="19:19" ht="15.75">
      <c r="S2573" s="1"/>
    </row>
    <row r="2574" spans="19:19" ht="15.75">
      <c r="S2574" s="1"/>
    </row>
    <row r="2575" spans="19:19" ht="15.75">
      <c r="S2575" s="1"/>
    </row>
    <row r="2576" spans="19:19" ht="15.75">
      <c r="S2576" s="1"/>
    </row>
    <row r="2577" spans="19:19" ht="15.75">
      <c r="S2577" s="1"/>
    </row>
    <row r="2578" spans="19:19" ht="15.75">
      <c r="S2578" s="1"/>
    </row>
    <row r="2579" spans="19:19" ht="15.75">
      <c r="S2579" s="1"/>
    </row>
    <row r="2580" spans="19:19" ht="15.75">
      <c r="S2580" s="1"/>
    </row>
    <row r="2581" spans="19:19" ht="15.75">
      <c r="S2581" s="1"/>
    </row>
    <row r="2582" spans="19:19" ht="15.75">
      <c r="S2582" s="1"/>
    </row>
    <row r="2583" spans="19:19" ht="15.75">
      <c r="S2583" s="1"/>
    </row>
    <row r="2584" spans="19:19" ht="15.75">
      <c r="S2584" s="1"/>
    </row>
    <row r="2585" spans="19:19" ht="15.75">
      <c r="S2585" s="1"/>
    </row>
    <row r="2586" spans="19:19" ht="15.75">
      <c r="S2586" s="1"/>
    </row>
    <row r="2587" spans="19:19" ht="15.75">
      <c r="S2587" s="1"/>
    </row>
    <row r="2588" spans="19:19" ht="15.75">
      <c r="S2588" s="1"/>
    </row>
    <row r="2589" spans="19:19" ht="15.75">
      <c r="S2589" s="1"/>
    </row>
    <row r="2590" spans="19:19" ht="15.75">
      <c r="S2590" s="1"/>
    </row>
    <row r="2591" spans="19:19" ht="15.75">
      <c r="S2591" s="1"/>
    </row>
    <row r="2592" spans="19:19" ht="15.75">
      <c r="S2592" s="1"/>
    </row>
    <row r="2593" spans="19:19" ht="15.75">
      <c r="S2593" s="1"/>
    </row>
    <row r="2594" spans="19:19" ht="15.75">
      <c r="S2594" s="1"/>
    </row>
    <row r="2595" spans="19:19" ht="15.75">
      <c r="S2595" s="1"/>
    </row>
    <row r="2596" spans="19:19" ht="15.75">
      <c r="S2596" s="1"/>
    </row>
    <row r="2597" spans="19:19" ht="15.75">
      <c r="S2597" s="1"/>
    </row>
    <row r="2598" spans="19:19" ht="15.75">
      <c r="S2598" s="1"/>
    </row>
    <row r="2599" spans="19:19" ht="15.75">
      <c r="S2599" s="1"/>
    </row>
    <row r="2600" spans="19:19" ht="15.75">
      <c r="S2600" s="1"/>
    </row>
    <row r="2601" spans="19:19" ht="15.75">
      <c r="S2601" s="1"/>
    </row>
    <row r="2602" spans="19:19" ht="15.75">
      <c r="S2602" s="1"/>
    </row>
    <row r="2603" spans="19:19" ht="15.75">
      <c r="S2603" s="1"/>
    </row>
    <row r="2604" spans="19:19" ht="15.75">
      <c r="S2604" s="1"/>
    </row>
    <row r="2605" spans="19:19" ht="15.75">
      <c r="S2605" s="1"/>
    </row>
    <row r="2606" spans="19:19" ht="15.75">
      <c r="S2606" s="1"/>
    </row>
    <row r="2607" spans="19:19" ht="15.75">
      <c r="S2607" s="1"/>
    </row>
    <row r="2608" spans="19:19" ht="15.75">
      <c r="S2608" s="1"/>
    </row>
    <row r="2609" spans="19:19" ht="15.75">
      <c r="S2609" s="1"/>
    </row>
    <row r="2610" spans="19:19" ht="15.75">
      <c r="S2610" s="1"/>
    </row>
    <row r="2611" spans="19:19" ht="15.75">
      <c r="S2611" s="1"/>
    </row>
    <row r="2612" spans="19:19" ht="15.75">
      <c r="S2612" s="1"/>
    </row>
    <row r="2613" spans="19:19" ht="15.75">
      <c r="S2613" s="1"/>
    </row>
    <row r="2614" spans="19:19" ht="15.75">
      <c r="S2614" s="1"/>
    </row>
    <row r="2615" spans="19:19" ht="15.75">
      <c r="S2615" s="1"/>
    </row>
    <row r="2616" spans="19:19" ht="15.75">
      <c r="S2616" s="1"/>
    </row>
    <row r="2617" spans="19:19" ht="15.75">
      <c r="S2617" s="1"/>
    </row>
    <row r="2618" spans="19:19" ht="15.75">
      <c r="S2618" s="1"/>
    </row>
    <row r="2619" spans="19:19" ht="15.75">
      <c r="S2619" s="1"/>
    </row>
    <row r="2620" spans="19:19" ht="15.75">
      <c r="S2620" s="1"/>
    </row>
    <row r="2621" spans="19:19" ht="15.75">
      <c r="S2621" s="1"/>
    </row>
    <row r="2622" spans="19:19" ht="15.75">
      <c r="S2622" s="1"/>
    </row>
    <row r="2623" spans="19:19" ht="15.75">
      <c r="S2623" s="1"/>
    </row>
    <row r="2624" spans="19:19" ht="15.75">
      <c r="S2624" s="1"/>
    </row>
    <row r="2625" spans="19:19" ht="15.75">
      <c r="S2625" s="1"/>
    </row>
    <row r="2626" spans="19:19" ht="15.75">
      <c r="S2626" s="1"/>
    </row>
    <row r="2627" spans="19:19" ht="15.75">
      <c r="S2627" s="1"/>
    </row>
    <row r="2628" spans="19:19" ht="15.75">
      <c r="S2628" s="1"/>
    </row>
    <row r="2629" spans="19:19" ht="15.75">
      <c r="S2629" s="1"/>
    </row>
    <row r="2630" spans="19:19" ht="15.75">
      <c r="S2630" s="1"/>
    </row>
    <row r="2631" spans="19:19" ht="15.75">
      <c r="S2631" s="1"/>
    </row>
    <row r="2632" spans="19:19" ht="15.75">
      <c r="S2632" s="1"/>
    </row>
    <row r="2633" spans="19:19" ht="15.75">
      <c r="S2633" s="1"/>
    </row>
    <row r="2634" spans="19:19" ht="15.75">
      <c r="S2634" s="1"/>
    </row>
    <row r="2635" spans="19:19" ht="15.75">
      <c r="S2635" s="1"/>
    </row>
    <row r="2636" spans="19:19" ht="15.75">
      <c r="S2636" s="1"/>
    </row>
    <row r="2637" spans="19:19" ht="15.75">
      <c r="S2637" s="1"/>
    </row>
    <row r="2638" spans="19:19" ht="15.75">
      <c r="S2638" s="1"/>
    </row>
    <row r="2639" spans="19:19" ht="15.75">
      <c r="S2639" s="1"/>
    </row>
    <row r="2640" spans="19:19" ht="15.75">
      <c r="S2640" s="1"/>
    </row>
    <row r="2641" spans="19:19" ht="15.75">
      <c r="S2641" s="1"/>
    </row>
    <row r="2642" spans="19:19" ht="15.75">
      <c r="S2642" s="1"/>
    </row>
    <row r="2643" spans="19:19" ht="15.75">
      <c r="S2643" s="1"/>
    </row>
    <row r="2644" spans="19:19" ht="15.75">
      <c r="S2644" s="1"/>
    </row>
    <row r="2645" spans="19:19" ht="15.75">
      <c r="S2645" s="1"/>
    </row>
    <row r="2646" spans="19:19" ht="15.75">
      <c r="S2646" s="1"/>
    </row>
    <row r="2647" spans="19:19" ht="15.75">
      <c r="S2647" s="1"/>
    </row>
    <row r="2648" spans="19:19" ht="15.75">
      <c r="S2648" s="1"/>
    </row>
    <row r="2649" spans="19:19" ht="15.75">
      <c r="S2649" s="1"/>
    </row>
    <row r="2650" spans="19:19" ht="15.75">
      <c r="S2650" s="1"/>
    </row>
    <row r="2651" spans="19:19" ht="15.75">
      <c r="S2651" s="1"/>
    </row>
    <row r="2652" spans="19:19" ht="15.75">
      <c r="S2652" s="1"/>
    </row>
    <row r="2653" spans="19:19" ht="15.75">
      <c r="S2653" s="1"/>
    </row>
    <row r="2654" spans="19:19" ht="15.75">
      <c r="S2654" s="1"/>
    </row>
    <row r="2655" spans="19:19" ht="15.75">
      <c r="S2655" s="1"/>
    </row>
    <row r="2656" spans="19:19" ht="15.75">
      <c r="S2656" s="1"/>
    </row>
    <row r="2657" spans="19:19" ht="15.75">
      <c r="S2657" s="1"/>
    </row>
    <row r="2658" spans="19:19" ht="15.75">
      <c r="S2658" s="1"/>
    </row>
    <row r="2659" spans="19:19" ht="15.75">
      <c r="S2659" s="1"/>
    </row>
    <row r="2660" spans="19:19" ht="15.75">
      <c r="S2660" s="1"/>
    </row>
    <row r="2661" spans="19:19" ht="15.75">
      <c r="S2661" s="1"/>
    </row>
    <row r="2662" spans="19:19" ht="15.75">
      <c r="S2662" s="1"/>
    </row>
    <row r="2663" spans="19:19" ht="15.75">
      <c r="S2663" s="1"/>
    </row>
    <row r="2664" spans="19:19" ht="15.75">
      <c r="S2664" s="1"/>
    </row>
    <row r="2665" spans="19:19" ht="15.75">
      <c r="S2665" s="1"/>
    </row>
    <row r="2666" spans="19:19" ht="15.75">
      <c r="S2666" s="1"/>
    </row>
    <row r="2667" spans="19:19" ht="15.75">
      <c r="S2667" s="1"/>
    </row>
    <row r="2668" spans="19:19" ht="15.75">
      <c r="S2668" s="1"/>
    </row>
    <row r="2669" spans="19:19" ht="15.75">
      <c r="S2669" s="1"/>
    </row>
    <row r="2670" spans="19:19" ht="15.75">
      <c r="S2670" s="1"/>
    </row>
    <row r="2671" spans="19:19" ht="15.75">
      <c r="S2671" s="1"/>
    </row>
    <row r="2672" spans="19:19" ht="15.75">
      <c r="S2672" s="1"/>
    </row>
    <row r="2673" spans="19:19" ht="15.75">
      <c r="S2673" s="1"/>
    </row>
    <row r="2674" spans="19:19" ht="15.75">
      <c r="S2674" s="1"/>
    </row>
    <row r="2675" spans="19:19" ht="15.75">
      <c r="S2675" s="1"/>
    </row>
    <row r="2676" spans="19:19" ht="15.75">
      <c r="S2676" s="1"/>
    </row>
    <row r="2677" spans="19:19" ht="15.75">
      <c r="S2677" s="1"/>
    </row>
    <row r="2678" spans="19:19" ht="15.75">
      <c r="S2678" s="1"/>
    </row>
    <row r="2679" spans="19:19" ht="15.75">
      <c r="S2679" s="1"/>
    </row>
    <row r="2680" spans="19:19" ht="15.75">
      <c r="S2680" s="1"/>
    </row>
    <row r="2681" spans="19:19" ht="15.75">
      <c r="S2681" s="1"/>
    </row>
    <row r="2682" spans="19:19" ht="15.75">
      <c r="S2682" s="1"/>
    </row>
    <row r="2683" spans="19:19" ht="15.75">
      <c r="S2683" s="1"/>
    </row>
    <row r="2684" spans="19:19" ht="15.75">
      <c r="S2684" s="1"/>
    </row>
    <row r="2685" spans="19:19" ht="15.75">
      <c r="S2685" s="1"/>
    </row>
    <row r="2686" spans="19:19" ht="15.75">
      <c r="S2686" s="1"/>
    </row>
    <row r="2687" spans="19:19" ht="15.75">
      <c r="S2687" s="1"/>
    </row>
    <row r="2688" spans="19:19" ht="15.75">
      <c r="S2688" s="1"/>
    </row>
    <row r="2689" spans="19:19" ht="15.75">
      <c r="S2689" s="1"/>
    </row>
    <row r="2690" spans="19:19" ht="15.75">
      <c r="S2690" s="1"/>
    </row>
    <row r="2691" spans="19:19" ht="15.75">
      <c r="S2691" s="1"/>
    </row>
    <row r="2692" spans="19:19" ht="15.75">
      <c r="S2692" s="1"/>
    </row>
    <row r="2693" spans="19:19" ht="15.75">
      <c r="S2693" s="1"/>
    </row>
    <row r="2694" spans="19:19" ht="15.75">
      <c r="S2694" s="1"/>
    </row>
    <row r="2695" spans="19:19" ht="15.75">
      <c r="S2695" s="1"/>
    </row>
    <row r="2696" spans="19:19" ht="15.75">
      <c r="S2696" s="1"/>
    </row>
    <row r="2697" spans="19:19" ht="15.75">
      <c r="S2697" s="1"/>
    </row>
    <row r="2698" spans="19:19" ht="15.75">
      <c r="S2698" s="1"/>
    </row>
    <row r="2699" spans="19:19" ht="15.75">
      <c r="S2699" s="1"/>
    </row>
    <row r="2700" spans="19:19" ht="15.75">
      <c r="S2700" s="1"/>
    </row>
    <row r="2701" spans="19:19" ht="15.75">
      <c r="S2701" s="1"/>
    </row>
    <row r="2702" spans="19:19" ht="15.75">
      <c r="S2702" s="1"/>
    </row>
    <row r="2703" spans="19:19" ht="15.75">
      <c r="S2703" s="1"/>
    </row>
    <row r="2704" spans="19:19" ht="15.75">
      <c r="S2704" s="1"/>
    </row>
    <row r="2705" spans="19:19" ht="15.75">
      <c r="S2705" s="1"/>
    </row>
    <row r="2706" spans="19:19" ht="15.75">
      <c r="S2706" s="1"/>
    </row>
    <row r="2707" spans="19:19" ht="15.75">
      <c r="S2707" s="1"/>
    </row>
    <row r="2708" spans="19:19" ht="15.75">
      <c r="S2708" s="1"/>
    </row>
    <row r="2709" spans="19:19" ht="15.75">
      <c r="S2709" s="1"/>
    </row>
    <row r="2710" spans="19:19" ht="15.75">
      <c r="S2710" s="1"/>
    </row>
    <row r="2711" spans="19:19" ht="15.75">
      <c r="S2711" s="1"/>
    </row>
    <row r="2712" spans="19:19" ht="15.75">
      <c r="S2712" s="1"/>
    </row>
    <row r="2713" spans="19:19" ht="15.75">
      <c r="S2713" s="1"/>
    </row>
    <row r="2714" spans="19:19" ht="15.75">
      <c r="S2714" s="1"/>
    </row>
    <row r="2715" spans="19:19" ht="15.75">
      <c r="S2715" s="1"/>
    </row>
    <row r="2716" spans="19:19" ht="15.75">
      <c r="S2716" s="1"/>
    </row>
    <row r="2717" spans="19:19" ht="15.75">
      <c r="S2717" s="1"/>
    </row>
    <row r="2718" spans="19:19" ht="15.75">
      <c r="S2718" s="1"/>
    </row>
    <row r="2719" spans="19:19" ht="15.75">
      <c r="S2719" s="1"/>
    </row>
    <row r="2720" spans="19:19" ht="15.75">
      <c r="S2720" s="1"/>
    </row>
    <row r="2721" spans="19:19" ht="15.75">
      <c r="S2721" s="1"/>
    </row>
    <row r="2722" spans="19:19" ht="15.75">
      <c r="S2722" s="1"/>
    </row>
    <row r="2723" spans="19:19" ht="15.75">
      <c r="S2723" s="1"/>
    </row>
    <row r="2724" spans="19:19" ht="15.75">
      <c r="S2724" s="1"/>
    </row>
    <row r="2725" spans="19:19" ht="15.75">
      <c r="S2725" s="1"/>
    </row>
    <row r="2726" spans="19:19" ht="15.75">
      <c r="S2726" s="1"/>
    </row>
    <row r="2727" spans="19:19" ht="15.75">
      <c r="S2727" s="1"/>
    </row>
    <row r="2728" spans="19:19" ht="15.75">
      <c r="S2728" s="1"/>
    </row>
    <row r="2729" spans="19:19" ht="15.75">
      <c r="S2729" s="1"/>
    </row>
    <row r="2730" spans="19:19" ht="15.75">
      <c r="S2730" s="1"/>
    </row>
    <row r="2731" spans="19:19" ht="15.75">
      <c r="S2731" s="1"/>
    </row>
    <row r="2732" spans="19:19" ht="15.75">
      <c r="S2732" s="1"/>
    </row>
    <row r="2733" spans="19:19" ht="15.75">
      <c r="S2733" s="1"/>
    </row>
    <row r="2734" spans="19:19" ht="15.75">
      <c r="S2734" s="1"/>
    </row>
    <row r="2735" spans="19:19" ht="15.75">
      <c r="S2735" s="1"/>
    </row>
    <row r="2736" spans="19:19" ht="15.75">
      <c r="S2736" s="1"/>
    </row>
    <row r="2737" spans="19:19" ht="15.75">
      <c r="S2737" s="1"/>
    </row>
    <row r="2738" spans="19:19" ht="15.75">
      <c r="S2738" s="1"/>
    </row>
    <row r="2739" spans="19:19" ht="15.75">
      <c r="S2739" s="1"/>
    </row>
    <row r="2740" spans="19:19" ht="15.75">
      <c r="S2740" s="1"/>
    </row>
    <row r="2741" spans="19:19" ht="15.75">
      <c r="S2741" s="1"/>
    </row>
    <row r="2742" spans="19:19" ht="15.75">
      <c r="S2742" s="1"/>
    </row>
    <row r="2743" spans="19:19" ht="15.75">
      <c r="S2743" s="1"/>
    </row>
    <row r="2744" spans="19:19" ht="15.75">
      <c r="S2744" s="1"/>
    </row>
    <row r="2745" spans="19:19" ht="15.75">
      <c r="S2745" s="1"/>
    </row>
    <row r="2746" spans="19:19" ht="15.75">
      <c r="S2746" s="1"/>
    </row>
    <row r="2747" spans="19:19" ht="15.75">
      <c r="S2747" s="1"/>
    </row>
    <row r="2748" spans="19:19" ht="15.75">
      <c r="S2748" s="1"/>
    </row>
    <row r="2749" spans="19:19" ht="15.75">
      <c r="S2749" s="1"/>
    </row>
    <row r="2750" spans="19:19" ht="15.75">
      <c r="S2750" s="1"/>
    </row>
    <row r="2751" spans="19:19" ht="15.75">
      <c r="S2751" s="1"/>
    </row>
    <row r="2752" spans="19:19" ht="15.75">
      <c r="S2752" s="1"/>
    </row>
    <row r="2753" spans="19:19" ht="15.75">
      <c r="S2753" s="1"/>
    </row>
    <row r="2754" spans="19:19" ht="15.75">
      <c r="S2754" s="1"/>
    </row>
    <row r="2755" spans="19:19" ht="15.75">
      <c r="S2755" s="1"/>
    </row>
    <row r="2756" spans="19:19" ht="15.75">
      <c r="S2756" s="1"/>
    </row>
    <row r="2757" spans="19:19" ht="15.75">
      <c r="S2757" s="1"/>
    </row>
    <row r="2758" spans="19:19" ht="15.75">
      <c r="S2758" s="1"/>
    </row>
    <row r="2759" spans="19:19" ht="15.75">
      <c r="S2759" s="1"/>
    </row>
    <row r="2760" spans="19:19" ht="15.75">
      <c r="S2760" s="1"/>
    </row>
    <row r="2761" spans="19:19" ht="15.75">
      <c r="S2761" s="1"/>
    </row>
    <row r="2762" spans="19:19" ht="15.75">
      <c r="S2762" s="1"/>
    </row>
    <row r="2763" spans="19:19" ht="15.75">
      <c r="S2763" s="1"/>
    </row>
    <row r="2764" spans="19:19" ht="15.75">
      <c r="S2764" s="1"/>
    </row>
    <row r="2765" spans="19:19" ht="15.75">
      <c r="S2765" s="1"/>
    </row>
    <row r="2766" spans="19:19" ht="15.75">
      <c r="S2766" s="1"/>
    </row>
    <row r="2767" spans="19:19" ht="15.75">
      <c r="S2767" s="1"/>
    </row>
    <row r="2768" spans="19:19" ht="15.75">
      <c r="S2768" s="1"/>
    </row>
    <row r="2769" spans="19:19" ht="15.75">
      <c r="S2769" s="1"/>
    </row>
    <row r="2770" spans="19:19" ht="15.75">
      <c r="S2770" s="1"/>
    </row>
    <row r="2771" spans="19:19" ht="15.75">
      <c r="S2771" s="1"/>
    </row>
    <row r="2772" spans="19:19" ht="15.75">
      <c r="S2772" s="1"/>
    </row>
    <row r="2773" spans="19:19" ht="15.75">
      <c r="S2773" s="1"/>
    </row>
    <row r="2774" spans="19:19" ht="15.75">
      <c r="S2774" s="1"/>
    </row>
    <row r="2775" spans="19:19" ht="15.75">
      <c r="S2775" s="1"/>
    </row>
    <row r="2776" spans="19:19" ht="15.75">
      <c r="S2776" s="1"/>
    </row>
    <row r="2777" spans="19:19" ht="15.75">
      <c r="S2777" s="1"/>
    </row>
    <row r="2778" spans="19:19" ht="15.75">
      <c r="S2778" s="1"/>
    </row>
    <row r="2779" spans="19:19" ht="15.75">
      <c r="S2779" s="1"/>
    </row>
    <row r="2780" spans="19:19" ht="15.75">
      <c r="S2780" s="1"/>
    </row>
    <row r="2781" spans="19:19" ht="15.75">
      <c r="S2781" s="1"/>
    </row>
    <row r="2782" spans="19:19" ht="15.75">
      <c r="S2782" s="1"/>
    </row>
    <row r="2783" spans="19:19" ht="15.75">
      <c r="S2783" s="1"/>
    </row>
    <row r="2784" spans="19:19" ht="15.75">
      <c r="S2784" s="1"/>
    </row>
    <row r="2785" spans="19:19" ht="15.75">
      <c r="S2785" s="1"/>
    </row>
    <row r="2786" spans="19:19" ht="15.75">
      <c r="S2786" s="1"/>
    </row>
    <row r="2787" spans="19:19" ht="15.75">
      <c r="S2787" s="1"/>
    </row>
    <row r="2788" spans="19:19" ht="15.75">
      <c r="S2788" s="1"/>
    </row>
    <row r="2789" spans="19:19" ht="15.75">
      <c r="S2789" s="1"/>
    </row>
    <row r="2790" spans="19:19" ht="15.75">
      <c r="S2790" s="1"/>
    </row>
    <row r="2791" spans="19:19" ht="15.75">
      <c r="S2791" s="1"/>
    </row>
    <row r="2792" spans="19:19" ht="15.75">
      <c r="S2792" s="1"/>
    </row>
    <row r="2793" spans="19:19" ht="15.75">
      <c r="S2793" s="1"/>
    </row>
    <row r="2794" spans="19:19" ht="15.75">
      <c r="S2794" s="1"/>
    </row>
    <row r="2795" spans="19:19" ht="15.75">
      <c r="S2795" s="1"/>
    </row>
    <row r="2796" spans="19:19" ht="15.75">
      <c r="S2796" s="1"/>
    </row>
    <row r="2797" spans="19:19" ht="15.75">
      <c r="S2797" s="1"/>
    </row>
    <row r="2798" spans="19:19" ht="15.75">
      <c r="S2798" s="1"/>
    </row>
    <row r="2799" spans="19:19" ht="15.75">
      <c r="S2799" s="1"/>
    </row>
    <row r="2800" spans="19:19" ht="15.75">
      <c r="S2800" s="1"/>
    </row>
    <row r="2801" spans="19:19" ht="15.75">
      <c r="S2801" s="1"/>
    </row>
    <row r="2802" spans="19:19" ht="15.75">
      <c r="S2802" s="1"/>
    </row>
    <row r="2803" spans="19:19" ht="15.75">
      <c r="S2803" s="1"/>
    </row>
    <row r="2804" spans="19:19" ht="15.75">
      <c r="S2804" s="1"/>
    </row>
    <row r="2805" spans="19:19" ht="15.75">
      <c r="S2805" s="1"/>
    </row>
    <row r="2806" spans="19:19" ht="15.75">
      <c r="S2806" s="1"/>
    </row>
    <row r="2807" spans="19:19" ht="15.75">
      <c r="S2807" s="1"/>
    </row>
    <row r="2808" spans="19:19" ht="15.75">
      <c r="S2808" s="1"/>
    </row>
    <row r="2809" spans="19:19" ht="15.75">
      <c r="S2809" s="1"/>
    </row>
    <row r="2810" spans="19:19" ht="15.75">
      <c r="S2810" s="1"/>
    </row>
    <row r="2811" spans="19:19" ht="15.75">
      <c r="S2811" s="1"/>
    </row>
    <row r="2812" spans="19:19" ht="15.75">
      <c r="S2812" s="1"/>
    </row>
    <row r="2813" spans="19:19" ht="15.75">
      <c r="S2813" s="1"/>
    </row>
    <row r="2814" spans="19:19" ht="15.75">
      <c r="S2814" s="1"/>
    </row>
    <row r="2815" spans="19:19" ht="15.75">
      <c r="S2815" s="1"/>
    </row>
    <row r="2816" spans="19:19" ht="15.75">
      <c r="S2816" s="1"/>
    </row>
    <row r="2817" spans="19:19" ht="15.75">
      <c r="S2817" s="1"/>
    </row>
    <row r="2818" spans="19:19" ht="15.75">
      <c r="S2818" s="1"/>
    </row>
    <row r="2819" spans="19:19" ht="15.75">
      <c r="S2819" s="1"/>
    </row>
    <row r="2820" spans="19:19" ht="15.75">
      <c r="S2820" s="1"/>
    </row>
    <row r="2821" spans="19:19" ht="15.75">
      <c r="S2821" s="1"/>
    </row>
    <row r="2822" spans="19:19" ht="15.75">
      <c r="S2822" s="1"/>
    </row>
    <row r="2823" spans="19:19" ht="15.75">
      <c r="S2823" s="1"/>
    </row>
    <row r="2824" spans="19:19" ht="15.75">
      <c r="S2824" s="1"/>
    </row>
    <row r="2825" spans="19:19" ht="15.75">
      <c r="S2825" s="1"/>
    </row>
    <row r="2826" spans="19:19" ht="15.75">
      <c r="S2826" s="1"/>
    </row>
    <row r="2827" spans="19:19" ht="15.75">
      <c r="S2827" s="1"/>
    </row>
    <row r="2828" spans="19:19" ht="15.75">
      <c r="S2828" s="1"/>
    </row>
    <row r="2829" spans="19:19" ht="15.75">
      <c r="S2829" s="1"/>
    </row>
    <row r="2830" spans="19:19" ht="15.75">
      <c r="S2830" s="1"/>
    </row>
    <row r="2831" spans="19:19" ht="15.75">
      <c r="S2831" s="1"/>
    </row>
    <row r="2832" spans="19:19" ht="15.75">
      <c r="S2832" s="1"/>
    </row>
    <row r="2833" spans="19:19" ht="15.75">
      <c r="S2833" s="1"/>
    </row>
    <row r="2834" spans="19:19" ht="15.75">
      <c r="S2834" s="1"/>
    </row>
    <row r="2835" spans="19:19" ht="15.75">
      <c r="S2835" s="1"/>
    </row>
    <row r="2836" spans="19:19" ht="15.75">
      <c r="S2836" s="1"/>
    </row>
    <row r="2837" spans="19:19" ht="15.75">
      <c r="S2837" s="1"/>
    </row>
    <row r="2838" spans="19:19" ht="15.75">
      <c r="S2838" s="1"/>
    </row>
    <row r="2839" spans="19:19" ht="15.75">
      <c r="S2839" s="1"/>
    </row>
    <row r="2840" spans="19:19" ht="15.75">
      <c r="S2840" s="1"/>
    </row>
    <row r="2841" spans="19:19" ht="15.75">
      <c r="S2841" s="1"/>
    </row>
    <row r="2842" spans="19:19" ht="15.75">
      <c r="S2842" s="1"/>
    </row>
    <row r="2843" spans="19:19" ht="15.75">
      <c r="S2843" s="1"/>
    </row>
    <row r="2844" spans="19:19" ht="15.75">
      <c r="S2844" s="1"/>
    </row>
    <row r="2845" spans="19:19" ht="15.75">
      <c r="S2845" s="1"/>
    </row>
    <row r="2846" spans="19:19" ht="15.75">
      <c r="S2846" s="1"/>
    </row>
    <row r="2847" spans="19:19" ht="15.75">
      <c r="S2847" s="1"/>
    </row>
    <row r="2848" spans="19:19" ht="15.75">
      <c r="S2848" s="1"/>
    </row>
    <row r="2849" spans="19:19" ht="15.75">
      <c r="S2849" s="1"/>
    </row>
    <row r="2850" spans="19:19" ht="15.75">
      <c r="S2850" s="1"/>
    </row>
    <row r="2851" spans="19:19" ht="15.75">
      <c r="S2851" s="1"/>
    </row>
    <row r="2852" spans="19:19" ht="15.75">
      <c r="S2852" s="1"/>
    </row>
    <row r="2853" spans="19:19" ht="15.75">
      <c r="S2853" s="1"/>
    </row>
    <row r="2854" spans="19:19" ht="15.75">
      <c r="S2854" s="1"/>
    </row>
    <row r="2855" spans="19:19" ht="15.75">
      <c r="S2855" s="1"/>
    </row>
    <row r="2856" spans="19:19" ht="15.75">
      <c r="S2856" s="1"/>
    </row>
    <row r="2857" spans="19:19" ht="15.75">
      <c r="S2857" s="1"/>
    </row>
    <row r="2858" spans="19:19" ht="15.75">
      <c r="S2858" s="1"/>
    </row>
    <row r="2859" spans="19:19" ht="15.75">
      <c r="S2859" s="1"/>
    </row>
    <row r="2860" spans="19:19" ht="15.75">
      <c r="S2860" s="1"/>
    </row>
    <row r="2861" spans="19:19" ht="15.75">
      <c r="S2861" s="1"/>
    </row>
    <row r="2862" spans="19:19" ht="15.75">
      <c r="S2862" s="1"/>
    </row>
    <row r="2863" spans="19:19" ht="15.75">
      <c r="S2863" s="1"/>
    </row>
    <row r="2864" spans="19:19" ht="15.75">
      <c r="S2864" s="1"/>
    </row>
    <row r="2865" spans="19:19" ht="15.75">
      <c r="S2865" s="1"/>
    </row>
    <row r="2866" spans="19:19" ht="15.75">
      <c r="S2866" s="1"/>
    </row>
    <row r="2867" spans="19:19" ht="15.75">
      <c r="S2867" s="1"/>
    </row>
    <row r="2868" spans="19:19" ht="15.75">
      <c r="S2868" s="1"/>
    </row>
    <row r="2869" spans="19:19" ht="15.75">
      <c r="S2869" s="1"/>
    </row>
    <row r="2870" spans="19:19" ht="15.75">
      <c r="S2870" s="1"/>
    </row>
    <row r="2871" spans="19:19" ht="15.75">
      <c r="S2871" s="1"/>
    </row>
    <row r="2872" spans="19:19" ht="15.75">
      <c r="S2872" s="1"/>
    </row>
    <row r="2873" spans="19:19" ht="15.75">
      <c r="S2873" s="1"/>
    </row>
    <row r="2874" spans="19:19" ht="15.75">
      <c r="S2874" s="1"/>
    </row>
    <row r="2875" spans="19:19" ht="15.75">
      <c r="S2875" s="1"/>
    </row>
    <row r="2876" spans="19:19" ht="15.75">
      <c r="S2876" s="1"/>
    </row>
    <row r="2877" spans="19:19" ht="15.75">
      <c r="S2877" s="1"/>
    </row>
    <row r="2878" spans="19:19" ht="15.75">
      <c r="S2878" s="1"/>
    </row>
    <row r="2879" spans="19:19" ht="15.75">
      <c r="S2879" s="1"/>
    </row>
    <row r="2880" spans="19:19" ht="15.75">
      <c r="S2880" s="1"/>
    </row>
    <row r="2881" spans="19:19" ht="15.75">
      <c r="S2881" s="1"/>
    </row>
    <row r="2882" spans="19:19" ht="15.75">
      <c r="S2882" s="1"/>
    </row>
    <row r="2883" spans="19:19" ht="15.75">
      <c r="S2883" s="1"/>
    </row>
    <row r="2884" spans="19:19" ht="15.75">
      <c r="S2884" s="1"/>
    </row>
    <row r="2885" spans="19:19" ht="15.75">
      <c r="S2885" s="1"/>
    </row>
    <row r="2886" spans="19:19" ht="15.75">
      <c r="S2886" s="1"/>
    </row>
    <row r="2887" spans="19:19" ht="15.75">
      <c r="S2887" s="1"/>
    </row>
    <row r="2888" spans="19:19" ht="15.75">
      <c r="S2888" s="1"/>
    </row>
    <row r="2889" spans="19:19" ht="15.75">
      <c r="S2889" s="1"/>
    </row>
    <row r="2890" spans="19:19" ht="15.75">
      <c r="S2890" s="1"/>
    </row>
    <row r="2891" spans="19:19" ht="15.75">
      <c r="S2891" s="1"/>
    </row>
    <row r="2892" spans="19:19" ht="15.75">
      <c r="S2892" s="1"/>
    </row>
    <row r="2893" spans="19:19" ht="15.75">
      <c r="S2893" s="1"/>
    </row>
    <row r="2894" spans="19:19" ht="15.75">
      <c r="S2894" s="1"/>
    </row>
    <row r="2895" spans="19:19" ht="15.75">
      <c r="S2895" s="1"/>
    </row>
    <row r="2896" spans="19:19" ht="15.75">
      <c r="S2896" s="1"/>
    </row>
    <row r="2897" spans="19:19" ht="15.75">
      <c r="S2897" s="1"/>
    </row>
    <row r="2898" spans="19:19" ht="15.75">
      <c r="S2898" s="1"/>
    </row>
    <row r="2899" spans="19:19" ht="15.75">
      <c r="S2899" s="1"/>
    </row>
    <row r="2900" spans="19:19" ht="15.75">
      <c r="S2900" s="1"/>
    </row>
    <row r="2901" spans="19:19" ht="15.75">
      <c r="S2901" s="1"/>
    </row>
    <row r="2902" spans="19:19" ht="15.75">
      <c r="S2902" s="1"/>
    </row>
    <row r="2903" spans="19:19" ht="15.75">
      <c r="S2903" s="1"/>
    </row>
    <row r="2904" spans="19:19" ht="15.75">
      <c r="S2904" s="1"/>
    </row>
    <row r="2905" spans="19:19" ht="15.75">
      <c r="S2905" s="1"/>
    </row>
    <row r="2906" spans="19:19" ht="15.75">
      <c r="S2906" s="1"/>
    </row>
    <row r="2907" spans="19:19" ht="15.75">
      <c r="S2907" s="1"/>
    </row>
    <row r="2908" spans="19:19" ht="15.75">
      <c r="S2908" s="1"/>
    </row>
    <row r="2909" spans="19:19" ht="15.75">
      <c r="S2909" s="1"/>
    </row>
    <row r="2910" spans="19:19" ht="15.75">
      <c r="S2910" s="1"/>
    </row>
    <row r="2911" spans="19:19" ht="15.75">
      <c r="S2911" s="1"/>
    </row>
    <row r="2912" spans="19:19" ht="15.75">
      <c r="S2912" s="1"/>
    </row>
    <row r="2913" spans="19:19" ht="15.75">
      <c r="S2913" s="1"/>
    </row>
    <row r="2914" spans="19:19" ht="15.75">
      <c r="S2914" s="1"/>
    </row>
    <row r="2915" spans="19:19" ht="15.75">
      <c r="S2915" s="1"/>
    </row>
    <row r="2916" spans="19:19" ht="15.75">
      <c r="S2916" s="1"/>
    </row>
    <row r="2917" spans="19:19" ht="15.75">
      <c r="S2917" s="1"/>
    </row>
    <row r="2918" spans="19:19" ht="15.75">
      <c r="S2918" s="1"/>
    </row>
    <row r="2919" spans="19:19" ht="15.75">
      <c r="S2919" s="1"/>
    </row>
    <row r="2920" spans="19:19" ht="15.75">
      <c r="S2920" s="1"/>
    </row>
    <row r="2921" spans="19:19" ht="15.75">
      <c r="S2921" s="1"/>
    </row>
    <row r="2922" spans="19:19" ht="15.75">
      <c r="S2922" s="1"/>
    </row>
    <row r="2923" spans="19:19" ht="15.75">
      <c r="S2923" s="1"/>
    </row>
    <row r="2924" spans="19:19" ht="15.75">
      <c r="S2924" s="1"/>
    </row>
    <row r="2925" spans="19:19" ht="15.75">
      <c r="S2925" s="1"/>
    </row>
    <row r="2926" spans="19:19" ht="15.75">
      <c r="S2926" s="1"/>
    </row>
    <row r="2927" spans="19:19" ht="15.75">
      <c r="S2927" s="1"/>
    </row>
    <row r="2928" spans="19:19" ht="15.75">
      <c r="S2928" s="1"/>
    </row>
    <row r="2929" spans="19:19" ht="15.75">
      <c r="S2929" s="1"/>
    </row>
    <row r="2930" spans="19:19" ht="15.75">
      <c r="S2930" s="1"/>
    </row>
    <row r="2931" spans="19:19" ht="15.75">
      <c r="S2931" s="1"/>
    </row>
    <row r="2932" spans="19:19" ht="15.75">
      <c r="S2932" s="1"/>
    </row>
    <row r="2933" spans="19:19" ht="15.75">
      <c r="S2933" s="1"/>
    </row>
    <row r="2934" spans="19:19" ht="15.75">
      <c r="S2934" s="1"/>
    </row>
    <row r="2935" spans="19:19" ht="15.75">
      <c r="S2935" s="1"/>
    </row>
    <row r="2936" spans="19:19" ht="15.75">
      <c r="S2936" s="1"/>
    </row>
    <row r="2937" spans="19:19" ht="15.75">
      <c r="S2937" s="1"/>
    </row>
    <row r="2938" spans="19:19" ht="15.75">
      <c r="S2938" s="1"/>
    </row>
    <row r="2939" spans="19:19" ht="15.75">
      <c r="S2939" s="1"/>
    </row>
    <row r="2940" spans="19:19" ht="15.75">
      <c r="S2940" s="1"/>
    </row>
    <row r="2941" spans="19:19" ht="15.75">
      <c r="S2941" s="1"/>
    </row>
    <row r="2942" spans="19:19" ht="15.75">
      <c r="S2942" s="1"/>
    </row>
    <row r="2943" spans="19:19" ht="15.75">
      <c r="S2943" s="1"/>
    </row>
    <row r="2944" spans="19:19" ht="15.75">
      <c r="S2944" s="1"/>
    </row>
    <row r="2945" spans="19:19" ht="15.75">
      <c r="S2945" s="1"/>
    </row>
    <row r="2946" spans="19:19" ht="15.75">
      <c r="S2946" s="1"/>
    </row>
    <row r="2947" spans="19:19" ht="15.75">
      <c r="S2947" s="1"/>
    </row>
    <row r="2948" spans="19:19" ht="15.75">
      <c r="S2948" s="1"/>
    </row>
    <row r="2949" spans="19:19" ht="15.75">
      <c r="S2949" s="1"/>
    </row>
    <row r="2950" spans="19:19" ht="15.75">
      <c r="S2950" s="1"/>
    </row>
    <row r="2951" spans="19:19" ht="15.75">
      <c r="S2951" s="1"/>
    </row>
    <row r="2952" spans="19:19" ht="15.75">
      <c r="S2952" s="1"/>
    </row>
    <row r="2953" spans="19:19" ht="15.75">
      <c r="S2953" s="1"/>
    </row>
    <row r="2954" spans="19:19" ht="15.75">
      <c r="S2954" s="1"/>
    </row>
    <row r="2955" spans="19:19" ht="15.75">
      <c r="S2955" s="1"/>
    </row>
    <row r="2956" spans="19:19" ht="15.75">
      <c r="S2956" s="1"/>
    </row>
    <row r="2957" spans="19:19" ht="15.75">
      <c r="S2957" s="1"/>
    </row>
    <row r="2958" spans="19:19" ht="15.75">
      <c r="S2958" s="1"/>
    </row>
    <row r="2959" spans="19:19" ht="15.75">
      <c r="S2959" s="1"/>
    </row>
    <row r="2960" spans="19:19" ht="15.75">
      <c r="S2960" s="1"/>
    </row>
    <row r="2961" spans="19:19" ht="15.75">
      <c r="S2961" s="1"/>
    </row>
    <row r="2962" spans="19:19" ht="15.75">
      <c r="S2962" s="1"/>
    </row>
    <row r="2963" spans="19:19" ht="15.75">
      <c r="S2963" s="1"/>
    </row>
    <row r="2964" spans="19:19" ht="15.75">
      <c r="S2964" s="1"/>
    </row>
    <row r="2965" spans="19:19" ht="15.75">
      <c r="S2965" s="1"/>
    </row>
    <row r="2966" spans="19:19" ht="15.75">
      <c r="S2966" s="1"/>
    </row>
    <row r="2967" spans="19:19" ht="15.75">
      <c r="S2967" s="1"/>
    </row>
    <row r="2968" spans="19:19" ht="15.75">
      <c r="S2968" s="1"/>
    </row>
    <row r="2969" spans="19:19" ht="15.75">
      <c r="S2969" s="1"/>
    </row>
    <row r="2970" spans="19:19" ht="15.75">
      <c r="S2970" s="1"/>
    </row>
    <row r="2971" spans="19:19" ht="15.75">
      <c r="S2971" s="1"/>
    </row>
    <row r="2972" spans="19:19" ht="15.75">
      <c r="S2972" s="1"/>
    </row>
    <row r="2973" spans="19:19" ht="15.75">
      <c r="S2973" s="1"/>
    </row>
    <row r="2974" spans="19:19" ht="15.75">
      <c r="S2974" s="1"/>
    </row>
    <row r="2975" spans="19:19" ht="15.75">
      <c r="S2975" s="1"/>
    </row>
    <row r="2976" spans="19:19" ht="15.75">
      <c r="S2976" s="1"/>
    </row>
    <row r="2977" spans="19:19" ht="15.75">
      <c r="S2977" s="1"/>
    </row>
    <row r="2978" spans="19:19" ht="15.75">
      <c r="S2978" s="1"/>
    </row>
    <row r="2979" spans="19:19" ht="15.75">
      <c r="S2979" s="1"/>
    </row>
    <row r="2980" spans="19:19" ht="15.75">
      <c r="S2980" s="1"/>
    </row>
    <row r="2981" spans="19:19" ht="15.75">
      <c r="S2981" s="1"/>
    </row>
    <row r="2982" spans="19:19" ht="15.75">
      <c r="S2982" s="1"/>
    </row>
    <row r="2983" spans="19:19" ht="15.75">
      <c r="S2983" s="1"/>
    </row>
    <row r="2984" spans="19:19" ht="15.75">
      <c r="S2984" s="1"/>
    </row>
    <row r="2985" spans="19:19" ht="15.75">
      <c r="S2985" s="1"/>
    </row>
    <row r="2986" spans="19:19" ht="15.75">
      <c r="S2986" s="1"/>
    </row>
    <row r="2987" spans="19:19" ht="15.75">
      <c r="S2987" s="1"/>
    </row>
    <row r="2988" spans="19:19" ht="15.75">
      <c r="S2988" s="1"/>
    </row>
    <row r="2989" spans="19:19" ht="15.75">
      <c r="S2989" s="1"/>
    </row>
    <row r="2990" spans="19:19" ht="15.75">
      <c r="S2990" s="1"/>
    </row>
    <row r="2991" spans="19:19" ht="15.75">
      <c r="S2991" s="1"/>
    </row>
    <row r="2992" spans="19:19" ht="15.75">
      <c r="S2992" s="1"/>
    </row>
    <row r="2993" spans="19:19" ht="15.75">
      <c r="S2993" s="1"/>
    </row>
    <row r="2994" spans="19:19" ht="15.75">
      <c r="S2994" s="1"/>
    </row>
    <row r="2995" spans="19:19" ht="15.75">
      <c r="S2995" s="1"/>
    </row>
    <row r="2996" spans="19:19" ht="15.75">
      <c r="S2996" s="1"/>
    </row>
    <row r="2997" spans="19:19" ht="15.75">
      <c r="S2997" s="1"/>
    </row>
    <row r="2998" spans="19:19" ht="15.75">
      <c r="S2998" s="1"/>
    </row>
    <row r="2999" spans="19:19" ht="15.75">
      <c r="S2999" s="1"/>
    </row>
    <row r="3000" spans="19:19" ht="15.75">
      <c r="S3000" s="1"/>
    </row>
    <row r="3001" spans="19:19" ht="15.75">
      <c r="S3001" s="1"/>
    </row>
    <row r="3002" spans="19:19" ht="15.75">
      <c r="S3002" s="1"/>
    </row>
    <row r="3003" spans="19:19" ht="15.75">
      <c r="S3003" s="1"/>
    </row>
    <row r="3004" spans="19:19" ht="15.75">
      <c r="S3004" s="1"/>
    </row>
    <row r="3005" spans="19:19" ht="15.75">
      <c r="S3005" s="1"/>
    </row>
    <row r="3006" spans="19:19" ht="15.75">
      <c r="S3006" s="1"/>
    </row>
    <row r="3007" spans="19:19" ht="15.75">
      <c r="S3007" s="1"/>
    </row>
    <row r="3008" spans="19:19" ht="15.75">
      <c r="S3008" s="1"/>
    </row>
    <row r="3009" spans="19:19" ht="15.75">
      <c r="S3009" s="1"/>
    </row>
    <row r="3010" spans="19:19" ht="15.75">
      <c r="S3010" s="1"/>
    </row>
    <row r="3011" spans="19:19" ht="15.75">
      <c r="S3011" s="1"/>
    </row>
    <row r="3012" spans="19:19" ht="15.75">
      <c r="S3012" s="1"/>
    </row>
    <row r="3013" spans="19:19" ht="15.75">
      <c r="S3013" s="1"/>
    </row>
    <row r="3014" spans="19:19" ht="15.75">
      <c r="S3014" s="1"/>
    </row>
    <row r="3015" spans="19:19" ht="15.75">
      <c r="S3015" s="1"/>
    </row>
    <row r="3016" spans="19:19" ht="15.75">
      <c r="S3016" s="1"/>
    </row>
    <row r="3017" spans="19:19" ht="15.75">
      <c r="S3017" s="1"/>
    </row>
    <row r="3018" spans="19:19" ht="15.75">
      <c r="S3018" s="1"/>
    </row>
    <row r="3019" spans="19:19" ht="15.75">
      <c r="S3019" s="1"/>
    </row>
    <row r="3020" spans="19:19" ht="15.75">
      <c r="S3020" s="1"/>
    </row>
    <row r="3021" spans="19:19" ht="15.75">
      <c r="S3021" s="1"/>
    </row>
    <row r="3022" spans="19:19" ht="15.75">
      <c r="S3022" s="1"/>
    </row>
    <row r="3023" spans="19:19" ht="15.75">
      <c r="S3023" s="1"/>
    </row>
    <row r="3024" spans="19:19" ht="15.75">
      <c r="S3024" s="1"/>
    </row>
    <row r="3025" spans="19:19" ht="15.75">
      <c r="S3025" s="1"/>
    </row>
    <row r="3026" spans="19:19" ht="15.75">
      <c r="S3026" s="1"/>
    </row>
    <row r="3027" spans="19:19" ht="15.75">
      <c r="S3027" s="1"/>
    </row>
    <row r="3028" spans="19:19" ht="15.75">
      <c r="S3028" s="1"/>
    </row>
    <row r="3029" spans="19:19" ht="15.75">
      <c r="S3029" s="1"/>
    </row>
    <row r="3030" spans="19:19" ht="15.75">
      <c r="S3030" s="1"/>
    </row>
    <row r="3031" spans="19:19" ht="15.75">
      <c r="S3031" s="1"/>
    </row>
    <row r="3032" spans="19:19" ht="15.75">
      <c r="S3032" s="1"/>
    </row>
    <row r="3033" spans="19:19" ht="15.75">
      <c r="S3033" s="1"/>
    </row>
    <row r="3034" spans="19:19" ht="15.75">
      <c r="S3034" s="1"/>
    </row>
    <row r="3035" spans="19:19" ht="15.75">
      <c r="S3035" s="1"/>
    </row>
    <row r="3036" spans="19:19" ht="15.75">
      <c r="S3036" s="1"/>
    </row>
    <row r="3037" spans="19:19" ht="15.75">
      <c r="S3037" s="1"/>
    </row>
    <row r="3038" spans="19:19" ht="15.75">
      <c r="S3038" s="1"/>
    </row>
    <row r="3039" spans="19:19" ht="15.75">
      <c r="S3039" s="1"/>
    </row>
    <row r="3040" spans="19:19" ht="15.75">
      <c r="S3040" s="1"/>
    </row>
    <row r="3041" spans="19:19" ht="15.75">
      <c r="S3041" s="1"/>
    </row>
    <row r="3042" spans="19:19" ht="15.75">
      <c r="S3042" s="1"/>
    </row>
    <row r="3043" spans="19:19" ht="15.75">
      <c r="S3043" s="1"/>
    </row>
    <row r="3044" spans="19:19" ht="15.75">
      <c r="S3044" s="1"/>
    </row>
    <row r="3045" spans="19:19" ht="15.75">
      <c r="S3045" s="1"/>
    </row>
    <row r="3046" spans="19:19" ht="15.75">
      <c r="S3046" s="1"/>
    </row>
    <row r="3047" spans="19:19" ht="15.75">
      <c r="S3047" s="1"/>
    </row>
    <row r="3048" spans="19:19" ht="15.75">
      <c r="S3048" s="1"/>
    </row>
    <row r="3049" spans="19:19" ht="15.75">
      <c r="S3049" s="1"/>
    </row>
    <row r="3050" spans="19:19" ht="15.75">
      <c r="S3050" s="1"/>
    </row>
    <row r="3051" spans="19:19" ht="15.75">
      <c r="S3051" s="1"/>
    </row>
    <row r="3052" spans="19:19" ht="15.75">
      <c r="S3052" s="1"/>
    </row>
    <row r="3053" spans="19:19" ht="15.75">
      <c r="S3053" s="1"/>
    </row>
    <row r="3054" spans="19:19" ht="15.75">
      <c r="S3054" s="1"/>
    </row>
    <row r="3055" spans="19:19" ht="15.75">
      <c r="S3055" s="1"/>
    </row>
    <row r="3056" spans="19:19" ht="15.75">
      <c r="S3056" s="1"/>
    </row>
    <row r="3057" spans="19:19" ht="15.75">
      <c r="S3057" s="1"/>
    </row>
    <row r="3058" spans="19:19" ht="15.75">
      <c r="S3058" s="1"/>
    </row>
    <row r="3059" spans="19:19" ht="15.75">
      <c r="S3059" s="1"/>
    </row>
    <row r="3060" spans="19:19" ht="15.75">
      <c r="S3060" s="1"/>
    </row>
    <row r="3061" spans="19:19" ht="15.75">
      <c r="S3061" s="1"/>
    </row>
    <row r="3062" spans="19:19" ht="15.75">
      <c r="S3062" s="1"/>
    </row>
    <row r="3063" spans="19:19" ht="15.75">
      <c r="S3063" s="1"/>
    </row>
    <row r="3064" spans="19:19" ht="15.75">
      <c r="S3064" s="1"/>
    </row>
    <row r="3065" spans="19:19" ht="15.75">
      <c r="S3065" s="1"/>
    </row>
    <row r="3066" spans="19:19" ht="15.75">
      <c r="S3066" s="1"/>
    </row>
    <row r="3067" spans="19:19" ht="15.75">
      <c r="S3067" s="1"/>
    </row>
    <row r="3068" spans="19:19" ht="15.75">
      <c r="S3068" s="1"/>
    </row>
    <row r="3069" spans="19:19" ht="15.75">
      <c r="S3069" s="1"/>
    </row>
    <row r="3070" spans="19:19" ht="15.75">
      <c r="S3070" s="1"/>
    </row>
    <row r="3071" spans="19:19" ht="15.75">
      <c r="S3071" s="1"/>
    </row>
    <row r="3072" spans="19:19" ht="15.75">
      <c r="S3072" s="1"/>
    </row>
    <row r="3073" spans="19:19" ht="15.75">
      <c r="S3073" s="1"/>
    </row>
    <row r="3074" spans="19:19" ht="15.75">
      <c r="S3074" s="1"/>
    </row>
    <row r="3075" spans="19:19" ht="15.75">
      <c r="S3075" s="1"/>
    </row>
    <row r="3076" spans="19:19" ht="15.75">
      <c r="S3076" s="1"/>
    </row>
    <row r="3077" spans="19:19" ht="15.75">
      <c r="S3077" s="1"/>
    </row>
    <row r="3078" spans="19:19" ht="15.75">
      <c r="S3078" s="1"/>
    </row>
    <row r="3079" spans="19:19" ht="15.75">
      <c r="S3079" s="1"/>
    </row>
    <row r="3080" spans="19:19" ht="15.75">
      <c r="S3080" s="1"/>
    </row>
    <row r="3081" spans="19:19" ht="15.75">
      <c r="S3081" s="1"/>
    </row>
    <row r="3082" spans="19:19" ht="15.75">
      <c r="S3082" s="1"/>
    </row>
    <row r="3083" spans="19:19" ht="15.75">
      <c r="S3083" s="1"/>
    </row>
    <row r="3084" spans="19:19" ht="15.75">
      <c r="S3084" s="1"/>
    </row>
    <row r="3085" spans="19:19" ht="15.75">
      <c r="S3085" s="1"/>
    </row>
    <row r="3086" spans="19:19" ht="15.75">
      <c r="S3086" s="1"/>
    </row>
    <row r="3087" spans="19:19" ht="15.75">
      <c r="S3087" s="1"/>
    </row>
    <row r="3088" spans="19:19" ht="15.75">
      <c r="S3088" s="1"/>
    </row>
    <row r="3089" spans="19:19" ht="15.75">
      <c r="S3089" s="1"/>
    </row>
    <row r="3090" spans="19:19" ht="15.75">
      <c r="S3090" s="1"/>
    </row>
    <row r="3091" spans="19:19" ht="15.75">
      <c r="S3091" s="1"/>
    </row>
    <row r="3092" spans="19:19" ht="15.75">
      <c r="S3092" s="1"/>
    </row>
    <row r="3093" spans="19:19" ht="15.75">
      <c r="S3093" s="1"/>
    </row>
    <row r="3094" spans="19:19" ht="15.75">
      <c r="S3094" s="1"/>
    </row>
    <row r="3095" spans="19:19" ht="15.75">
      <c r="S3095" s="1"/>
    </row>
    <row r="3096" spans="19:19" ht="15.75">
      <c r="S3096" s="1"/>
    </row>
    <row r="3097" spans="19:19" ht="15.75">
      <c r="S3097" s="1"/>
    </row>
    <row r="3098" spans="19:19" ht="15.75">
      <c r="S3098" s="1"/>
    </row>
    <row r="3099" spans="19:19" ht="15.75">
      <c r="S3099" s="1"/>
    </row>
    <row r="3100" spans="19:19" ht="15.75">
      <c r="S3100" s="1"/>
    </row>
    <row r="3101" spans="19:19" ht="15.75">
      <c r="S3101" s="1"/>
    </row>
    <row r="3102" spans="19:19" ht="15.75">
      <c r="S3102" s="1"/>
    </row>
    <row r="3103" spans="19:19" ht="15.75">
      <c r="S3103" s="1"/>
    </row>
    <row r="3104" spans="19:19" ht="15.75">
      <c r="S3104" s="1"/>
    </row>
    <row r="3105" spans="19:19" ht="15.75">
      <c r="S3105" s="1"/>
    </row>
    <row r="3106" spans="19:19" ht="15.75">
      <c r="S3106" s="1"/>
    </row>
    <row r="3107" spans="19:19" ht="15.75">
      <c r="S3107" s="1"/>
    </row>
    <row r="3108" spans="19:19" ht="15.75">
      <c r="S3108" s="1"/>
    </row>
    <row r="3109" spans="19:19" ht="15.75">
      <c r="S3109" s="1"/>
    </row>
    <row r="3110" spans="19:19" ht="15.75">
      <c r="S3110" s="1"/>
    </row>
    <row r="3111" spans="19:19" ht="15.75">
      <c r="S3111" s="1"/>
    </row>
    <row r="3112" spans="19:19" ht="15.75">
      <c r="S3112" s="1"/>
    </row>
    <row r="3113" spans="19:19" ht="15.75">
      <c r="S3113" s="1"/>
    </row>
    <row r="3114" spans="19:19" ht="15.75">
      <c r="S3114" s="1"/>
    </row>
    <row r="3115" spans="19:19" ht="15.75">
      <c r="S3115" s="1"/>
    </row>
    <row r="3116" spans="19:19" ht="15.75">
      <c r="S3116" s="1"/>
    </row>
    <row r="3117" spans="19:19" ht="15.75">
      <c r="S3117" s="1"/>
    </row>
    <row r="3118" spans="19:19" ht="15.75">
      <c r="S3118" s="1"/>
    </row>
    <row r="3119" spans="19:19" ht="15.75">
      <c r="S3119" s="1"/>
    </row>
    <row r="3120" spans="19:19" ht="15.75">
      <c r="S3120" s="1"/>
    </row>
    <row r="3121" spans="19:19" ht="15.75">
      <c r="S3121" s="1"/>
    </row>
    <row r="3122" spans="19:19" ht="15.75">
      <c r="S3122" s="1"/>
    </row>
    <row r="3123" spans="19:19" ht="15.75">
      <c r="S3123" s="1"/>
    </row>
    <row r="3124" spans="19:19" ht="15.75">
      <c r="S3124" s="1"/>
    </row>
    <row r="3125" spans="19:19" ht="15.75">
      <c r="S3125" s="1"/>
    </row>
    <row r="3126" spans="19:19" ht="15.75">
      <c r="S3126" s="1"/>
    </row>
    <row r="3127" spans="19:19" ht="15.75">
      <c r="S3127" s="1"/>
    </row>
    <row r="3128" spans="19:19" ht="15.75">
      <c r="S3128" s="1"/>
    </row>
    <row r="3129" spans="19:19" ht="15.75">
      <c r="S3129" s="1"/>
    </row>
    <row r="3130" spans="19:19" ht="15.75">
      <c r="S3130" s="1"/>
    </row>
    <row r="3131" spans="19:19" ht="15.75">
      <c r="S3131" s="1"/>
    </row>
    <row r="3132" spans="19:19" ht="15.75">
      <c r="S3132" s="1"/>
    </row>
    <row r="3133" spans="19:19" ht="15.75">
      <c r="S3133" s="1"/>
    </row>
    <row r="3134" spans="19:19" ht="15.75">
      <c r="S3134" s="1"/>
    </row>
    <row r="3135" spans="19:19" ht="15.75">
      <c r="S3135" s="1"/>
    </row>
    <row r="3136" spans="19:19" ht="15.75">
      <c r="S3136" s="1"/>
    </row>
    <row r="3137" spans="19:19" ht="15.75">
      <c r="S3137" s="1"/>
    </row>
    <row r="3138" spans="19:19" ht="15.75">
      <c r="S3138" s="1"/>
    </row>
    <row r="3139" spans="19:19" ht="15.75">
      <c r="S3139" s="1"/>
    </row>
    <row r="3140" spans="19:19" ht="15.75">
      <c r="S3140" s="1"/>
    </row>
    <row r="3141" spans="19:19" ht="15.75">
      <c r="S3141" s="1"/>
    </row>
    <row r="3142" spans="19:19" ht="15.75">
      <c r="S3142" s="1"/>
    </row>
    <row r="3143" spans="19:19" ht="15.75">
      <c r="S3143" s="1"/>
    </row>
    <row r="3144" spans="19:19" ht="15.75">
      <c r="S3144" s="1"/>
    </row>
    <row r="3145" spans="19:19" ht="15.75">
      <c r="S3145" s="1"/>
    </row>
    <row r="3146" spans="19:19" ht="15.75">
      <c r="S3146" s="1"/>
    </row>
    <row r="3147" spans="19:19" ht="15.75">
      <c r="S3147" s="1"/>
    </row>
    <row r="3148" spans="19:19" ht="15.75">
      <c r="S3148" s="1"/>
    </row>
    <row r="3149" spans="19:19" ht="15.75">
      <c r="S3149" s="1"/>
    </row>
    <row r="3150" spans="19:19" ht="15.75">
      <c r="S3150" s="1"/>
    </row>
    <row r="3151" spans="19:19" ht="15.75">
      <c r="S3151" s="1"/>
    </row>
    <row r="3152" spans="19:19" ht="15.75">
      <c r="S3152" s="1"/>
    </row>
    <row r="3153" spans="19:19" ht="15.75">
      <c r="S3153" s="1"/>
    </row>
    <row r="3154" spans="19:19" ht="15.75">
      <c r="S3154" s="1"/>
    </row>
    <row r="3155" spans="19:19" ht="15.75">
      <c r="S3155" s="1"/>
    </row>
    <row r="3156" spans="19:19" ht="15.75">
      <c r="S3156" s="1"/>
    </row>
    <row r="3157" spans="19:19" ht="15.75">
      <c r="S3157" s="1"/>
    </row>
    <row r="3158" spans="19:19" ht="15.75">
      <c r="S3158" s="1"/>
    </row>
    <row r="3159" spans="19:19" ht="15.75">
      <c r="S3159" s="1"/>
    </row>
    <row r="3160" spans="19:19" ht="15.75">
      <c r="S3160" s="1"/>
    </row>
    <row r="3161" spans="19:19" ht="15.75">
      <c r="S3161" s="1"/>
    </row>
    <row r="3162" spans="19:19" ht="15.75">
      <c r="S3162" s="1"/>
    </row>
    <row r="3163" spans="19:19" ht="15.75">
      <c r="S3163" s="1"/>
    </row>
    <row r="3164" spans="19:19" ht="15.75">
      <c r="S3164" s="1"/>
    </row>
    <row r="3165" spans="19:19" ht="15.75">
      <c r="S3165" s="1"/>
    </row>
    <row r="3166" spans="19:19" ht="15.75">
      <c r="S3166" s="1"/>
    </row>
    <row r="3167" spans="19:19" ht="15.75">
      <c r="S3167" s="1"/>
    </row>
    <row r="3168" spans="19:19" ht="15.75">
      <c r="S3168" s="1"/>
    </row>
    <row r="3169" spans="19:19" ht="15.75">
      <c r="S3169" s="1"/>
    </row>
    <row r="3170" spans="19:19" ht="15.75">
      <c r="S3170" s="1"/>
    </row>
    <row r="3171" spans="19:19" ht="15.75">
      <c r="S3171" s="1"/>
    </row>
    <row r="3172" spans="19:19" ht="15.75">
      <c r="S3172" s="1"/>
    </row>
    <row r="3173" spans="19:19" ht="15.75">
      <c r="S3173" s="1"/>
    </row>
    <row r="3174" spans="19:19" ht="15.75">
      <c r="S3174" s="1"/>
    </row>
    <row r="3175" spans="19:19" ht="15.75">
      <c r="S3175" s="1"/>
    </row>
    <row r="3176" spans="19:19" ht="15.75">
      <c r="S3176" s="1"/>
    </row>
    <row r="3177" spans="19:19" ht="15.75">
      <c r="S3177" s="1"/>
    </row>
    <row r="3178" spans="19:19" ht="15.75">
      <c r="S3178" s="1"/>
    </row>
    <row r="3179" spans="19:19" ht="15.75">
      <c r="S3179" s="1"/>
    </row>
    <row r="3180" spans="19:19" ht="15.75">
      <c r="S3180" s="1"/>
    </row>
    <row r="3181" spans="19:19" ht="15.75">
      <c r="S3181" s="1"/>
    </row>
    <row r="3182" spans="19:19" ht="15.75">
      <c r="S3182" s="1"/>
    </row>
    <row r="3183" spans="19:19" ht="15.75">
      <c r="S3183" s="1"/>
    </row>
    <row r="3184" spans="19:19" ht="15.75">
      <c r="S3184" s="1"/>
    </row>
    <row r="3185" spans="19:19" ht="15.75">
      <c r="S3185" s="1"/>
    </row>
    <row r="3186" spans="19:19" ht="15.75">
      <c r="S3186" s="1"/>
    </row>
    <row r="3187" spans="19:19" ht="15.75">
      <c r="S3187" s="1"/>
    </row>
    <row r="3188" spans="19:19" ht="15.75">
      <c r="S3188" s="1"/>
    </row>
    <row r="3189" spans="19:19" ht="15.75">
      <c r="S3189" s="1"/>
    </row>
    <row r="3190" spans="19:19" ht="15.75">
      <c r="S3190" s="1"/>
    </row>
    <row r="3191" spans="19:19" ht="15.75">
      <c r="S3191" s="1"/>
    </row>
    <row r="3192" spans="19:19" ht="15.75">
      <c r="S3192" s="1"/>
    </row>
    <row r="3193" spans="19:19" ht="15.75">
      <c r="S3193" s="1"/>
    </row>
    <row r="3194" spans="19:19" ht="15.75">
      <c r="S3194" s="1"/>
    </row>
    <row r="3195" spans="19:19" ht="15.75">
      <c r="S3195" s="1"/>
    </row>
    <row r="3196" spans="19:19" ht="15.75">
      <c r="S3196" s="1"/>
    </row>
    <row r="3197" spans="19:19" ht="15.75">
      <c r="S3197" s="1"/>
    </row>
    <row r="3198" spans="19:19" ht="15.75">
      <c r="S3198" s="1"/>
    </row>
    <row r="3199" spans="19:19" ht="15.75">
      <c r="S3199" s="1"/>
    </row>
    <row r="3200" spans="19:19" ht="15.75">
      <c r="S3200" s="1"/>
    </row>
    <row r="3201" spans="19:19" ht="15.75">
      <c r="S3201" s="1"/>
    </row>
    <row r="3202" spans="19:19" ht="15.75">
      <c r="S3202" s="1"/>
    </row>
    <row r="3203" spans="19:19" ht="15.75">
      <c r="S3203" s="1"/>
    </row>
    <row r="3204" spans="19:19" ht="15.75">
      <c r="S3204" s="1"/>
    </row>
    <row r="3205" spans="19:19" ht="15.75">
      <c r="S3205" s="1"/>
    </row>
    <row r="3206" spans="19:19" ht="15.75">
      <c r="S3206" s="1"/>
    </row>
    <row r="3207" spans="19:19" ht="15.75">
      <c r="S3207" s="1"/>
    </row>
    <row r="3208" spans="19:19" ht="15.75">
      <c r="S3208" s="1"/>
    </row>
    <row r="3209" spans="19:19" ht="15.75">
      <c r="S3209" s="1"/>
    </row>
    <row r="3210" spans="19:19" ht="15.75">
      <c r="S3210" s="1"/>
    </row>
    <row r="3211" spans="19:19" ht="15.75">
      <c r="S3211" s="1"/>
    </row>
    <row r="3212" spans="19:19" ht="15.75">
      <c r="S3212" s="1"/>
    </row>
    <row r="3213" spans="19:19" ht="15.75">
      <c r="S3213" s="1"/>
    </row>
    <row r="3214" spans="19:19" ht="15.75">
      <c r="S3214" s="1"/>
    </row>
    <row r="3215" spans="19:19" ht="15.75">
      <c r="S3215" s="1"/>
    </row>
    <row r="3216" spans="19:19" ht="15.75">
      <c r="S3216" s="1"/>
    </row>
    <row r="3217" spans="19:19" ht="15.75">
      <c r="S3217" s="1"/>
    </row>
    <row r="3218" spans="19:19" ht="15.75">
      <c r="S3218" s="1"/>
    </row>
    <row r="3219" spans="19:19" ht="15.75">
      <c r="S3219" s="1"/>
    </row>
    <row r="3220" spans="19:19" ht="15.75">
      <c r="S3220" s="1"/>
    </row>
    <row r="3221" spans="19:19" ht="15.75">
      <c r="S3221" s="1"/>
    </row>
    <row r="3222" spans="19:19" ht="15.75">
      <c r="S3222" s="1"/>
    </row>
    <row r="3223" spans="19:19" ht="15.75">
      <c r="S3223" s="1"/>
    </row>
    <row r="3224" spans="19:19" ht="15.75">
      <c r="S3224" s="1"/>
    </row>
    <row r="3225" spans="19:19" ht="15.75">
      <c r="S3225" s="1"/>
    </row>
    <row r="3226" spans="19:19" ht="15.75">
      <c r="S3226" s="1"/>
    </row>
    <row r="3227" spans="19:19" ht="15.75">
      <c r="S3227" s="1"/>
    </row>
    <row r="3228" spans="19:19" ht="15.75">
      <c r="S3228" s="1"/>
    </row>
    <row r="3229" spans="19:19" ht="15.75">
      <c r="S3229" s="1"/>
    </row>
    <row r="3230" spans="19:19" ht="15.75">
      <c r="S3230" s="1"/>
    </row>
    <row r="3231" spans="19:19" ht="15.75">
      <c r="S3231" s="1"/>
    </row>
    <row r="3232" spans="19:19" ht="15.75">
      <c r="S3232" s="1"/>
    </row>
    <row r="3233" spans="19:19" ht="15.75">
      <c r="S3233" s="1"/>
    </row>
    <row r="3234" spans="19:19" ht="15.75">
      <c r="S3234" s="1"/>
    </row>
    <row r="3235" spans="19:19" ht="15.75">
      <c r="S3235" s="1"/>
    </row>
    <row r="3236" spans="19:19" ht="15.75">
      <c r="S3236" s="1"/>
    </row>
    <row r="3237" spans="19:19" ht="15.75">
      <c r="S3237" s="1"/>
    </row>
    <row r="3238" spans="19:19" ht="15.75">
      <c r="S3238" s="1"/>
    </row>
    <row r="3239" spans="19:19" ht="15.75">
      <c r="S3239" s="1"/>
    </row>
    <row r="3240" spans="19:19" ht="15.75">
      <c r="S3240" s="1"/>
    </row>
    <row r="3241" spans="19:19" ht="15.75">
      <c r="S3241" s="1"/>
    </row>
    <row r="3242" spans="19:19" ht="15.75">
      <c r="S3242" s="1"/>
    </row>
    <row r="3243" spans="19:19" ht="15.75">
      <c r="S3243" s="1"/>
    </row>
    <row r="3244" spans="19:19" ht="15.75">
      <c r="S3244" s="1"/>
    </row>
    <row r="3245" spans="19:19" ht="15.75">
      <c r="S3245" s="1"/>
    </row>
    <row r="3246" spans="19:19" ht="15.75">
      <c r="S3246" s="1"/>
    </row>
    <row r="3247" spans="19:19" ht="15.75">
      <c r="S3247" s="1"/>
    </row>
    <row r="3248" spans="19:19" ht="15.75">
      <c r="S3248" s="1"/>
    </row>
    <row r="3249" spans="19:19" ht="15.75">
      <c r="S3249" s="1"/>
    </row>
    <row r="3250" spans="19:19" ht="15.75">
      <c r="S3250" s="1"/>
    </row>
    <row r="3251" spans="19:19" ht="15.75">
      <c r="S3251" s="1"/>
    </row>
    <row r="3252" spans="19:19" ht="15.75">
      <c r="S3252" s="1"/>
    </row>
    <row r="3253" spans="19:19" ht="15.75">
      <c r="S3253" s="1"/>
    </row>
    <row r="3254" spans="19:19" ht="15.75">
      <c r="S3254" s="1"/>
    </row>
    <row r="3255" spans="19:19" ht="15.75">
      <c r="S3255" s="1"/>
    </row>
    <row r="3256" spans="19:19" ht="15.75">
      <c r="S3256" s="1"/>
    </row>
    <row r="3257" spans="19:19" ht="15.75">
      <c r="S3257" s="1"/>
    </row>
    <row r="3258" spans="19:19" ht="15.75">
      <c r="S3258" s="1"/>
    </row>
    <row r="3259" spans="19:19" ht="15.75">
      <c r="S3259" s="1"/>
    </row>
    <row r="3260" spans="19:19" ht="15.75">
      <c r="S3260" s="1"/>
    </row>
    <row r="3261" spans="19:19" ht="15.75">
      <c r="S3261" s="1"/>
    </row>
    <row r="3262" spans="19:19" ht="15.75">
      <c r="S3262" s="1"/>
    </row>
    <row r="3263" spans="19:19" ht="15.75">
      <c r="S3263" s="1"/>
    </row>
    <row r="3264" spans="19:19" ht="15.75">
      <c r="S3264" s="1"/>
    </row>
    <row r="3265" spans="19:19" ht="15.75">
      <c r="S3265" s="1"/>
    </row>
    <row r="3266" spans="19:19" ht="15.75">
      <c r="S3266" s="1"/>
    </row>
    <row r="3267" spans="19:19" ht="15.75">
      <c r="S3267" s="1"/>
    </row>
    <row r="3268" spans="19:19" ht="15.75">
      <c r="S3268" s="1"/>
    </row>
    <row r="3269" spans="19:19" ht="15.75">
      <c r="S3269" s="1"/>
    </row>
    <row r="3270" spans="19:19" ht="15.75">
      <c r="S3270" s="1"/>
    </row>
    <row r="3271" spans="19:19" ht="15.75">
      <c r="S3271" s="1"/>
    </row>
    <row r="3272" spans="19:19" ht="15.75">
      <c r="S3272" s="1"/>
    </row>
    <row r="3273" spans="19:19" ht="15.75">
      <c r="S3273" s="1"/>
    </row>
    <row r="3274" spans="19:19" ht="15.75">
      <c r="S3274" s="1"/>
    </row>
    <row r="3275" spans="19:19" ht="15.75">
      <c r="S3275" s="1"/>
    </row>
    <row r="3276" spans="19:19" ht="15.75">
      <c r="S3276" s="1"/>
    </row>
    <row r="3277" spans="19:19" ht="15.75">
      <c r="S3277" s="1"/>
    </row>
    <row r="3278" spans="19:19" ht="15.75">
      <c r="S3278" s="1"/>
    </row>
    <row r="3279" spans="19:19" ht="15.75">
      <c r="S3279" s="1"/>
    </row>
    <row r="3280" spans="19:19" ht="15.75">
      <c r="S3280" s="1"/>
    </row>
    <row r="3281" spans="19:19" ht="15.75">
      <c r="S3281" s="1"/>
    </row>
    <row r="3282" spans="19:19" ht="15.75">
      <c r="S3282" s="1"/>
    </row>
    <row r="3283" spans="19:19" ht="15.75">
      <c r="S3283" s="1"/>
    </row>
    <row r="3284" spans="19:19" ht="15.75">
      <c r="S3284" s="1"/>
    </row>
    <row r="3285" spans="19:19" ht="15.75">
      <c r="S3285" s="1"/>
    </row>
    <row r="3286" spans="19:19" ht="15.75">
      <c r="S3286" s="1"/>
    </row>
    <row r="3287" spans="19:19" ht="15.75">
      <c r="S3287" s="1"/>
    </row>
    <row r="3288" spans="19:19" ht="15.75">
      <c r="S3288" s="1"/>
    </row>
    <row r="3289" spans="19:19" ht="15.75">
      <c r="S3289" s="1"/>
    </row>
    <row r="3290" spans="19:19" ht="15.75">
      <c r="S3290" s="1"/>
    </row>
    <row r="3291" spans="19:19" ht="15.75">
      <c r="S3291" s="1"/>
    </row>
    <row r="3292" spans="19:19" ht="15.75">
      <c r="S3292" s="1"/>
    </row>
    <row r="3293" spans="19:19" ht="15.75">
      <c r="S3293" s="1"/>
    </row>
    <row r="3294" spans="19:19" ht="15.75">
      <c r="S3294" s="1"/>
    </row>
    <row r="3295" spans="19:19" ht="15.75">
      <c r="S3295" s="1"/>
    </row>
    <row r="3296" spans="19:19" ht="15.75">
      <c r="S3296" s="1"/>
    </row>
    <row r="3297" spans="19:19" ht="15.75">
      <c r="S3297" s="1"/>
    </row>
    <row r="3298" spans="19:19" ht="15.75">
      <c r="S3298" s="1"/>
    </row>
    <row r="3299" spans="19:19" ht="15.75">
      <c r="S3299" s="1"/>
    </row>
    <row r="3300" spans="19:19" ht="15.75">
      <c r="S3300" s="1"/>
    </row>
    <row r="3301" spans="19:19" ht="15.75">
      <c r="S3301" s="1"/>
    </row>
    <row r="3302" spans="19:19" ht="15.75">
      <c r="S3302" s="1"/>
    </row>
    <row r="3303" spans="19:19" ht="15.75">
      <c r="S3303" s="1"/>
    </row>
    <row r="3304" spans="19:19" ht="15.75">
      <c r="S3304" s="1"/>
    </row>
    <row r="3305" spans="19:19" ht="15.75">
      <c r="S3305" s="1"/>
    </row>
    <row r="3306" spans="19:19" ht="15.75">
      <c r="S3306" s="1"/>
    </row>
    <row r="3307" spans="19:19" ht="15.75">
      <c r="S3307" s="1"/>
    </row>
    <row r="3308" spans="19:19" ht="15.75">
      <c r="S3308" s="1"/>
    </row>
    <row r="3309" spans="19:19" ht="15.75">
      <c r="S3309" s="1"/>
    </row>
    <row r="3310" spans="19:19" ht="15.75">
      <c r="S3310" s="1"/>
    </row>
    <row r="3311" spans="19:19" ht="15.75">
      <c r="S3311" s="1"/>
    </row>
    <row r="3312" spans="19:19" ht="15.75">
      <c r="S3312" s="1"/>
    </row>
    <row r="3313" spans="19:19" ht="15.75">
      <c r="S3313" s="1"/>
    </row>
    <row r="3314" spans="19:19" ht="15.75">
      <c r="S3314" s="1"/>
    </row>
    <row r="3315" spans="19:19" ht="15.75">
      <c r="S3315" s="1"/>
    </row>
    <row r="3316" spans="19:19" ht="15.75">
      <c r="S3316" s="1"/>
    </row>
    <row r="3317" spans="19:19" ht="15.75">
      <c r="S3317" s="1"/>
    </row>
    <row r="3318" spans="19:19" ht="15.75">
      <c r="S3318" s="1"/>
    </row>
    <row r="3319" spans="19:19" ht="15.75">
      <c r="S3319" s="1"/>
    </row>
    <row r="3320" spans="19:19" ht="15.75">
      <c r="S3320" s="1"/>
    </row>
    <row r="3321" spans="19:19" ht="15.75">
      <c r="S3321" s="1"/>
    </row>
    <row r="3322" spans="19:19" ht="15.75">
      <c r="S3322" s="1"/>
    </row>
    <row r="3323" spans="19:19" ht="15.75">
      <c r="S3323" s="1"/>
    </row>
    <row r="3324" spans="19:19" ht="15.75">
      <c r="S3324" s="1"/>
    </row>
    <row r="3325" spans="19:19" ht="15.75">
      <c r="S3325" s="1"/>
    </row>
    <row r="3326" spans="19:19" ht="15.75">
      <c r="S3326" s="1"/>
    </row>
    <row r="3327" spans="19:19" ht="15.75">
      <c r="S3327" s="1"/>
    </row>
    <row r="3328" spans="19:19" ht="15.75">
      <c r="S3328" s="1"/>
    </row>
    <row r="3329" spans="19:19" ht="15.75">
      <c r="S3329" s="1"/>
    </row>
    <row r="3330" spans="19:19" ht="15.75">
      <c r="S3330" s="1"/>
    </row>
    <row r="3331" spans="19:19" ht="15.75">
      <c r="S3331" s="1"/>
    </row>
    <row r="3332" spans="19:19" ht="15.75">
      <c r="S3332" s="1"/>
    </row>
    <row r="3333" spans="19:19" ht="15.75">
      <c r="S3333" s="1"/>
    </row>
    <row r="3334" spans="19:19" ht="15.75">
      <c r="S3334" s="1"/>
    </row>
    <row r="3335" spans="19:19" ht="15.75">
      <c r="S3335" s="1"/>
    </row>
    <row r="3336" spans="19:19" ht="15.75">
      <c r="S3336" s="1"/>
    </row>
    <row r="3337" spans="19:19" ht="15.75">
      <c r="S3337" s="1"/>
    </row>
    <row r="3338" spans="19:19" ht="15.75">
      <c r="S3338" s="1"/>
    </row>
    <row r="3339" spans="19:19" ht="15.75">
      <c r="S3339" s="1"/>
    </row>
    <row r="3340" spans="19:19" ht="15.75">
      <c r="S3340" s="1"/>
    </row>
    <row r="3341" spans="19:19" ht="15.75">
      <c r="S3341" s="1"/>
    </row>
    <row r="3342" spans="19:19" ht="15.75">
      <c r="S3342" s="1"/>
    </row>
    <row r="3343" spans="19:19" ht="15.75">
      <c r="S3343" s="1"/>
    </row>
    <row r="3344" spans="19:19" ht="15.75">
      <c r="S3344" s="1"/>
    </row>
    <row r="3345" spans="19:19" ht="15.75">
      <c r="S3345" s="1"/>
    </row>
    <row r="3346" spans="19:19" ht="15.75">
      <c r="S3346" s="1"/>
    </row>
    <row r="3347" spans="19:19" ht="15.75">
      <c r="S3347" s="1"/>
    </row>
    <row r="3348" spans="19:19" ht="15.75">
      <c r="S3348" s="1"/>
    </row>
    <row r="3349" spans="19:19" ht="15.75">
      <c r="S3349" s="1"/>
    </row>
    <row r="3350" spans="19:19" ht="15.75">
      <c r="S3350" s="1"/>
    </row>
    <row r="3351" spans="19:19" ht="15.75">
      <c r="S3351" s="1"/>
    </row>
    <row r="3352" spans="19:19" ht="15.75">
      <c r="S3352" s="1"/>
    </row>
    <row r="3353" spans="19:19" ht="15.75">
      <c r="S3353" s="1"/>
    </row>
    <row r="3354" spans="19:19" ht="15.75">
      <c r="S3354" s="1"/>
    </row>
    <row r="3355" spans="19:19" ht="15.75">
      <c r="S3355" s="1"/>
    </row>
    <row r="3356" spans="19:19" ht="15.75">
      <c r="S3356" s="1"/>
    </row>
    <row r="3357" spans="19:19" ht="15.75">
      <c r="S3357" s="1"/>
    </row>
    <row r="3358" spans="19:19" ht="15.75">
      <c r="S3358" s="1"/>
    </row>
    <row r="3359" spans="19:19" ht="15.75">
      <c r="S3359" s="1"/>
    </row>
    <row r="3360" spans="19:19" ht="15.75">
      <c r="S3360" s="1"/>
    </row>
    <row r="3361" spans="19:19" ht="15.75">
      <c r="S3361" s="1"/>
    </row>
    <row r="3362" spans="19:19" ht="15.75">
      <c r="S3362" s="1"/>
    </row>
    <row r="3363" spans="19:19" ht="15.75">
      <c r="S3363" s="1"/>
    </row>
    <row r="3364" spans="19:19" ht="15.75">
      <c r="S3364" s="1"/>
    </row>
    <row r="3365" spans="19:19" ht="15.75">
      <c r="S3365" s="1"/>
    </row>
    <row r="3366" spans="19:19" ht="15.75">
      <c r="S3366" s="1"/>
    </row>
    <row r="3367" spans="19:19" ht="15.75">
      <c r="S3367" s="1"/>
    </row>
    <row r="3368" spans="19:19" ht="15.75">
      <c r="S3368" s="1"/>
    </row>
    <row r="3369" spans="19:19" ht="15.75">
      <c r="S3369" s="1"/>
    </row>
    <row r="3370" spans="19:19" ht="15.75">
      <c r="S3370" s="1"/>
    </row>
    <row r="3371" spans="19:19" ht="15.75">
      <c r="S3371" s="1"/>
    </row>
    <row r="3372" spans="19:19" ht="15.75">
      <c r="S3372" s="1"/>
    </row>
    <row r="3373" spans="19:19" ht="15.75">
      <c r="S3373" s="1"/>
    </row>
    <row r="3374" spans="19:19" ht="15.75">
      <c r="S3374" s="1"/>
    </row>
    <row r="3375" spans="19:19" ht="15.75">
      <c r="S3375" s="1"/>
    </row>
    <row r="3376" spans="19:19" ht="15.75">
      <c r="S3376" s="1"/>
    </row>
    <row r="3377" spans="19:19" ht="15.75">
      <c r="S3377" s="1"/>
    </row>
    <row r="3378" spans="19:19" ht="15.75">
      <c r="S3378" s="1"/>
    </row>
    <row r="3379" spans="19:19" ht="15.75">
      <c r="S3379" s="1"/>
    </row>
    <row r="3380" spans="19:19" ht="15.75">
      <c r="S3380" s="1"/>
    </row>
    <row r="3381" spans="19:19" ht="15.75">
      <c r="S3381" s="1"/>
    </row>
    <row r="3382" spans="19:19" ht="15.75">
      <c r="S3382" s="1"/>
    </row>
    <row r="3383" spans="19:19" ht="15.75">
      <c r="S3383" s="1"/>
    </row>
    <row r="3384" spans="19:19" ht="15.75">
      <c r="S3384" s="1"/>
    </row>
    <row r="3385" spans="19:19" ht="15.75">
      <c r="S3385" s="1"/>
    </row>
    <row r="3386" spans="19:19" ht="15.75">
      <c r="S3386" s="1"/>
    </row>
    <row r="3387" spans="19:19" ht="15.75">
      <c r="S3387" s="1"/>
    </row>
    <row r="3388" spans="19:19" ht="15.75">
      <c r="S3388" s="1"/>
    </row>
    <row r="3389" spans="19:19" ht="15.75">
      <c r="S3389" s="1"/>
    </row>
    <row r="3390" spans="19:19" ht="15.75">
      <c r="S3390" s="1"/>
    </row>
    <row r="3391" spans="19:19" ht="15.75">
      <c r="S3391" s="1"/>
    </row>
    <row r="3392" spans="19:19" ht="15.75">
      <c r="S3392" s="1"/>
    </row>
    <row r="3393" spans="19:19" ht="15.75">
      <c r="S3393" s="1"/>
    </row>
    <row r="3394" spans="19:19" ht="15.75">
      <c r="S3394" s="1"/>
    </row>
    <row r="3395" spans="19:19" ht="15.75">
      <c r="S3395" s="1"/>
    </row>
    <row r="3396" spans="19:19" ht="15.75">
      <c r="S3396" s="1"/>
    </row>
    <row r="3397" spans="19:19" ht="15.75">
      <c r="S3397" s="1"/>
    </row>
    <row r="3398" spans="19:19" ht="15.75">
      <c r="S3398" s="1"/>
    </row>
    <row r="3399" spans="19:19" ht="15.75">
      <c r="S3399" s="1"/>
    </row>
    <row r="3400" spans="19:19" ht="15.75">
      <c r="S3400" s="1"/>
    </row>
    <row r="3401" spans="19:19" ht="15.75">
      <c r="S3401" s="1"/>
    </row>
    <row r="3402" spans="19:19" ht="15.75">
      <c r="S3402" s="1"/>
    </row>
    <row r="3403" spans="19:19" ht="15.75">
      <c r="S3403" s="1"/>
    </row>
    <row r="3404" spans="19:19" ht="15.75">
      <c r="S3404" s="1"/>
    </row>
    <row r="3405" spans="19:19" ht="15.75">
      <c r="S3405" s="1"/>
    </row>
    <row r="3406" spans="19:19" ht="15.75">
      <c r="S3406" s="1"/>
    </row>
    <row r="3407" spans="19:19" ht="15.75">
      <c r="S3407" s="1"/>
    </row>
    <row r="3408" spans="19:19" ht="15.75">
      <c r="S3408" s="1"/>
    </row>
    <row r="3409" spans="19:19" ht="15.75">
      <c r="S3409" s="1"/>
    </row>
    <row r="3410" spans="19:19" ht="15.75">
      <c r="S3410" s="1"/>
    </row>
    <row r="3411" spans="19:19" ht="15.75">
      <c r="S3411" s="1"/>
    </row>
    <row r="3412" spans="19:19" ht="15.75">
      <c r="S3412" s="1"/>
    </row>
    <row r="3413" spans="19:19" ht="15.75">
      <c r="S3413" s="1"/>
    </row>
    <row r="3414" spans="19:19" ht="15.75">
      <c r="S3414" s="1"/>
    </row>
    <row r="3415" spans="19:19" ht="15.75">
      <c r="S3415" s="1"/>
    </row>
    <row r="3416" spans="19:19" ht="15.75">
      <c r="S3416" s="1"/>
    </row>
    <row r="3417" spans="19:19" ht="15.75">
      <c r="S3417" s="1"/>
    </row>
    <row r="3418" spans="19:19" ht="15.75">
      <c r="S3418" s="1"/>
    </row>
    <row r="3419" spans="19:19" ht="15.75">
      <c r="S3419" s="1"/>
    </row>
    <row r="3420" spans="19:19" ht="15.75">
      <c r="S3420" s="1"/>
    </row>
    <row r="3421" spans="19:19" ht="15.75">
      <c r="S3421" s="1"/>
    </row>
    <row r="3422" spans="19:19" ht="15.75">
      <c r="S3422" s="1"/>
    </row>
    <row r="3423" spans="19:19" ht="15.75">
      <c r="S3423" s="1"/>
    </row>
    <row r="3424" spans="19:19" ht="15.75">
      <c r="S3424" s="1"/>
    </row>
    <row r="3425" spans="19:19" ht="15.75">
      <c r="S3425" s="1"/>
    </row>
    <row r="3426" spans="19:19" ht="15.75">
      <c r="S3426" s="1"/>
    </row>
    <row r="3427" spans="19:19" ht="15.75">
      <c r="S3427" s="1"/>
    </row>
    <row r="3428" spans="19:19" ht="15.75">
      <c r="S3428" s="1"/>
    </row>
    <row r="3429" spans="19:19" ht="15.75">
      <c r="S3429" s="1"/>
    </row>
    <row r="3430" spans="19:19" ht="15.75">
      <c r="S3430" s="1"/>
    </row>
    <row r="3431" spans="19:19" ht="15.75">
      <c r="S3431" s="1"/>
    </row>
    <row r="3432" spans="19:19" ht="15.75">
      <c r="S3432" s="1"/>
    </row>
    <row r="3433" spans="19:19" ht="15.75">
      <c r="S3433" s="1"/>
    </row>
    <row r="3434" spans="19:19" ht="15.75">
      <c r="S3434" s="1"/>
    </row>
    <row r="3435" spans="19:19" ht="15.75">
      <c r="S3435" s="1"/>
    </row>
    <row r="3436" spans="19:19" ht="15.75">
      <c r="S3436" s="1"/>
    </row>
    <row r="3437" spans="19:19" ht="15.75">
      <c r="S3437" s="1"/>
    </row>
    <row r="3438" spans="19:19" ht="15.75">
      <c r="S3438" s="1"/>
    </row>
    <row r="3439" spans="19:19" ht="15.75">
      <c r="S3439" s="1"/>
    </row>
    <row r="3440" spans="19:19" ht="15.75">
      <c r="S3440" s="1"/>
    </row>
    <row r="3441" spans="19:19" ht="15.75">
      <c r="S3441" s="1"/>
    </row>
    <row r="3442" spans="19:19" ht="15.75">
      <c r="S3442" s="1"/>
    </row>
    <row r="3443" spans="19:19" ht="15.75">
      <c r="S3443" s="1"/>
    </row>
    <row r="3444" spans="19:19" ht="15.75">
      <c r="S3444" s="1"/>
    </row>
    <row r="3445" spans="19:19" ht="15.75">
      <c r="S3445" s="1"/>
    </row>
    <row r="3446" spans="19:19" ht="15.75">
      <c r="S3446" s="1"/>
    </row>
    <row r="3447" spans="19:19" ht="15.75">
      <c r="S3447" s="1"/>
    </row>
    <row r="3448" spans="19:19" ht="15.75">
      <c r="S3448" s="1"/>
    </row>
    <row r="3449" spans="19:19" ht="15.75">
      <c r="S3449" s="1"/>
    </row>
    <row r="3450" spans="19:19" ht="15.75">
      <c r="S3450" s="1"/>
    </row>
    <row r="3451" spans="19:19" ht="15.75">
      <c r="S3451" s="1"/>
    </row>
    <row r="3452" spans="19:19" ht="15.75">
      <c r="S3452" s="1"/>
    </row>
    <row r="3453" spans="19:19" ht="15.75">
      <c r="S3453" s="1"/>
    </row>
    <row r="3454" spans="19:19" ht="15.75">
      <c r="S3454" s="1"/>
    </row>
    <row r="3455" spans="19:19" ht="15.75">
      <c r="S3455" s="1"/>
    </row>
    <row r="3456" spans="19:19" ht="15.75">
      <c r="S3456" s="1"/>
    </row>
    <row r="3457" spans="19:19" ht="15.75">
      <c r="S3457" s="1"/>
    </row>
    <row r="3458" spans="19:19" ht="15.75">
      <c r="S3458" s="1"/>
    </row>
    <row r="3459" spans="19:19" ht="15.75">
      <c r="S3459" s="1"/>
    </row>
    <row r="3460" spans="19:19" ht="15.75">
      <c r="S3460" s="1"/>
    </row>
    <row r="3461" spans="19:19" ht="15.75">
      <c r="S3461" s="1"/>
    </row>
    <row r="3462" spans="19:19" ht="15.75">
      <c r="S3462" s="1"/>
    </row>
    <row r="3463" spans="19:19" ht="15.75">
      <c r="S3463" s="1"/>
    </row>
    <row r="3464" spans="19:19" ht="15.75">
      <c r="S3464" s="1"/>
    </row>
    <row r="3465" spans="19:19" ht="15.75">
      <c r="S3465" s="1"/>
    </row>
    <row r="3466" spans="19:19" ht="15.75">
      <c r="S3466" s="1"/>
    </row>
    <row r="3467" spans="19:19" ht="15.75">
      <c r="S3467" s="1"/>
    </row>
    <row r="3468" spans="19:19" ht="15.75">
      <c r="S3468" s="1"/>
    </row>
    <row r="3469" spans="19:19" ht="15.75">
      <c r="S3469" s="1"/>
    </row>
    <row r="3470" spans="19:19" ht="15.75">
      <c r="S3470" s="1"/>
    </row>
    <row r="3471" spans="19:19" ht="15.75">
      <c r="S3471" s="1"/>
    </row>
    <row r="3472" spans="19:19" ht="15.75">
      <c r="S3472" s="1"/>
    </row>
    <row r="3473" spans="19:19" ht="15.75">
      <c r="S3473" s="1"/>
    </row>
    <row r="3474" spans="19:19" ht="15.75">
      <c r="S3474" s="1"/>
    </row>
    <row r="3475" spans="19:19" ht="15.75">
      <c r="S3475" s="1"/>
    </row>
    <row r="3476" spans="19:19" ht="15.75">
      <c r="S3476" s="1"/>
    </row>
    <row r="3477" spans="19:19" ht="15.75">
      <c r="S3477" s="1"/>
    </row>
    <row r="3478" spans="19:19" ht="15.75">
      <c r="S3478" s="1"/>
    </row>
    <row r="3479" spans="19:19" ht="15.75">
      <c r="S3479" s="1"/>
    </row>
    <row r="3480" spans="19:19" ht="15.75">
      <c r="S3480" s="1"/>
    </row>
    <row r="3481" spans="19:19" ht="15.75">
      <c r="S3481" s="1"/>
    </row>
    <row r="3482" spans="19:19" ht="15.75">
      <c r="S3482" s="1"/>
    </row>
    <row r="3483" spans="19:19" ht="15.75">
      <c r="S3483" s="1"/>
    </row>
    <row r="3484" spans="19:19" ht="15.75">
      <c r="S3484" s="1"/>
    </row>
    <row r="3485" spans="19:19" ht="15.75">
      <c r="S3485" s="1"/>
    </row>
    <row r="3486" spans="19:19" ht="15.75">
      <c r="S3486" s="1"/>
    </row>
    <row r="3487" spans="19:19" ht="15.75">
      <c r="S3487" s="1"/>
    </row>
    <row r="3488" spans="19:19" ht="15.75">
      <c r="S3488" s="1"/>
    </row>
    <row r="3489" spans="19:19" ht="15.75">
      <c r="S3489" s="1"/>
    </row>
    <row r="3490" spans="19:19" ht="15.75">
      <c r="S3490" s="1"/>
    </row>
    <row r="3491" spans="19:19" ht="15.75">
      <c r="S3491" s="1"/>
    </row>
    <row r="3492" spans="19:19" ht="15.75">
      <c r="S3492" s="1"/>
    </row>
    <row r="3493" spans="19:19" ht="15.75">
      <c r="S3493" s="1"/>
    </row>
    <row r="3494" spans="19:19" ht="15.75">
      <c r="S3494" s="1"/>
    </row>
    <row r="3495" spans="19:19" ht="15.75">
      <c r="S3495" s="1"/>
    </row>
    <row r="3496" spans="19:19" ht="15.75">
      <c r="S3496" s="1"/>
    </row>
    <row r="3497" spans="19:19" ht="15.75">
      <c r="S3497" s="1"/>
    </row>
    <row r="3498" spans="19:19" ht="15.75">
      <c r="S3498" s="1"/>
    </row>
    <row r="3499" spans="19:19" ht="15.75">
      <c r="S3499" s="1"/>
    </row>
    <row r="3500" spans="19:19" ht="15.75">
      <c r="S3500" s="1"/>
    </row>
    <row r="3501" spans="19:19" ht="15.75">
      <c r="S3501" s="1"/>
    </row>
    <row r="3502" spans="19:19" ht="15.75">
      <c r="S3502" s="1"/>
    </row>
    <row r="3503" spans="19:19" ht="15.75">
      <c r="S3503" s="1"/>
    </row>
    <row r="3504" spans="19:19" ht="15.75">
      <c r="S3504" s="1"/>
    </row>
    <row r="3505" spans="19:19" ht="15.75">
      <c r="S3505" s="1"/>
    </row>
    <row r="3506" spans="19:19" ht="15.75">
      <c r="S3506" s="1"/>
    </row>
    <row r="3507" spans="19:19" ht="15.75">
      <c r="S3507" s="1"/>
    </row>
    <row r="3508" spans="19:19" ht="15.75">
      <c r="S3508" s="1"/>
    </row>
    <row r="3509" spans="19:19" ht="15.75">
      <c r="S3509" s="1"/>
    </row>
    <row r="3510" spans="19:19" ht="15.75">
      <c r="S3510" s="1"/>
    </row>
    <row r="3511" spans="19:19" ht="15.75">
      <c r="S3511" s="1"/>
    </row>
    <row r="3512" spans="19:19" ht="15.75">
      <c r="S3512" s="1"/>
    </row>
    <row r="3513" spans="19:19" ht="15.75">
      <c r="S3513" s="1"/>
    </row>
    <row r="3514" spans="19:19" ht="15.75">
      <c r="S3514" s="1"/>
    </row>
    <row r="3515" spans="19:19" ht="15.75">
      <c r="S3515" s="1"/>
    </row>
    <row r="3516" spans="19:19" ht="15.75">
      <c r="S3516" s="1"/>
    </row>
    <row r="3517" spans="19:19" ht="15.75">
      <c r="S3517" s="1"/>
    </row>
    <row r="3518" spans="19:19" ht="15.75">
      <c r="S3518" s="1"/>
    </row>
    <row r="3519" spans="19:19" ht="15.75">
      <c r="S3519" s="1"/>
    </row>
    <row r="3520" spans="19:19" ht="15.75">
      <c r="S3520" s="1"/>
    </row>
    <row r="3521" spans="19:19" ht="15.75">
      <c r="S3521" s="1"/>
    </row>
    <row r="3522" spans="19:19" ht="15.75">
      <c r="S3522" s="1"/>
    </row>
    <row r="3523" spans="19:19" ht="15.75">
      <c r="S3523" s="1"/>
    </row>
    <row r="3524" spans="19:19" ht="15.75">
      <c r="S3524" s="1"/>
    </row>
    <row r="3525" spans="19:19" ht="15.75">
      <c r="S3525" s="1"/>
    </row>
    <row r="3526" spans="19:19" ht="15.75">
      <c r="S3526" s="1"/>
    </row>
    <row r="3527" spans="19:19" ht="15.75">
      <c r="S3527" s="1"/>
    </row>
    <row r="3528" spans="19:19" ht="15.75">
      <c r="S3528" s="1"/>
    </row>
    <row r="3529" spans="19:19" ht="15.75">
      <c r="S3529" s="1"/>
    </row>
    <row r="3530" spans="19:19" ht="15.75">
      <c r="S3530" s="1"/>
    </row>
    <row r="3531" spans="19:19" ht="15.75">
      <c r="S3531" s="1"/>
    </row>
    <row r="3532" spans="19:19" ht="15.75">
      <c r="S3532" s="1"/>
    </row>
    <row r="3533" spans="19:19" ht="15.75">
      <c r="S3533" s="1"/>
    </row>
    <row r="3534" spans="19:19" ht="15.75">
      <c r="S3534" s="1"/>
    </row>
    <row r="3535" spans="19:19" ht="15.75">
      <c r="S3535" s="1"/>
    </row>
    <row r="3536" spans="19:19" ht="15.75">
      <c r="S3536" s="1"/>
    </row>
    <row r="3537" spans="19:19" ht="15.75">
      <c r="S3537" s="1"/>
    </row>
    <row r="3538" spans="19:19" ht="15.75">
      <c r="S3538" s="1"/>
    </row>
    <row r="3539" spans="19:19" ht="15.75">
      <c r="S3539" s="1"/>
    </row>
    <row r="3540" spans="19:19" ht="15.75">
      <c r="S3540" s="1"/>
    </row>
    <row r="3541" spans="19:19" ht="15.75">
      <c r="S3541" s="1"/>
    </row>
    <row r="3542" spans="19:19" ht="15.75">
      <c r="S3542" s="1"/>
    </row>
    <row r="3543" spans="19:19" ht="15.75">
      <c r="S3543" s="1"/>
    </row>
    <row r="3544" spans="19:19" ht="15.75">
      <c r="S3544" s="1"/>
    </row>
    <row r="3545" spans="19:19" ht="15.75">
      <c r="S3545" s="1"/>
    </row>
    <row r="3546" spans="19:19" ht="15.75">
      <c r="S3546" s="1"/>
    </row>
    <row r="3547" spans="19:19" ht="15.75">
      <c r="S3547" s="1"/>
    </row>
    <row r="3548" spans="19:19" ht="15.75">
      <c r="S3548" s="1"/>
    </row>
    <row r="3549" spans="19:19" ht="15.75">
      <c r="S3549" s="1"/>
    </row>
    <row r="3550" spans="19:19" ht="15.75">
      <c r="S3550" s="1"/>
    </row>
    <row r="3551" spans="19:19" ht="15.75">
      <c r="S3551" s="1"/>
    </row>
    <row r="3552" spans="19:19" ht="15.75">
      <c r="S3552" s="1"/>
    </row>
    <row r="3553" spans="19:19" ht="15.75">
      <c r="S3553" s="1"/>
    </row>
    <row r="3554" spans="19:19" ht="15.75">
      <c r="S3554" s="1"/>
    </row>
    <row r="3555" spans="19:19" ht="15.75">
      <c r="S3555" s="1"/>
    </row>
    <row r="3556" spans="19:19" ht="15.75">
      <c r="S3556" s="1"/>
    </row>
    <row r="3557" spans="19:19" ht="15.75">
      <c r="S3557" s="1"/>
    </row>
    <row r="3558" spans="19:19" ht="15.75">
      <c r="S3558" s="1"/>
    </row>
    <row r="3559" spans="19:19" ht="15.75">
      <c r="S3559" s="1"/>
    </row>
    <row r="3560" spans="19:19" ht="15.75">
      <c r="S3560" s="1"/>
    </row>
    <row r="3561" spans="19:19" ht="15.75">
      <c r="S3561" s="1"/>
    </row>
    <row r="3562" spans="19:19" ht="15.75">
      <c r="S3562" s="1"/>
    </row>
    <row r="3563" spans="19:19" ht="15.75">
      <c r="S3563" s="1"/>
    </row>
    <row r="3564" spans="19:19" ht="15.75">
      <c r="S3564" s="1"/>
    </row>
    <row r="3565" spans="19:19" ht="15.75">
      <c r="S3565" s="1"/>
    </row>
    <row r="3566" spans="19:19" ht="15.75">
      <c r="S3566" s="1"/>
    </row>
    <row r="3567" spans="19:19" ht="15.75">
      <c r="S3567" s="1"/>
    </row>
    <row r="3568" spans="19:19" ht="15.75">
      <c r="S3568" s="1"/>
    </row>
    <row r="3569" spans="19:19" ht="15.75">
      <c r="S3569" s="1"/>
    </row>
    <row r="3570" spans="19:19" ht="15.75">
      <c r="S3570" s="1"/>
    </row>
    <row r="3571" spans="19:19" ht="15.75">
      <c r="S3571" s="1"/>
    </row>
    <row r="3572" spans="19:19" ht="15.75">
      <c r="S3572" s="1"/>
    </row>
    <row r="3573" spans="19:19" ht="15.75">
      <c r="S3573" s="1"/>
    </row>
    <row r="3574" spans="19:19" ht="15.75">
      <c r="S3574" s="1"/>
    </row>
    <row r="3575" spans="19:19" ht="15.75">
      <c r="S3575" s="1"/>
    </row>
    <row r="3576" spans="19:19" ht="15.75">
      <c r="S3576" s="1"/>
    </row>
    <row r="3577" spans="19:19" ht="15.75">
      <c r="S3577" s="1"/>
    </row>
    <row r="3578" spans="19:19" ht="15.75">
      <c r="S3578" s="1"/>
    </row>
    <row r="3579" spans="19:19" ht="15.75">
      <c r="S3579" s="1"/>
    </row>
    <row r="3580" spans="19:19" ht="15.75">
      <c r="S3580" s="1"/>
    </row>
    <row r="3581" spans="19:19" ht="15.75">
      <c r="S3581" s="1"/>
    </row>
    <row r="3582" spans="19:19" ht="15.75">
      <c r="S3582" s="1"/>
    </row>
    <row r="3583" spans="19:19" ht="15.75">
      <c r="S3583" s="1"/>
    </row>
    <row r="3584" spans="19:19" ht="15.75">
      <c r="S3584" s="1"/>
    </row>
    <row r="3585" spans="19:19" ht="15.75">
      <c r="S3585" s="1"/>
    </row>
    <row r="3586" spans="19:19" ht="15.75">
      <c r="S3586" s="1"/>
    </row>
    <row r="3587" spans="19:19" ht="15.75">
      <c r="S3587" s="1"/>
    </row>
    <row r="3588" spans="19:19" ht="15.75">
      <c r="S3588" s="1"/>
    </row>
    <row r="3589" spans="19:19" ht="15.75">
      <c r="S3589" s="1"/>
    </row>
    <row r="3590" spans="19:19" ht="15.75">
      <c r="S3590" s="1"/>
    </row>
    <row r="3591" spans="19:19" ht="15.75">
      <c r="S3591" s="1"/>
    </row>
    <row r="3592" spans="19:19" ht="15.75">
      <c r="S3592" s="1"/>
    </row>
    <row r="3593" spans="19:19" ht="15.75">
      <c r="S3593" s="1"/>
    </row>
    <row r="3594" spans="19:19" ht="15.75">
      <c r="S3594" s="1"/>
    </row>
    <row r="3595" spans="19:19" ht="15.75">
      <c r="S3595" s="1"/>
    </row>
    <row r="3596" spans="19:19" ht="15.75">
      <c r="S3596" s="1"/>
    </row>
    <row r="3597" spans="19:19" ht="15.75">
      <c r="S3597" s="1"/>
    </row>
    <row r="3598" spans="19:19" ht="15.75">
      <c r="S3598" s="1"/>
    </row>
    <row r="3599" spans="19:19" ht="15.75">
      <c r="S3599" s="1"/>
    </row>
    <row r="3600" spans="19:19" ht="15.75">
      <c r="S3600" s="1"/>
    </row>
    <row r="3601" spans="19:19" ht="15.75">
      <c r="S3601" s="1"/>
    </row>
    <row r="3602" spans="19:19" ht="15.75">
      <c r="S3602" s="1"/>
    </row>
    <row r="3603" spans="19:19" ht="15.75">
      <c r="S3603" s="1"/>
    </row>
    <row r="3604" spans="19:19" ht="15.75">
      <c r="S3604" s="1"/>
    </row>
    <row r="3605" spans="19:19" ht="15.75">
      <c r="S3605" s="1"/>
    </row>
    <row r="3606" spans="19:19" ht="15.75">
      <c r="S3606" s="1"/>
    </row>
    <row r="3607" spans="19:19" ht="15.75">
      <c r="S3607" s="1"/>
    </row>
    <row r="3608" spans="19:19" ht="15.75">
      <c r="S3608" s="1"/>
    </row>
    <row r="3609" spans="19:19" ht="15.75">
      <c r="S3609" s="1"/>
    </row>
    <row r="3610" spans="19:19" ht="15.75">
      <c r="S3610" s="1"/>
    </row>
    <row r="3611" spans="19:19" ht="15.75">
      <c r="S3611" s="1"/>
    </row>
    <row r="3612" spans="19:19" ht="15.75">
      <c r="S3612" s="1"/>
    </row>
    <row r="3613" spans="19:19" ht="15.75">
      <c r="S3613" s="1"/>
    </row>
    <row r="3614" spans="19:19" ht="15.75">
      <c r="S3614" s="1"/>
    </row>
    <row r="3615" spans="19:19" ht="15.75">
      <c r="S3615" s="1"/>
    </row>
    <row r="3616" spans="19:19" ht="15.75">
      <c r="S3616" s="1"/>
    </row>
    <row r="3617" spans="19:19" ht="15.75">
      <c r="S3617" s="1"/>
    </row>
    <row r="3618" spans="19:19" ht="15.75">
      <c r="S3618" s="1"/>
    </row>
    <row r="3619" spans="19:19" ht="15.75">
      <c r="S3619" s="1"/>
    </row>
    <row r="3620" spans="19:19" ht="15.75">
      <c r="S3620" s="1"/>
    </row>
    <row r="3621" spans="19:19" ht="15.75">
      <c r="S3621" s="1"/>
    </row>
    <row r="3622" spans="19:19" ht="15.75">
      <c r="S3622" s="1"/>
    </row>
    <row r="3623" spans="19:19" ht="15.75">
      <c r="S3623" s="1"/>
    </row>
    <row r="3624" spans="19:19" ht="15.75">
      <c r="S3624" s="1"/>
    </row>
    <row r="3625" spans="19:19" ht="15.75">
      <c r="S3625" s="1"/>
    </row>
    <row r="3626" spans="19:19" ht="15.75">
      <c r="S3626" s="1"/>
    </row>
    <row r="3627" spans="19:19" ht="15.75">
      <c r="S3627" s="1"/>
    </row>
    <row r="3628" spans="19:19" ht="15.75">
      <c r="S3628" s="1"/>
    </row>
    <row r="3629" spans="19:19" ht="15.75">
      <c r="S3629" s="1"/>
    </row>
    <row r="3630" spans="19:19" ht="15.75">
      <c r="S3630" s="1"/>
    </row>
    <row r="3631" spans="19:19" ht="15.75">
      <c r="S3631" s="1"/>
    </row>
    <row r="3632" spans="19:19" ht="15.75">
      <c r="S3632" s="1"/>
    </row>
    <row r="3633" spans="19:19" ht="15.75">
      <c r="S3633" s="1"/>
    </row>
    <row r="3634" spans="19:19" ht="15.75">
      <c r="S3634" s="1"/>
    </row>
    <row r="3635" spans="19:19" ht="15.75">
      <c r="S3635" s="1"/>
    </row>
    <row r="3636" spans="19:19" ht="15.75">
      <c r="S3636" s="1"/>
    </row>
    <row r="3637" spans="19:19" ht="15.75">
      <c r="S3637" s="1"/>
    </row>
    <row r="3638" spans="19:19" ht="15.75">
      <c r="S3638" s="1"/>
    </row>
    <row r="3639" spans="19:19" ht="15.75">
      <c r="S3639" s="1"/>
    </row>
    <row r="3640" spans="19:19" ht="15.75">
      <c r="S3640" s="1"/>
    </row>
    <row r="3641" spans="19:19" ht="15.75">
      <c r="S3641" s="1"/>
    </row>
    <row r="3642" spans="19:19" ht="15.75">
      <c r="S3642" s="1"/>
    </row>
    <row r="3643" spans="19:19" ht="15.75">
      <c r="S3643" s="1"/>
    </row>
    <row r="3644" spans="19:19" ht="15.75">
      <c r="S3644" s="1"/>
    </row>
    <row r="3645" spans="19:19" ht="15.75">
      <c r="S3645" s="1"/>
    </row>
    <row r="3646" spans="19:19" ht="15.75">
      <c r="S3646" s="1"/>
    </row>
    <row r="3647" spans="19:19" ht="15.75">
      <c r="S3647" s="1"/>
    </row>
    <row r="3648" spans="19:19" ht="15.75">
      <c r="S3648" s="1"/>
    </row>
    <row r="3649" spans="19:19" ht="15.75">
      <c r="S3649" s="1"/>
    </row>
    <row r="3650" spans="19:19" ht="15.75">
      <c r="S3650" s="1"/>
    </row>
    <row r="3651" spans="19:19" ht="15.75">
      <c r="S3651" s="1"/>
    </row>
    <row r="3652" spans="19:19" ht="15.75">
      <c r="S3652" s="1"/>
    </row>
    <row r="3653" spans="19:19" ht="15.75">
      <c r="S3653" s="1"/>
    </row>
    <row r="3654" spans="19:19" ht="15.75">
      <c r="S3654" s="1"/>
    </row>
    <row r="3655" spans="19:19" ht="15.75">
      <c r="S3655" s="1"/>
    </row>
    <row r="3656" spans="19:19" ht="15.75">
      <c r="S3656" s="1"/>
    </row>
    <row r="3657" spans="19:19" ht="15.75">
      <c r="S3657" s="1"/>
    </row>
    <row r="3658" spans="19:19" ht="15.75">
      <c r="S3658" s="1"/>
    </row>
    <row r="3659" spans="19:19" ht="15.75">
      <c r="S3659" s="1"/>
    </row>
    <row r="3660" spans="19:19" ht="15.75">
      <c r="S3660" s="1"/>
    </row>
    <row r="3661" spans="19:19" ht="15.75">
      <c r="S3661" s="1"/>
    </row>
    <row r="3662" spans="19:19" ht="15.75">
      <c r="S3662" s="1"/>
    </row>
    <row r="3663" spans="19:19" ht="15.75">
      <c r="S3663" s="1"/>
    </row>
    <row r="3664" spans="19:19" ht="15.75">
      <c r="S3664" s="1"/>
    </row>
    <row r="3665" spans="19:19" ht="15.75">
      <c r="S3665" s="1"/>
    </row>
    <row r="3666" spans="19:19" ht="15.75">
      <c r="S3666" s="1"/>
    </row>
    <row r="3667" spans="19:19" ht="15.75">
      <c r="S3667" s="1"/>
    </row>
    <row r="3668" spans="19:19" ht="15.75">
      <c r="S3668" s="1"/>
    </row>
    <row r="3669" spans="19:19" ht="15.75">
      <c r="S3669" s="1"/>
    </row>
    <row r="3670" spans="19:19" ht="15.75">
      <c r="S3670" s="1"/>
    </row>
    <row r="3671" spans="19:19" ht="15.75">
      <c r="S3671" s="1"/>
    </row>
    <row r="3672" spans="19:19" ht="15.75">
      <c r="S3672" s="1"/>
    </row>
    <row r="3673" spans="19:19" ht="15.75">
      <c r="S3673" s="1"/>
    </row>
    <row r="3674" spans="19:19" ht="15.75">
      <c r="S3674" s="1"/>
    </row>
    <row r="3675" spans="19:19" ht="15.75">
      <c r="S3675" s="1"/>
    </row>
    <row r="3676" spans="19:19" ht="15.75">
      <c r="S3676" s="1"/>
    </row>
    <row r="3677" spans="19:19" ht="15.75">
      <c r="S3677" s="1"/>
    </row>
    <row r="3678" spans="19:19" ht="15.75">
      <c r="S3678" s="1"/>
    </row>
    <row r="3679" spans="19:19" ht="15.75">
      <c r="S3679" s="1"/>
    </row>
    <row r="3680" spans="19:19" ht="15.75">
      <c r="S3680" s="1"/>
    </row>
    <row r="3681" spans="19:19" ht="15.75">
      <c r="S3681" s="1"/>
    </row>
    <row r="3682" spans="19:19" ht="15.75">
      <c r="S3682" s="1"/>
    </row>
    <row r="3683" spans="19:19" ht="15.75">
      <c r="S3683" s="1"/>
    </row>
    <row r="3684" spans="19:19" ht="15.75">
      <c r="S3684" s="1"/>
    </row>
    <row r="3685" spans="19:19" ht="15.75">
      <c r="S3685" s="1"/>
    </row>
    <row r="3686" spans="19:19" ht="15.75">
      <c r="S3686" s="1"/>
    </row>
    <row r="3687" spans="19:19" ht="15.75">
      <c r="S3687" s="1"/>
    </row>
    <row r="3688" spans="19:19" ht="15.75">
      <c r="S3688" s="1"/>
    </row>
    <row r="3689" spans="19:19" ht="15.75">
      <c r="S3689" s="1"/>
    </row>
    <row r="3690" spans="19:19" ht="15.75">
      <c r="S3690" s="1"/>
    </row>
    <row r="3691" spans="19:19" ht="15.75">
      <c r="S3691" s="1"/>
    </row>
    <row r="3692" spans="19:19" ht="15.75">
      <c r="S3692" s="1"/>
    </row>
    <row r="3693" spans="19:19" ht="15.75">
      <c r="S3693" s="1"/>
    </row>
    <row r="3694" spans="19:19" ht="15.75">
      <c r="S3694" s="1"/>
    </row>
    <row r="3695" spans="19:19" ht="15.75">
      <c r="S3695" s="1"/>
    </row>
    <row r="3696" spans="19:19" ht="15.75">
      <c r="S3696" s="1"/>
    </row>
    <row r="3697" spans="19:19" ht="15.75">
      <c r="S3697" s="1"/>
    </row>
    <row r="3698" spans="19:19" ht="15.75">
      <c r="S3698" s="1"/>
    </row>
    <row r="3699" spans="19:19" ht="15.75">
      <c r="S3699" s="1"/>
    </row>
    <row r="3700" spans="19:19" ht="15.75">
      <c r="S3700" s="1"/>
    </row>
    <row r="3701" spans="19:19" ht="15.75">
      <c r="S3701" s="1"/>
    </row>
    <row r="3702" spans="19:19" ht="15.75">
      <c r="S3702" s="1"/>
    </row>
    <row r="3703" spans="19:19" ht="15.75">
      <c r="S3703" s="1"/>
    </row>
    <row r="3704" spans="19:19" ht="15.75">
      <c r="S3704" s="1"/>
    </row>
    <row r="3705" spans="19:19" ht="15.75">
      <c r="S3705" s="1"/>
    </row>
    <row r="3706" spans="19:19" ht="15.75">
      <c r="S3706" s="1"/>
    </row>
    <row r="3707" spans="19:19" ht="15.75">
      <c r="S3707" s="1"/>
    </row>
    <row r="3708" spans="19:19" ht="15.75">
      <c r="S3708" s="1"/>
    </row>
    <row r="3709" spans="19:19" ht="15.75">
      <c r="S3709" s="1"/>
    </row>
    <row r="3710" spans="19:19" ht="15.75">
      <c r="S3710" s="1"/>
    </row>
    <row r="3711" spans="19:19" ht="15.75">
      <c r="S3711" s="1"/>
    </row>
    <row r="3712" spans="19:19" ht="15.75">
      <c r="S3712" s="1"/>
    </row>
    <row r="3713" spans="19:19" ht="15.75">
      <c r="S3713" s="1"/>
    </row>
    <row r="3714" spans="19:19" ht="15.75">
      <c r="S3714" s="1"/>
    </row>
    <row r="3715" spans="19:19" ht="15.75">
      <c r="S3715" s="1"/>
    </row>
    <row r="3716" spans="19:19" ht="15.75">
      <c r="S3716" s="1"/>
    </row>
    <row r="3717" spans="19:19" ht="15.75">
      <c r="S3717" s="1"/>
    </row>
    <row r="3718" spans="19:19" ht="15.75">
      <c r="S3718" s="1"/>
    </row>
    <row r="3719" spans="19:19" ht="15.75">
      <c r="S3719" s="1"/>
    </row>
    <row r="3720" spans="19:19" ht="15.75">
      <c r="S3720" s="1"/>
    </row>
    <row r="3721" spans="19:19" ht="15.75">
      <c r="S3721" s="1"/>
    </row>
    <row r="3722" spans="19:19" ht="15.75">
      <c r="S3722" s="1"/>
    </row>
    <row r="3723" spans="19:19" ht="15.75">
      <c r="S3723" s="1"/>
    </row>
    <row r="3724" spans="19:19" ht="15.75">
      <c r="S3724" s="1"/>
    </row>
    <row r="3725" spans="19:19" ht="15.75">
      <c r="S3725" s="1"/>
    </row>
    <row r="3726" spans="19:19" ht="15.75">
      <c r="S3726" s="1"/>
    </row>
    <row r="3727" spans="19:19" ht="15.75">
      <c r="S3727" s="1"/>
    </row>
    <row r="3728" spans="19:19" ht="15.75">
      <c r="S3728" s="1"/>
    </row>
    <row r="3729" spans="19:19" ht="15.75">
      <c r="S3729" s="1"/>
    </row>
    <row r="3730" spans="19:19" ht="15.75">
      <c r="S3730" s="1"/>
    </row>
    <row r="3731" spans="19:19" ht="15.75">
      <c r="S3731" s="1"/>
    </row>
    <row r="3732" spans="19:19" ht="15.75">
      <c r="S3732" s="1"/>
    </row>
    <row r="3733" spans="19:19" ht="15.75">
      <c r="S3733" s="1"/>
    </row>
    <row r="3734" spans="19:19" ht="15.75">
      <c r="S3734" s="1"/>
    </row>
    <row r="3735" spans="19:19" ht="15.75">
      <c r="S3735" s="1"/>
    </row>
    <row r="3736" spans="19:19" ht="15.75">
      <c r="S3736" s="1"/>
    </row>
    <row r="3737" spans="19:19" ht="15.75">
      <c r="S3737" s="1"/>
    </row>
    <row r="3738" spans="19:19" ht="15.75">
      <c r="S3738" s="1"/>
    </row>
    <row r="3739" spans="19:19" ht="15.75">
      <c r="S3739" s="1"/>
    </row>
    <row r="3740" spans="19:19" ht="15.75">
      <c r="S3740" s="1"/>
    </row>
    <row r="3741" spans="19:19" ht="15.75">
      <c r="S3741" s="1"/>
    </row>
    <row r="3742" spans="19:19" ht="15.75">
      <c r="S3742" s="1"/>
    </row>
    <row r="3743" spans="19:19" ht="15.75">
      <c r="S3743" s="1"/>
    </row>
    <row r="3744" spans="19:19" ht="15.75">
      <c r="S3744" s="1"/>
    </row>
    <row r="3745" spans="19:19" ht="15.75">
      <c r="S3745" s="1"/>
    </row>
    <row r="3746" spans="19:19" ht="15.75">
      <c r="S3746" s="1"/>
    </row>
    <row r="3747" spans="19:19" ht="15.75">
      <c r="S3747" s="1"/>
    </row>
    <row r="3748" spans="19:19" ht="15.75">
      <c r="S3748" s="1"/>
    </row>
    <row r="3749" spans="19:19" ht="15.75">
      <c r="S3749" s="1"/>
    </row>
    <row r="3750" spans="19:19" ht="15.75">
      <c r="S3750" s="1"/>
    </row>
    <row r="3751" spans="19:19" ht="15.75">
      <c r="S3751" s="1"/>
    </row>
    <row r="3752" spans="19:19" ht="15.75">
      <c r="S3752" s="1"/>
    </row>
    <row r="3753" spans="19:19" ht="15.75">
      <c r="S3753" s="1"/>
    </row>
    <row r="3754" spans="19:19" ht="15.75">
      <c r="S3754" s="1"/>
    </row>
    <row r="3755" spans="19:19" ht="15.75">
      <c r="S3755" s="1"/>
    </row>
    <row r="3756" spans="19:19" ht="15.75">
      <c r="S3756" s="1"/>
    </row>
    <row r="3757" spans="19:19" ht="15.75">
      <c r="S3757" s="1"/>
    </row>
    <row r="3758" spans="19:19" ht="15.75">
      <c r="S3758" s="1"/>
    </row>
    <row r="3759" spans="19:19" ht="15.75">
      <c r="S3759" s="1"/>
    </row>
    <row r="3760" spans="19:19" ht="15.75">
      <c r="S3760" s="1"/>
    </row>
    <row r="3761" spans="19:19" ht="15.75">
      <c r="S3761" s="1"/>
    </row>
    <row r="3762" spans="19:19" ht="15.75">
      <c r="S3762" s="1"/>
    </row>
    <row r="3763" spans="19:19" ht="15.75">
      <c r="S3763" s="1"/>
    </row>
    <row r="3764" spans="19:19" ht="15.75">
      <c r="S3764" s="1"/>
    </row>
    <row r="3765" spans="19:19" ht="15.75">
      <c r="S3765" s="1"/>
    </row>
    <row r="3766" spans="19:19" ht="15.75">
      <c r="S3766" s="1"/>
    </row>
    <row r="3767" spans="19:19" ht="15.75">
      <c r="S3767" s="1"/>
    </row>
    <row r="3768" spans="19:19" ht="15.75">
      <c r="S3768" s="1"/>
    </row>
    <row r="3769" spans="19:19" ht="15.75">
      <c r="S3769" s="1"/>
    </row>
    <row r="3770" spans="19:19" ht="15.75">
      <c r="S3770" s="1"/>
    </row>
    <row r="3771" spans="19:19" ht="15.75">
      <c r="S3771" s="1"/>
    </row>
    <row r="3772" spans="19:19" ht="15.75">
      <c r="S3772" s="1"/>
    </row>
    <row r="3773" spans="19:19" ht="15.75">
      <c r="S3773" s="1"/>
    </row>
    <row r="3774" spans="19:19" ht="15.75">
      <c r="S3774" s="1"/>
    </row>
    <row r="3775" spans="19:19" ht="15.75">
      <c r="S3775" s="1"/>
    </row>
    <row r="3776" spans="19:19" ht="15.75">
      <c r="S3776" s="1"/>
    </row>
    <row r="3777" spans="19:19" ht="15.75">
      <c r="S3777" s="1"/>
    </row>
    <row r="3778" spans="19:19" ht="15.75">
      <c r="S3778" s="1"/>
    </row>
    <row r="3779" spans="19:19" ht="15.75">
      <c r="S3779" s="1"/>
    </row>
    <row r="3780" spans="19:19" ht="15.75">
      <c r="S3780" s="1"/>
    </row>
    <row r="3781" spans="19:19" ht="15.75">
      <c r="S3781" s="1"/>
    </row>
    <row r="3782" spans="19:19" ht="15.75">
      <c r="S3782" s="1"/>
    </row>
    <row r="3783" spans="19:19" ht="15.75">
      <c r="S3783" s="1"/>
    </row>
    <row r="3784" spans="19:19" ht="15.75">
      <c r="S3784" s="1"/>
    </row>
    <row r="3785" spans="19:19" ht="15.75">
      <c r="S3785" s="1"/>
    </row>
    <row r="3786" spans="19:19" ht="15.75">
      <c r="S3786" s="1"/>
    </row>
    <row r="3787" spans="19:19" ht="15.75">
      <c r="S3787" s="1"/>
    </row>
    <row r="3788" spans="19:19" ht="15.75">
      <c r="S3788" s="1"/>
    </row>
    <row r="3789" spans="19:19" ht="15.75">
      <c r="S3789" s="1"/>
    </row>
    <row r="3790" spans="19:19" ht="15.75">
      <c r="S3790" s="1"/>
    </row>
    <row r="3791" spans="19:19" ht="15.75">
      <c r="S3791" s="1"/>
    </row>
    <row r="3792" spans="19:19" ht="15.75">
      <c r="S3792" s="1"/>
    </row>
    <row r="3793" spans="19:19" ht="15.75">
      <c r="S3793" s="1"/>
    </row>
    <row r="3794" spans="19:19" ht="15.75">
      <c r="S3794" s="1"/>
    </row>
    <row r="3795" spans="19:19" ht="15.75">
      <c r="S3795" s="1"/>
    </row>
    <row r="3796" spans="19:19" ht="15.75">
      <c r="S3796" s="1"/>
    </row>
    <row r="3797" spans="19:19" ht="15.75">
      <c r="S3797" s="1"/>
    </row>
    <row r="3798" spans="19:19" ht="15.75">
      <c r="S3798" s="1"/>
    </row>
    <row r="3799" spans="19:19" ht="15.75">
      <c r="S3799" s="1"/>
    </row>
    <row r="3800" spans="19:19" ht="15.75">
      <c r="S3800" s="1"/>
    </row>
    <row r="3801" spans="19:19" ht="15.75">
      <c r="S3801" s="1"/>
    </row>
    <row r="3802" spans="19:19" ht="15.75">
      <c r="S3802" s="1"/>
    </row>
    <row r="3803" spans="19:19" ht="15.75">
      <c r="S3803" s="1"/>
    </row>
    <row r="3804" spans="19:19" ht="15.75">
      <c r="S3804" s="1"/>
    </row>
    <row r="3805" spans="19:19" ht="15.75">
      <c r="S3805" s="1"/>
    </row>
    <row r="3806" spans="19:19" ht="15.75">
      <c r="S3806" s="1"/>
    </row>
    <row r="3807" spans="19:19" ht="15.75">
      <c r="S3807" s="1"/>
    </row>
    <row r="3808" spans="19:19" ht="15.75">
      <c r="S3808" s="1"/>
    </row>
    <row r="3809" spans="19:19" ht="15.75">
      <c r="S3809" s="1"/>
    </row>
    <row r="3810" spans="19:19" ht="15.75">
      <c r="S3810" s="1"/>
    </row>
    <row r="3811" spans="19:19" ht="15.75">
      <c r="S3811" s="1"/>
    </row>
    <row r="3812" spans="19:19" ht="15.75">
      <c r="S3812" s="1"/>
    </row>
    <row r="3813" spans="19:19" ht="15.75">
      <c r="S3813" s="1"/>
    </row>
    <row r="3814" spans="19:19" ht="15.75">
      <c r="S3814" s="1"/>
    </row>
    <row r="3815" spans="19:19" ht="15.75">
      <c r="S3815" s="1"/>
    </row>
    <row r="3816" spans="19:19" ht="15.75">
      <c r="S3816" s="1"/>
    </row>
    <row r="3817" spans="19:19" ht="15.75">
      <c r="S3817" s="1"/>
    </row>
    <row r="3818" spans="19:19" ht="15.75">
      <c r="S3818" s="1"/>
    </row>
    <row r="3819" spans="19:19" ht="15.75">
      <c r="S3819" s="1"/>
    </row>
    <row r="3820" spans="19:19" ht="15.75">
      <c r="S3820" s="1"/>
    </row>
    <row r="3821" spans="19:19" ht="15.75">
      <c r="S3821" s="1"/>
    </row>
    <row r="3822" spans="19:19" ht="15.75">
      <c r="S3822" s="1"/>
    </row>
    <row r="3823" spans="19:19" ht="15.75">
      <c r="S3823" s="1"/>
    </row>
    <row r="3824" spans="19:19" ht="15.75">
      <c r="S3824" s="1"/>
    </row>
    <row r="3825" spans="19:19" ht="15.75">
      <c r="S3825" s="1"/>
    </row>
    <row r="3826" spans="19:19" ht="15.75">
      <c r="S3826" s="1"/>
    </row>
    <row r="3827" spans="19:19" ht="15.75">
      <c r="S3827" s="1"/>
    </row>
    <row r="3828" spans="19:19" ht="15.75">
      <c r="S3828" s="1"/>
    </row>
    <row r="3829" spans="19:19" ht="15.75">
      <c r="S3829" s="1"/>
    </row>
    <row r="3830" spans="19:19" ht="15.75">
      <c r="S3830" s="1"/>
    </row>
    <row r="3831" spans="19:19" ht="15.75">
      <c r="S3831" s="1"/>
    </row>
    <row r="3832" spans="19:19" ht="15.75">
      <c r="S3832" s="1"/>
    </row>
    <row r="3833" spans="19:19" ht="15.75">
      <c r="S3833" s="1"/>
    </row>
    <row r="3834" spans="19:19" ht="15.75">
      <c r="S3834" s="1"/>
    </row>
    <row r="3835" spans="19:19" ht="15.75">
      <c r="S3835" s="1"/>
    </row>
    <row r="3836" spans="19:19" ht="15.75">
      <c r="S3836" s="1"/>
    </row>
    <row r="3837" spans="19:19" ht="15.75">
      <c r="S3837" s="1"/>
    </row>
    <row r="3838" spans="19:19" ht="15.75">
      <c r="S3838" s="1"/>
    </row>
    <row r="3839" spans="19:19" ht="15.75">
      <c r="S3839" s="1"/>
    </row>
    <row r="3840" spans="19:19" ht="15.75">
      <c r="S3840" s="1"/>
    </row>
    <row r="3841" spans="19:19" ht="15.75">
      <c r="S3841" s="1"/>
    </row>
    <row r="3842" spans="19:19" ht="15.75">
      <c r="S3842" s="1"/>
    </row>
    <row r="3843" spans="19:19" ht="15.75">
      <c r="S3843" s="1"/>
    </row>
    <row r="3844" spans="19:19" ht="15.75">
      <c r="S3844" s="1"/>
    </row>
    <row r="3845" spans="19:19" ht="15.75">
      <c r="S3845" s="1"/>
    </row>
    <row r="3846" spans="19:19" ht="15.75">
      <c r="S3846" s="1"/>
    </row>
    <row r="3847" spans="19:19" ht="15.75">
      <c r="S3847" s="1"/>
    </row>
    <row r="3848" spans="19:19" ht="15.75">
      <c r="S3848" s="1"/>
    </row>
    <row r="3849" spans="19:19" ht="15.75">
      <c r="S3849" s="1"/>
    </row>
    <row r="3850" spans="19:19" ht="15.75">
      <c r="S3850" s="1"/>
    </row>
    <row r="3851" spans="19:19" ht="15.75">
      <c r="S3851" s="1"/>
    </row>
    <row r="3852" spans="19:19" ht="15.75">
      <c r="S3852" s="1"/>
    </row>
    <row r="3853" spans="19:19" ht="15.75">
      <c r="S3853" s="1"/>
    </row>
    <row r="3854" spans="19:19" ht="15.75">
      <c r="S3854" s="1"/>
    </row>
    <row r="3855" spans="19:19" ht="15.75">
      <c r="S3855" s="1"/>
    </row>
    <row r="3856" spans="19:19" ht="15.75">
      <c r="S3856" s="1"/>
    </row>
    <row r="3857" spans="19:19" ht="15.75">
      <c r="S3857" s="1"/>
    </row>
    <row r="3858" spans="19:19" ht="15.75">
      <c r="S3858" s="1"/>
    </row>
    <row r="3859" spans="19:19" ht="15.75">
      <c r="S3859" s="1"/>
    </row>
    <row r="3860" spans="19:19" ht="15.75">
      <c r="S3860" s="1"/>
    </row>
    <row r="3861" spans="19:19" ht="15.75">
      <c r="S3861" s="1"/>
    </row>
    <row r="3862" spans="19:19" ht="15.75">
      <c r="S3862" s="1"/>
    </row>
    <row r="3863" spans="19:19" ht="15.75">
      <c r="S3863" s="1"/>
    </row>
    <row r="3864" spans="19:19" ht="15.75">
      <c r="S3864" s="1"/>
    </row>
    <row r="3865" spans="19:19" ht="15.75">
      <c r="S3865" s="1"/>
    </row>
    <row r="3866" spans="19:19" ht="15.75">
      <c r="S3866" s="1"/>
    </row>
    <row r="3867" spans="19:19" ht="15.75">
      <c r="S3867" s="1"/>
    </row>
    <row r="3868" spans="19:19" ht="15.75">
      <c r="S3868" s="1"/>
    </row>
    <row r="3869" spans="19:19" ht="15.75">
      <c r="S3869" s="1"/>
    </row>
    <row r="3870" spans="19:19" ht="15.75">
      <c r="S3870" s="1"/>
    </row>
    <row r="3871" spans="19:19" ht="15.75">
      <c r="S3871" s="1"/>
    </row>
    <row r="3872" spans="19:19" ht="15.75">
      <c r="S3872" s="1"/>
    </row>
    <row r="3873" spans="19:19" ht="15.75">
      <c r="S3873" s="1"/>
    </row>
    <row r="3874" spans="19:19" ht="15.75">
      <c r="S3874" s="1"/>
    </row>
    <row r="3875" spans="19:19" ht="15.75">
      <c r="S3875" s="1"/>
    </row>
    <row r="3876" spans="19:19" ht="15.75">
      <c r="S3876" s="1"/>
    </row>
    <row r="3877" spans="19:19" ht="15.75">
      <c r="S3877" s="1"/>
    </row>
    <row r="3878" spans="19:19" ht="15.75">
      <c r="S3878" s="1"/>
    </row>
    <row r="3879" spans="19:19" ht="15.75">
      <c r="S3879" s="1"/>
    </row>
    <row r="3880" spans="19:19" ht="15.75">
      <c r="S3880" s="1"/>
    </row>
    <row r="3881" spans="19:19" ht="15.75">
      <c r="S3881" s="1"/>
    </row>
    <row r="3882" spans="19:19" ht="15.75">
      <c r="S3882" s="1"/>
    </row>
    <row r="3883" spans="19:19" ht="15.75">
      <c r="S3883" s="1"/>
    </row>
    <row r="3884" spans="19:19" ht="15.75">
      <c r="S3884" s="1"/>
    </row>
    <row r="3885" spans="19:19" ht="15.75">
      <c r="S3885" s="1"/>
    </row>
    <row r="3886" spans="19:19" ht="15.75">
      <c r="S3886" s="1"/>
    </row>
    <row r="3887" spans="19:19" ht="15.75">
      <c r="S3887" s="1"/>
    </row>
    <row r="3888" spans="19:19" ht="15.75">
      <c r="S3888" s="1"/>
    </row>
    <row r="3889" spans="19:19" ht="15.75">
      <c r="S3889" s="1"/>
    </row>
    <row r="3890" spans="19:19" ht="15.75">
      <c r="S3890" s="1"/>
    </row>
    <row r="3891" spans="19:19" ht="15.75">
      <c r="S3891" s="1"/>
    </row>
    <row r="3892" spans="19:19" ht="15.75">
      <c r="S3892" s="1"/>
    </row>
    <row r="3893" spans="19:19" ht="15.75">
      <c r="S3893" s="1"/>
    </row>
    <row r="3894" spans="19:19" ht="15.75">
      <c r="S3894" s="1"/>
    </row>
    <row r="3895" spans="19:19" ht="15.75">
      <c r="S3895" s="1"/>
    </row>
    <row r="3896" spans="19:19" ht="15.75">
      <c r="S3896" s="1"/>
    </row>
    <row r="3897" spans="19:19" ht="15.75">
      <c r="S3897" s="1"/>
    </row>
    <row r="3898" spans="19:19" ht="15.75">
      <c r="S3898" s="1"/>
    </row>
    <row r="3899" spans="19:19" ht="15.75">
      <c r="S3899" s="1"/>
    </row>
    <row r="3900" spans="19:19" ht="15.75">
      <c r="S3900" s="1"/>
    </row>
    <row r="3901" spans="19:19" ht="15.75">
      <c r="S3901" s="1"/>
    </row>
    <row r="3902" spans="19:19" ht="15.75">
      <c r="S3902" s="1"/>
    </row>
    <row r="3903" spans="19:19" ht="15.75">
      <c r="S3903" s="1"/>
    </row>
    <row r="3904" spans="19:19" ht="15.75">
      <c r="S3904" s="1"/>
    </row>
    <row r="3905" spans="19:19" ht="15.75">
      <c r="S3905" s="1"/>
    </row>
    <row r="3906" spans="19:19" ht="15.75">
      <c r="S3906" s="1"/>
    </row>
    <row r="3907" spans="19:19" ht="15.75">
      <c r="S3907" s="1"/>
    </row>
    <row r="3908" spans="19:19" ht="15.75">
      <c r="S3908" s="1"/>
    </row>
    <row r="3909" spans="19:19" ht="15.75">
      <c r="S3909" s="1"/>
    </row>
    <row r="3910" spans="19:19" ht="15.75">
      <c r="S3910" s="1"/>
    </row>
    <row r="3911" spans="19:19" ht="15.75">
      <c r="S3911" s="1"/>
    </row>
    <row r="3912" spans="19:19" ht="15.75">
      <c r="S3912" s="1"/>
    </row>
    <row r="3913" spans="19:19" ht="15.75">
      <c r="S3913" s="1"/>
    </row>
    <row r="3914" spans="19:19" ht="15.75">
      <c r="S3914" s="1"/>
    </row>
    <row r="3915" spans="19:19" ht="15.75">
      <c r="S3915" s="1"/>
    </row>
    <row r="3916" spans="19:19" ht="15.75">
      <c r="S3916" s="1"/>
    </row>
    <row r="3917" spans="19:19" ht="15.75">
      <c r="S3917" s="1"/>
    </row>
    <row r="3918" spans="19:19" ht="15.75">
      <c r="S3918" s="1"/>
    </row>
    <row r="3919" spans="19:19" ht="15.75">
      <c r="S3919" s="1"/>
    </row>
    <row r="3920" spans="19:19" ht="15.75">
      <c r="S3920" s="1"/>
    </row>
    <row r="3921" spans="19:19" ht="15.75">
      <c r="S3921" s="1"/>
    </row>
    <row r="3922" spans="19:19" ht="15.75">
      <c r="S3922" s="1"/>
    </row>
    <row r="3923" spans="19:19" ht="15.75">
      <c r="S3923" s="1"/>
    </row>
    <row r="3924" spans="19:19" ht="15.75">
      <c r="S3924" s="1"/>
    </row>
    <row r="3925" spans="19:19" ht="15.75">
      <c r="S3925" s="1"/>
    </row>
    <row r="3926" spans="19:19" ht="15.75">
      <c r="S3926" s="1"/>
    </row>
    <row r="3927" spans="19:19" ht="15.75">
      <c r="S3927" s="1"/>
    </row>
    <row r="3928" spans="19:19" ht="15.75">
      <c r="S3928" s="1"/>
    </row>
    <row r="3929" spans="19:19" ht="15.75">
      <c r="S3929" s="1"/>
    </row>
    <row r="3930" spans="19:19" ht="15.75">
      <c r="S3930" s="1"/>
    </row>
    <row r="3931" spans="19:19" ht="15.75">
      <c r="S3931" s="1"/>
    </row>
    <row r="3932" spans="19:19" ht="15.75">
      <c r="S3932" s="1"/>
    </row>
    <row r="3933" spans="19:19" ht="15.75">
      <c r="S3933" s="1"/>
    </row>
    <row r="3934" spans="19:19" ht="15.75">
      <c r="S3934" s="1"/>
    </row>
    <row r="3935" spans="19:19" ht="15.75">
      <c r="S3935" s="1"/>
    </row>
    <row r="3936" spans="19:19" ht="15.75">
      <c r="S3936" s="1"/>
    </row>
    <row r="3937" spans="19:19" ht="15.75">
      <c r="S3937" s="1"/>
    </row>
    <row r="3938" spans="19:19" ht="15.75">
      <c r="S3938" s="1"/>
    </row>
    <row r="3939" spans="19:19" ht="15.75">
      <c r="S3939" s="1"/>
    </row>
    <row r="3940" spans="19:19" ht="15.75">
      <c r="S3940" s="1"/>
    </row>
    <row r="3941" spans="19:19" ht="15.75">
      <c r="S3941" s="1"/>
    </row>
    <row r="3942" spans="19:19" ht="15.75">
      <c r="S3942" s="1"/>
    </row>
    <row r="3943" spans="19:19" ht="15.75">
      <c r="S3943" s="1"/>
    </row>
    <row r="3944" spans="19:19" ht="15.75">
      <c r="S3944" s="1"/>
    </row>
    <row r="3945" spans="19:19" ht="15.75">
      <c r="S3945" s="1"/>
    </row>
    <row r="3946" spans="19:19" ht="15.75">
      <c r="S3946" s="1"/>
    </row>
    <row r="3947" spans="19:19" ht="15.75">
      <c r="S3947" s="1"/>
    </row>
    <row r="3948" spans="19:19" ht="15.75">
      <c r="S3948" s="1"/>
    </row>
    <row r="3949" spans="19:19" ht="15.75">
      <c r="S3949" s="1"/>
    </row>
    <row r="3950" spans="19:19" ht="15.75">
      <c r="S3950" s="1"/>
    </row>
    <row r="3951" spans="19:19" ht="15.75">
      <c r="S3951" s="1"/>
    </row>
    <row r="3952" spans="19:19" ht="15.75">
      <c r="S3952" s="1"/>
    </row>
    <row r="3953" spans="19:19" ht="15.75">
      <c r="S3953" s="1"/>
    </row>
    <row r="3954" spans="19:19" ht="15.75">
      <c r="S3954" s="1"/>
    </row>
    <row r="3955" spans="19:19" ht="15.75">
      <c r="S3955" s="1"/>
    </row>
    <row r="3956" spans="19:19" ht="15.75">
      <c r="S3956" s="1"/>
    </row>
    <row r="3957" spans="19:19" ht="15.75">
      <c r="S3957" s="1"/>
    </row>
    <row r="3958" spans="19:19" ht="15.75">
      <c r="S3958" s="1"/>
    </row>
    <row r="3959" spans="19:19" ht="15.75">
      <c r="S3959" s="1"/>
    </row>
    <row r="3960" spans="19:19" ht="15.75">
      <c r="S3960" s="1"/>
    </row>
    <row r="3961" spans="19:19" ht="15.75">
      <c r="S3961" s="1"/>
    </row>
    <row r="3962" spans="19:19" ht="15.75">
      <c r="S3962" s="1"/>
    </row>
    <row r="3963" spans="19:19" ht="15.75">
      <c r="S3963" s="1"/>
    </row>
    <row r="3964" spans="19:19" ht="15.75">
      <c r="S3964" s="1"/>
    </row>
    <row r="3965" spans="19:19" ht="15.75">
      <c r="S3965" s="1"/>
    </row>
    <row r="3966" spans="19:19" ht="15.75">
      <c r="S3966" s="1"/>
    </row>
    <row r="3967" spans="19:19" ht="15.75">
      <c r="S3967" s="1"/>
    </row>
    <row r="3968" spans="19:19" ht="15.75">
      <c r="S3968" s="1"/>
    </row>
    <row r="3969" spans="19:19" ht="15.75">
      <c r="S3969" s="1"/>
    </row>
    <row r="3970" spans="19:19" ht="15.75">
      <c r="S3970" s="1"/>
    </row>
    <row r="3971" spans="19:19" ht="15.75">
      <c r="S3971" s="1"/>
    </row>
    <row r="3972" spans="19:19" ht="15.75">
      <c r="S3972" s="1"/>
    </row>
    <row r="3973" spans="19:19" ht="15.75">
      <c r="S3973" s="1"/>
    </row>
    <row r="3974" spans="19:19" ht="15.75">
      <c r="S3974" s="1"/>
    </row>
    <row r="3975" spans="19:19" ht="15.75">
      <c r="S3975" s="1"/>
    </row>
    <row r="3976" spans="19:19" ht="15.75">
      <c r="S3976" s="1"/>
    </row>
    <row r="3977" spans="19:19" ht="15.75">
      <c r="S3977" s="1"/>
    </row>
    <row r="3978" spans="19:19" ht="15.75">
      <c r="S3978" s="1"/>
    </row>
    <row r="3979" spans="19:19" ht="15.75">
      <c r="S3979" s="1"/>
    </row>
    <row r="3980" spans="19:19" ht="15.75">
      <c r="S3980" s="1"/>
    </row>
    <row r="3981" spans="19:19" ht="15.75">
      <c r="S3981" s="1"/>
    </row>
    <row r="3982" spans="19:19" ht="15.75">
      <c r="S3982" s="1"/>
    </row>
    <row r="3983" spans="19:19" ht="15.75">
      <c r="S3983" s="1"/>
    </row>
    <row r="3984" spans="19:19" ht="15.75">
      <c r="S3984" s="1"/>
    </row>
    <row r="3985" spans="19:19" ht="15.75">
      <c r="S3985" s="1"/>
    </row>
    <row r="3986" spans="19:19" ht="15.75">
      <c r="S3986" s="1"/>
    </row>
    <row r="3987" spans="19:19" ht="15.75">
      <c r="S3987" s="1"/>
    </row>
    <row r="3988" spans="19:19" ht="15.75">
      <c r="S3988" s="1"/>
    </row>
    <row r="3989" spans="19:19" ht="15.75">
      <c r="S3989" s="1"/>
    </row>
    <row r="3990" spans="19:19" ht="15.75">
      <c r="S3990" s="1"/>
    </row>
    <row r="3991" spans="19:19" ht="15.75">
      <c r="S3991" s="1"/>
    </row>
    <row r="3992" spans="19:19" ht="15.75">
      <c r="S3992" s="1"/>
    </row>
    <row r="3993" spans="19:19" ht="15.75">
      <c r="S3993" s="1"/>
    </row>
    <row r="3994" spans="19:19" ht="15.75">
      <c r="S3994" s="1"/>
    </row>
    <row r="3995" spans="19:19" ht="15.75">
      <c r="S3995" s="1"/>
    </row>
    <row r="3996" spans="19:19" ht="15.75">
      <c r="S3996" s="1"/>
    </row>
    <row r="3997" spans="19:19" ht="15.75">
      <c r="S3997" s="1"/>
    </row>
    <row r="3998" spans="19:19" ht="15.75">
      <c r="S3998" s="1"/>
    </row>
    <row r="3999" spans="19:19" ht="15.75">
      <c r="S3999" s="1"/>
    </row>
    <row r="4000" spans="19:19" ht="15.75">
      <c r="S4000" s="1"/>
    </row>
    <row r="4001" spans="19:19" ht="15.75">
      <c r="S4001" s="1"/>
    </row>
    <row r="4002" spans="19:19" ht="15.75">
      <c r="S4002" s="1"/>
    </row>
    <row r="4003" spans="19:19" ht="15.75">
      <c r="S4003" s="1"/>
    </row>
    <row r="4004" spans="19:19" ht="15.75">
      <c r="S4004" s="1"/>
    </row>
    <row r="4005" spans="19:19" ht="15.75">
      <c r="S4005" s="1"/>
    </row>
    <row r="4006" spans="19:19" ht="15.75">
      <c r="S4006" s="1"/>
    </row>
    <row r="4007" spans="19:19" ht="15.75">
      <c r="S4007" s="1"/>
    </row>
    <row r="4008" spans="19:19" ht="15.75">
      <c r="S4008" s="1"/>
    </row>
    <row r="4009" spans="19:19" ht="15.75">
      <c r="S4009" s="1"/>
    </row>
    <row r="4010" spans="19:19" ht="15.75">
      <c r="S4010" s="1"/>
    </row>
    <row r="4011" spans="19:19" ht="15.75">
      <c r="S4011" s="1"/>
    </row>
    <row r="4012" spans="19:19" ht="15.75">
      <c r="S4012" s="1"/>
    </row>
    <row r="4013" spans="19:19" ht="15.75">
      <c r="S4013" s="1"/>
    </row>
    <row r="4014" spans="19:19" ht="15.75">
      <c r="S4014" s="1"/>
    </row>
    <row r="4015" spans="19:19" ht="15.75">
      <c r="S4015" s="1"/>
    </row>
    <row r="4016" spans="19:19" ht="15.75">
      <c r="S4016" s="1"/>
    </row>
    <row r="4017" spans="19:19" ht="15.75">
      <c r="S4017" s="1"/>
    </row>
    <row r="4018" spans="19:19" ht="15.75">
      <c r="S4018" s="1"/>
    </row>
    <row r="4019" spans="19:19" ht="15.75">
      <c r="S4019" s="1"/>
    </row>
    <row r="4020" spans="19:19" ht="15.75">
      <c r="S4020" s="1"/>
    </row>
    <row r="4021" spans="19:19" ht="15.75">
      <c r="S4021" s="1"/>
    </row>
    <row r="4022" spans="19:19" ht="15.75">
      <c r="S4022" s="1"/>
    </row>
    <row r="4023" spans="19:19" ht="15.75">
      <c r="S4023" s="1"/>
    </row>
    <row r="4024" spans="19:19" ht="15.75">
      <c r="S4024" s="1"/>
    </row>
    <row r="4025" spans="19:19" ht="15.75">
      <c r="S4025" s="1"/>
    </row>
    <row r="4026" spans="19:19" ht="15.75">
      <c r="S4026" s="1"/>
    </row>
    <row r="4027" spans="19:19" ht="15.75">
      <c r="S4027" s="1"/>
    </row>
    <row r="4028" spans="19:19" ht="15.75">
      <c r="S4028" s="1"/>
    </row>
    <row r="4029" spans="19:19" ht="15.75">
      <c r="S4029" s="1"/>
    </row>
    <row r="4030" spans="19:19" ht="15.75">
      <c r="S4030" s="1"/>
    </row>
    <row r="4031" spans="19:19" ht="15.75">
      <c r="S4031" s="1"/>
    </row>
    <row r="4032" spans="19:19" ht="15.75">
      <c r="S4032" s="1"/>
    </row>
    <row r="4033" spans="19:19" ht="15.75">
      <c r="S4033" s="1"/>
    </row>
    <row r="4034" spans="19:19" ht="15.75">
      <c r="S4034" s="1"/>
    </row>
    <row r="4035" spans="19:19" ht="15.75">
      <c r="S4035" s="1"/>
    </row>
    <row r="4036" spans="19:19" ht="15.75">
      <c r="S4036" s="1"/>
    </row>
    <row r="4037" spans="19:19" ht="15.75">
      <c r="S4037" s="1"/>
    </row>
    <row r="4038" spans="19:19" ht="15.75">
      <c r="S4038" s="1"/>
    </row>
    <row r="4039" spans="19:19" ht="15.75">
      <c r="S4039" s="1"/>
    </row>
    <row r="4040" spans="19:19" ht="15.75">
      <c r="S4040" s="1"/>
    </row>
    <row r="4041" spans="19:19" ht="15.75">
      <c r="S4041" s="1"/>
    </row>
    <row r="4042" spans="19:19" ht="15.75">
      <c r="S4042" s="1"/>
    </row>
    <row r="4043" spans="19:19" ht="15.75">
      <c r="S4043" s="1"/>
    </row>
    <row r="4044" spans="19:19" ht="15.75">
      <c r="S4044" s="1"/>
    </row>
    <row r="4045" spans="19:19" ht="15.75">
      <c r="S4045" s="1"/>
    </row>
    <row r="4046" spans="19:19" ht="15.75">
      <c r="S4046" s="1"/>
    </row>
    <row r="4047" spans="19:19" ht="15.75">
      <c r="S4047" s="1"/>
    </row>
    <row r="4048" spans="19:19" ht="15.75">
      <c r="S4048" s="1"/>
    </row>
    <row r="4049" spans="19:19" ht="15.75">
      <c r="S4049" s="1"/>
    </row>
    <row r="4050" spans="19:19" ht="15.75">
      <c r="S4050" s="1"/>
    </row>
    <row r="4051" spans="19:19" ht="15.75">
      <c r="S4051" s="1"/>
    </row>
    <row r="4052" spans="19:19" ht="15.75">
      <c r="S4052" s="1"/>
    </row>
    <row r="4053" spans="19:19" ht="15.75">
      <c r="S4053" s="1"/>
    </row>
    <row r="4054" spans="19:19" ht="15.75">
      <c r="S4054" s="1"/>
    </row>
    <row r="4055" spans="19:19" ht="15.75">
      <c r="S4055" s="1"/>
    </row>
    <row r="4056" spans="19:19" ht="15.75">
      <c r="S4056" s="1"/>
    </row>
    <row r="4057" spans="19:19" ht="15.75">
      <c r="S4057" s="1"/>
    </row>
    <row r="4058" spans="19:19" ht="15.75">
      <c r="S4058" s="1"/>
    </row>
    <row r="4059" spans="19:19" ht="15.75">
      <c r="S4059" s="1"/>
    </row>
    <row r="4060" spans="19:19" ht="15.75">
      <c r="S4060" s="1"/>
    </row>
    <row r="4061" spans="19:19" ht="15.75">
      <c r="S4061" s="1"/>
    </row>
    <row r="4062" spans="19:19" ht="15.75">
      <c r="S4062" s="1"/>
    </row>
    <row r="4063" spans="19:19" ht="15.75">
      <c r="S4063" s="1"/>
    </row>
    <row r="4064" spans="19:19" ht="15.75">
      <c r="S4064" s="1"/>
    </row>
    <row r="4065" spans="19:19" ht="15.75">
      <c r="S4065" s="1"/>
    </row>
    <row r="4066" spans="19:19" ht="15.75">
      <c r="S4066" s="1"/>
    </row>
    <row r="4067" spans="19:19" ht="15.75">
      <c r="S4067" s="1"/>
    </row>
    <row r="4068" spans="19:19" ht="15.75">
      <c r="S4068" s="1"/>
    </row>
    <row r="4069" spans="19:19" ht="15.75">
      <c r="S4069" s="1"/>
    </row>
    <row r="4070" spans="19:19" ht="15.75">
      <c r="S4070" s="1"/>
    </row>
    <row r="4071" spans="19:19" ht="15.75">
      <c r="S4071" s="1"/>
    </row>
    <row r="4072" spans="19:19" ht="15.75">
      <c r="S4072" s="1"/>
    </row>
    <row r="4073" spans="19:19" ht="15.75">
      <c r="S4073" s="1"/>
    </row>
    <row r="4074" spans="19:19" ht="15.75">
      <c r="S4074" s="1"/>
    </row>
    <row r="4075" spans="19:19" ht="15.75">
      <c r="S4075" s="1"/>
    </row>
    <row r="4076" spans="19:19" ht="15.75">
      <c r="S4076" s="1"/>
    </row>
    <row r="4077" spans="19:19" ht="15.75">
      <c r="S4077" s="1"/>
    </row>
    <row r="4078" spans="19:19" ht="15.75">
      <c r="S4078" s="1"/>
    </row>
    <row r="4079" spans="19:19" ht="15.75">
      <c r="S4079" s="1"/>
    </row>
    <row r="4080" spans="19:19" ht="15.75">
      <c r="S4080" s="1"/>
    </row>
    <row r="4081" spans="19:19" ht="15.75">
      <c r="S4081" s="1"/>
    </row>
    <row r="4082" spans="19:19" ht="15.75">
      <c r="S4082" s="1"/>
    </row>
    <row r="4083" spans="19:19" ht="15.75">
      <c r="S4083" s="1"/>
    </row>
    <row r="4084" spans="19:19" ht="15.75">
      <c r="S4084" s="1"/>
    </row>
    <row r="4085" spans="19:19" ht="15.75">
      <c r="S4085" s="1"/>
    </row>
    <row r="4086" spans="19:19" ht="15.75">
      <c r="S4086" s="1"/>
    </row>
    <row r="4087" spans="19:19" ht="15.75">
      <c r="S4087" s="1"/>
    </row>
    <row r="4088" spans="19:19" ht="15.75">
      <c r="S4088" s="1"/>
    </row>
    <row r="4089" spans="19:19" ht="15.75">
      <c r="S4089" s="1"/>
    </row>
    <row r="4090" spans="19:19" ht="15.75">
      <c r="S4090" s="1"/>
    </row>
    <row r="4091" spans="19:19" ht="15.75">
      <c r="S4091" s="1"/>
    </row>
    <row r="4092" spans="19:19" ht="15.75">
      <c r="S4092" s="1"/>
    </row>
    <row r="4093" spans="19:19" ht="15.75">
      <c r="S4093" s="1"/>
    </row>
    <row r="4094" spans="19:19" ht="15.75">
      <c r="S4094" s="1"/>
    </row>
    <row r="4095" spans="19:19" ht="15.75">
      <c r="S4095" s="1"/>
    </row>
    <row r="4096" spans="19:19" ht="15.75">
      <c r="S4096" s="1"/>
    </row>
    <row r="4097" spans="19:19" ht="15.75">
      <c r="S4097" s="1"/>
    </row>
    <row r="4098" spans="19:19" ht="15.75">
      <c r="S4098" s="1"/>
    </row>
    <row r="4099" spans="19:19" ht="15.75">
      <c r="S4099" s="1"/>
    </row>
    <row r="4100" spans="19:19" ht="15.75">
      <c r="S4100" s="1"/>
    </row>
    <row r="4101" spans="19:19" ht="15.75">
      <c r="S4101" s="1"/>
    </row>
    <row r="4102" spans="19:19" ht="15.75">
      <c r="S4102" s="1"/>
    </row>
    <row r="4103" spans="19:19" ht="15.75">
      <c r="S4103" s="1"/>
    </row>
    <row r="4104" spans="19:19" ht="15.75">
      <c r="S4104" s="1"/>
    </row>
    <row r="4105" spans="19:19" ht="15.75">
      <c r="S4105" s="1"/>
    </row>
    <row r="4106" spans="19:19" ht="15.75">
      <c r="S4106" s="1"/>
    </row>
    <row r="4107" spans="19:19" ht="15.75">
      <c r="S4107" s="1"/>
    </row>
    <row r="4108" spans="19:19" ht="15.75">
      <c r="S4108" s="1"/>
    </row>
    <row r="4109" spans="19:19" ht="15.75">
      <c r="S4109" s="1"/>
    </row>
    <row r="4110" spans="19:19" ht="15.75">
      <c r="S4110" s="1"/>
    </row>
    <row r="4111" spans="19:19" ht="15.75">
      <c r="S4111" s="1"/>
    </row>
    <row r="4112" spans="19:19" ht="15.75">
      <c r="S4112" s="1"/>
    </row>
    <row r="4113" spans="19:19" ht="15.75">
      <c r="S4113" s="1"/>
    </row>
    <row r="4114" spans="19:19" ht="15.75">
      <c r="S4114" s="1"/>
    </row>
    <row r="4115" spans="19:19" ht="15.75">
      <c r="S4115" s="1"/>
    </row>
    <row r="4116" spans="19:19" ht="15.75">
      <c r="S4116" s="1"/>
    </row>
    <row r="4117" spans="19:19" ht="15.75">
      <c r="S4117" s="1"/>
    </row>
    <row r="4118" spans="19:19" ht="15.75">
      <c r="S4118" s="1"/>
    </row>
    <row r="4119" spans="19:19" ht="15.75">
      <c r="S4119" s="1"/>
    </row>
    <row r="4120" spans="19:19" ht="15.75">
      <c r="S4120" s="1"/>
    </row>
    <row r="4121" spans="19:19" ht="15.75">
      <c r="S4121" s="1"/>
    </row>
    <row r="4122" spans="19:19" ht="15.75">
      <c r="S4122" s="1"/>
    </row>
    <row r="4123" spans="19:19" ht="15.75">
      <c r="S4123" s="1"/>
    </row>
    <row r="4124" spans="19:19" ht="15.75">
      <c r="S4124" s="1"/>
    </row>
    <row r="4125" spans="19:19" ht="15.75">
      <c r="S4125" s="1"/>
    </row>
    <row r="4126" spans="19:19" ht="15.75">
      <c r="S4126" s="1"/>
    </row>
    <row r="4127" spans="19:19" ht="15.75">
      <c r="S4127" s="1"/>
    </row>
    <row r="4128" spans="19:19" ht="15.75">
      <c r="S4128" s="1"/>
    </row>
    <row r="4129" spans="19:19" ht="15.75">
      <c r="S4129" s="1"/>
    </row>
    <row r="4130" spans="19:19" ht="15.75">
      <c r="S4130" s="1"/>
    </row>
    <row r="4131" spans="19:19" ht="15.75">
      <c r="S4131" s="1"/>
    </row>
    <row r="4132" spans="19:19" ht="15.75">
      <c r="S4132" s="1"/>
    </row>
    <row r="4133" spans="19:19" ht="15.75">
      <c r="S4133" s="1"/>
    </row>
    <row r="4134" spans="19:19" ht="15.75">
      <c r="S4134" s="1"/>
    </row>
    <row r="4135" spans="19:19" ht="15.75">
      <c r="S4135" s="1"/>
    </row>
    <row r="4136" spans="19:19" ht="15.75">
      <c r="S4136" s="1"/>
    </row>
    <row r="4137" spans="19:19" ht="15.75">
      <c r="S4137" s="1"/>
    </row>
    <row r="4138" spans="19:19" ht="15.75">
      <c r="S4138" s="1"/>
    </row>
    <row r="4139" spans="19:19" ht="15.75">
      <c r="S4139" s="1"/>
    </row>
    <row r="4140" spans="19:19" ht="15.75">
      <c r="S4140" s="1"/>
    </row>
    <row r="4141" spans="19:19" ht="15.75">
      <c r="S4141" s="1"/>
    </row>
    <row r="4142" spans="19:19" ht="15.75">
      <c r="S4142" s="1"/>
    </row>
    <row r="4143" spans="19:19" ht="15.75">
      <c r="S4143" s="1"/>
    </row>
    <row r="4144" spans="19:19" ht="15.75">
      <c r="S4144" s="1"/>
    </row>
    <row r="4145" spans="19:19" ht="15.75">
      <c r="S4145" s="1"/>
    </row>
    <row r="4146" spans="19:19" ht="15.75">
      <c r="S4146" s="1"/>
    </row>
    <row r="4147" spans="19:19" ht="15.75">
      <c r="S4147" s="1"/>
    </row>
    <row r="4148" spans="19:19" ht="15.75">
      <c r="S4148" s="1"/>
    </row>
    <row r="4149" spans="19:19" ht="15.75">
      <c r="S4149" s="1"/>
    </row>
    <row r="4150" spans="19:19" ht="15.75">
      <c r="S4150" s="1"/>
    </row>
    <row r="4151" spans="19:19" ht="15.75">
      <c r="S4151" s="1"/>
    </row>
    <row r="4152" spans="19:19" ht="15.75">
      <c r="S4152" s="1"/>
    </row>
    <row r="4153" spans="19:19" ht="15.75">
      <c r="S4153" s="1"/>
    </row>
    <row r="4154" spans="19:19" ht="15.75">
      <c r="S4154" s="1"/>
    </row>
    <row r="4155" spans="19:19" ht="15.75">
      <c r="S4155" s="1"/>
    </row>
    <row r="4156" spans="19:19" ht="15.75">
      <c r="S4156" s="1"/>
    </row>
    <row r="4157" spans="19:19" ht="15.75">
      <c r="S4157" s="1"/>
    </row>
    <row r="4158" spans="19:19" ht="15.75">
      <c r="S4158" s="1"/>
    </row>
    <row r="4159" spans="19:19" ht="15.75">
      <c r="S4159" s="1"/>
    </row>
    <row r="4160" spans="19:19" ht="15.75">
      <c r="S4160" s="1"/>
    </row>
    <row r="4161" spans="19:19" ht="15.75">
      <c r="S4161" s="1"/>
    </row>
    <row r="4162" spans="19:19" ht="15.75">
      <c r="S4162" s="1"/>
    </row>
    <row r="4163" spans="19:19" ht="15.75">
      <c r="S4163" s="1"/>
    </row>
    <row r="4164" spans="19:19" ht="15.75">
      <c r="S4164" s="1"/>
    </row>
    <row r="4165" spans="19:19" ht="15.75">
      <c r="S4165" s="1"/>
    </row>
    <row r="4166" spans="19:19" ht="15.75">
      <c r="S4166" s="1"/>
    </row>
    <row r="4167" spans="19:19" ht="15.75">
      <c r="S4167" s="1"/>
    </row>
    <row r="4168" spans="19:19" ht="15.75">
      <c r="S4168" s="1"/>
    </row>
    <row r="4169" spans="19:19" ht="15.75">
      <c r="S4169" s="1"/>
    </row>
    <row r="4170" spans="19:19" ht="15.75">
      <c r="S4170" s="1"/>
    </row>
    <row r="4171" spans="19:19" ht="15.75">
      <c r="S4171" s="1"/>
    </row>
    <row r="4172" spans="19:19" ht="15.75">
      <c r="S4172" s="1"/>
    </row>
    <row r="4173" spans="19:19" ht="15.75">
      <c r="S4173" s="1"/>
    </row>
    <row r="4174" spans="19:19" ht="15.75">
      <c r="S4174" s="1"/>
    </row>
    <row r="4175" spans="19:19" ht="15.75">
      <c r="S4175" s="1"/>
    </row>
    <row r="4176" spans="19:19" ht="15.75">
      <c r="S4176" s="1"/>
    </row>
    <row r="4177" spans="19:19" ht="15.75">
      <c r="S4177" s="1"/>
    </row>
    <row r="4178" spans="19:19" ht="15.75">
      <c r="S4178" s="1"/>
    </row>
    <row r="4179" spans="19:19" ht="15.75">
      <c r="S4179" s="1"/>
    </row>
    <row r="4180" spans="19:19" ht="15.75">
      <c r="S4180" s="1"/>
    </row>
    <row r="4181" spans="19:19" ht="15.75">
      <c r="S4181" s="1"/>
    </row>
    <row r="4182" spans="19:19" ht="15.75">
      <c r="S4182" s="1"/>
    </row>
    <row r="4183" spans="19:19" ht="15.75">
      <c r="S4183" s="1"/>
    </row>
    <row r="4184" spans="19:19" ht="15.75">
      <c r="S4184" s="1"/>
    </row>
    <row r="4185" spans="19:19" ht="15.75">
      <c r="S4185" s="1"/>
    </row>
    <row r="4186" spans="19:19" ht="15.75">
      <c r="S4186" s="1"/>
    </row>
    <row r="4187" spans="19:19" ht="15.75">
      <c r="S4187" s="1"/>
    </row>
    <row r="4188" spans="19:19" ht="15.75">
      <c r="S4188" s="1"/>
    </row>
    <row r="4189" spans="19:19" ht="15.75">
      <c r="S4189" s="1"/>
    </row>
    <row r="4190" spans="19:19" ht="15.75">
      <c r="S4190" s="1"/>
    </row>
    <row r="4191" spans="19:19" ht="15.75">
      <c r="S4191" s="1"/>
    </row>
    <row r="4192" spans="19:19" ht="15.75">
      <c r="S4192" s="1"/>
    </row>
    <row r="4193" spans="19:19" ht="15.75">
      <c r="S4193" s="1"/>
    </row>
    <row r="4194" spans="19:19" ht="15.75">
      <c r="S4194" s="1"/>
    </row>
    <row r="4195" spans="19:19" ht="15.75">
      <c r="S4195" s="1"/>
    </row>
    <row r="4196" spans="19:19" ht="15.75">
      <c r="S4196" s="1"/>
    </row>
    <row r="4197" spans="19:19" ht="15.75">
      <c r="S4197" s="1"/>
    </row>
    <row r="4198" spans="19:19" ht="15.75">
      <c r="S4198" s="1"/>
    </row>
    <row r="4199" spans="19:19" ht="15.75">
      <c r="S4199" s="1"/>
    </row>
    <row r="4200" spans="19:19" ht="15.75">
      <c r="S4200" s="1"/>
    </row>
    <row r="4201" spans="19:19" ht="15.75">
      <c r="S4201" s="1"/>
    </row>
    <row r="4202" spans="19:19" ht="15.75">
      <c r="S4202" s="1"/>
    </row>
    <row r="4203" spans="19:19" ht="15.75">
      <c r="S4203" s="1"/>
    </row>
    <row r="4204" spans="19:19" ht="15.75">
      <c r="S4204" s="1"/>
    </row>
    <row r="4205" spans="19:19" ht="15.75">
      <c r="S4205" s="1"/>
    </row>
    <row r="4206" spans="19:19" ht="15.75">
      <c r="S4206" s="1"/>
    </row>
    <row r="4207" spans="19:19" ht="15.75">
      <c r="S4207" s="1"/>
    </row>
    <row r="4208" spans="19:19" ht="15.75">
      <c r="S4208" s="1"/>
    </row>
    <row r="4209" spans="19:19" ht="15.75">
      <c r="S4209" s="1"/>
    </row>
    <row r="4210" spans="19:19" ht="15.75">
      <c r="S4210" s="1"/>
    </row>
    <row r="4211" spans="19:19" ht="15.75">
      <c r="S4211" s="1"/>
    </row>
    <row r="4212" spans="19:19" ht="15.75">
      <c r="S4212" s="1"/>
    </row>
    <row r="4213" spans="19:19" ht="15.75">
      <c r="S4213" s="1"/>
    </row>
    <row r="4214" spans="19:19" ht="15.75">
      <c r="S4214" s="1"/>
    </row>
    <row r="4215" spans="19:19" ht="15.75">
      <c r="S4215" s="1"/>
    </row>
    <row r="4216" spans="19:19" ht="15.75">
      <c r="S4216" s="1"/>
    </row>
    <row r="4217" spans="19:19" ht="15.75">
      <c r="S4217" s="1"/>
    </row>
    <row r="4218" spans="19:19" ht="15.75">
      <c r="S4218" s="1"/>
    </row>
    <row r="4219" spans="19:19" ht="15.75">
      <c r="S4219" s="1"/>
    </row>
    <row r="4220" spans="19:19" ht="15.75">
      <c r="S4220" s="1"/>
    </row>
    <row r="4221" spans="19:19" ht="15.75">
      <c r="S4221" s="1"/>
    </row>
    <row r="4222" spans="19:19" ht="15.75">
      <c r="S4222" s="1"/>
    </row>
    <row r="4223" spans="19:19" ht="15.75">
      <c r="S4223" s="1"/>
    </row>
    <row r="4224" spans="19:19" ht="15.75">
      <c r="S4224" s="1"/>
    </row>
    <row r="4225" spans="19:19" ht="15.75">
      <c r="S4225" s="1"/>
    </row>
    <row r="4226" spans="19:19" ht="15.75">
      <c r="S4226" s="1"/>
    </row>
    <row r="4227" spans="19:19" ht="15.75">
      <c r="S4227" s="1"/>
    </row>
    <row r="4228" spans="19:19" ht="15.75">
      <c r="S4228" s="1"/>
    </row>
    <row r="4229" spans="19:19" ht="15.75">
      <c r="S4229" s="1"/>
    </row>
    <row r="4230" spans="19:19" ht="15.75">
      <c r="S4230" s="1"/>
    </row>
    <row r="4231" spans="19:19" ht="15.75">
      <c r="S4231" s="1"/>
    </row>
    <row r="4232" spans="19:19" ht="15.75">
      <c r="S4232" s="1"/>
    </row>
    <row r="4233" spans="19:19" ht="15.75">
      <c r="S4233" s="1"/>
    </row>
    <row r="4234" spans="19:19" ht="15.75">
      <c r="S4234" s="1"/>
    </row>
    <row r="4235" spans="19:19" ht="15.75">
      <c r="S4235" s="1"/>
    </row>
    <row r="4236" spans="19:19" ht="15.75">
      <c r="S4236" s="1"/>
    </row>
    <row r="4237" spans="19:19" ht="15.75">
      <c r="S4237" s="1"/>
    </row>
    <row r="4238" spans="19:19" ht="15.75">
      <c r="S4238" s="1"/>
    </row>
    <row r="4239" spans="19:19" ht="15.75">
      <c r="S4239" s="1"/>
    </row>
    <row r="4240" spans="19:19" ht="15.75">
      <c r="S4240" s="1"/>
    </row>
    <row r="4241" spans="19:19" ht="15.75">
      <c r="S4241" s="1"/>
    </row>
    <row r="4242" spans="19:19" ht="15.75">
      <c r="S4242" s="1"/>
    </row>
    <row r="4243" spans="19:19" ht="15.75">
      <c r="S4243" s="1"/>
    </row>
    <row r="4244" spans="19:19" ht="15.75">
      <c r="S4244" s="1"/>
    </row>
    <row r="4245" spans="19:19" ht="15.75">
      <c r="S4245" s="1"/>
    </row>
    <row r="4246" spans="19:19" ht="15.75">
      <c r="S4246" s="1"/>
    </row>
    <row r="4247" spans="19:19" ht="15.75">
      <c r="S4247" s="1"/>
    </row>
    <row r="4248" spans="19:19" ht="15.75">
      <c r="S4248" s="1"/>
    </row>
    <row r="4249" spans="19:19" ht="15.75">
      <c r="S4249" s="1"/>
    </row>
    <row r="4250" spans="19:19" ht="15.75">
      <c r="S4250" s="1"/>
    </row>
    <row r="4251" spans="19:19" ht="15.75">
      <c r="S4251" s="1"/>
    </row>
    <row r="4252" spans="19:19" ht="15.75">
      <c r="S4252" s="1"/>
    </row>
    <row r="4253" spans="19:19" ht="15.75">
      <c r="S4253" s="1"/>
    </row>
    <row r="4254" spans="19:19" ht="15.75">
      <c r="S4254" s="1"/>
    </row>
    <row r="4255" spans="19:19" ht="15.75">
      <c r="S4255" s="1"/>
    </row>
    <row r="4256" spans="19:19" ht="15.75">
      <c r="S4256" s="1"/>
    </row>
    <row r="4257" spans="19:19" ht="15.75">
      <c r="S4257" s="1"/>
    </row>
    <row r="4258" spans="19:19" ht="15.75">
      <c r="S4258" s="1"/>
    </row>
    <row r="4259" spans="19:19" ht="15.75">
      <c r="S4259" s="1"/>
    </row>
    <row r="4260" spans="19:19" ht="15.75">
      <c r="S4260" s="1"/>
    </row>
    <row r="4261" spans="19:19" ht="15.75">
      <c r="S4261" s="1"/>
    </row>
    <row r="4262" spans="19:19" ht="15.75">
      <c r="S4262" s="1"/>
    </row>
    <row r="4263" spans="19:19" ht="15.75">
      <c r="S4263" s="1"/>
    </row>
    <row r="4264" spans="19:19" ht="15.75">
      <c r="S4264" s="1"/>
    </row>
    <row r="4265" spans="19:19" ht="15.75">
      <c r="S4265" s="1"/>
    </row>
    <row r="4266" spans="19:19" ht="15.75">
      <c r="S4266" s="1"/>
    </row>
    <row r="4267" spans="19:19" ht="15.75">
      <c r="S4267" s="1"/>
    </row>
    <row r="4268" spans="19:19" ht="15.75">
      <c r="S4268" s="1"/>
    </row>
    <row r="4269" spans="19:19" ht="15.75">
      <c r="S4269" s="1"/>
    </row>
    <row r="4270" spans="19:19" ht="15.75">
      <c r="S4270" s="1"/>
    </row>
    <row r="4271" spans="19:19" ht="15.75">
      <c r="S4271" s="1"/>
    </row>
    <row r="4272" spans="19:19" ht="15.75">
      <c r="S4272" s="1"/>
    </row>
    <row r="4273" spans="19:19" ht="15.75">
      <c r="S4273" s="1"/>
    </row>
    <row r="4274" spans="19:19" ht="15.75">
      <c r="S4274" s="1"/>
    </row>
    <row r="4275" spans="19:19" ht="15.75">
      <c r="S4275" s="1"/>
    </row>
    <row r="4276" spans="19:19" ht="15.75">
      <c r="S4276" s="1"/>
    </row>
    <row r="4277" spans="19:19" ht="15.75">
      <c r="S4277" s="1"/>
    </row>
    <row r="4278" spans="19:19" ht="15.75">
      <c r="S4278" s="1"/>
    </row>
    <row r="4279" spans="19:19" ht="15.75">
      <c r="S4279" s="1"/>
    </row>
    <row r="4280" spans="19:19" ht="15.75">
      <c r="S4280" s="1"/>
    </row>
    <row r="4281" spans="19:19" ht="15.75">
      <c r="S4281" s="1"/>
    </row>
    <row r="4282" spans="19:19" ht="15.75">
      <c r="S4282" s="1"/>
    </row>
    <row r="4283" spans="19:19" ht="15.75">
      <c r="S4283" s="1"/>
    </row>
    <row r="4284" spans="19:19" ht="15.75">
      <c r="S4284" s="1"/>
    </row>
    <row r="4285" spans="19:19" ht="15.75">
      <c r="S4285" s="1"/>
    </row>
    <row r="4286" spans="19:19" ht="15.75">
      <c r="S4286" s="1"/>
    </row>
    <row r="4287" spans="19:19" ht="15.75">
      <c r="S4287" s="1"/>
    </row>
    <row r="4288" spans="19:19" ht="15.75">
      <c r="S4288" s="1"/>
    </row>
    <row r="4289" spans="19:19" ht="15.75">
      <c r="S4289" s="1"/>
    </row>
    <row r="4290" spans="19:19" ht="15.75">
      <c r="S4290" s="1"/>
    </row>
    <row r="4291" spans="19:19" ht="15.75">
      <c r="S4291" s="1"/>
    </row>
    <row r="4292" spans="19:19" ht="15.75">
      <c r="S4292" s="1"/>
    </row>
    <row r="4293" spans="19:19" ht="15.75">
      <c r="S4293" s="1"/>
    </row>
    <row r="4294" spans="19:19" ht="15.75">
      <c r="S4294" s="1"/>
    </row>
    <row r="4295" spans="19:19" ht="15.75">
      <c r="S4295" s="1"/>
    </row>
    <row r="4296" spans="19:19" ht="15.75">
      <c r="S4296" s="1"/>
    </row>
    <row r="4297" spans="19:19" ht="15.75">
      <c r="S4297" s="1"/>
    </row>
    <row r="4298" spans="19:19" ht="15.75">
      <c r="S4298" s="1"/>
    </row>
    <row r="4299" spans="19:19" ht="15.75">
      <c r="S4299" s="1"/>
    </row>
    <row r="4300" spans="19:19" ht="15.75">
      <c r="S4300" s="1"/>
    </row>
    <row r="4301" spans="19:19" ht="15.75">
      <c r="S4301" s="1"/>
    </row>
    <row r="4302" spans="19:19" ht="15.75">
      <c r="S4302" s="1"/>
    </row>
    <row r="4303" spans="19:19" ht="15.75">
      <c r="S4303" s="1"/>
    </row>
    <row r="4304" spans="19:19" ht="15.75">
      <c r="S4304" s="1"/>
    </row>
    <row r="4305" spans="19:19" ht="15.75">
      <c r="S4305" s="1"/>
    </row>
    <row r="4306" spans="19:19" ht="15.75">
      <c r="S4306" s="1"/>
    </row>
    <row r="4307" spans="19:19" ht="15.75">
      <c r="S4307" s="1"/>
    </row>
    <row r="4308" spans="19:19" ht="15.75">
      <c r="S4308" s="1"/>
    </row>
    <row r="4309" spans="19:19" ht="15.75">
      <c r="S4309" s="1"/>
    </row>
    <row r="4310" spans="19:19" ht="15.75">
      <c r="S4310" s="1"/>
    </row>
    <row r="4311" spans="19:19" ht="15.75">
      <c r="S4311" s="1"/>
    </row>
    <row r="4312" spans="19:19" ht="15.75">
      <c r="S4312" s="1"/>
    </row>
    <row r="4313" spans="19:19" ht="15.75">
      <c r="S4313" s="1"/>
    </row>
    <row r="4314" spans="19:19" ht="15.75">
      <c r="S4314" s="1"/>
    </row>
    <row r="4315" spans="19:19" ht="15.75">
      <c r="S4315" s="1"/>
    </row>
    <row r="4316" spans="19:19" ht="15.75">
      <c r="S4316" s="1"/>
    </row>
    <row r="4317" spans="19:19" ht="15.75">
      <c r="S4317" s="1"/>
    </row>
    <row r="4318" spans="19:19" ht="15.75">
      <c r="S4318" s="1"/>
    </row>
    <row r="4319" spans="19:19" ht="15.75">
      <c r="S4319" s="1"/>
    </row>
    <row r="4320" spans="19:19" ht="15.75">
      <c r="S4320" s="1"/>
    </row>
    <row r="4321" spans="19:19" ht="15.75">
      <c r="S4321" s="1"/>
    </row>
    <row r="4322" spans="19:19" ht="15.75">
      <c r="S4322" s="1"/>
    </row>
    <row r="4323" spans="19:19" ht="15.75">
      <c r="S4323" s="1"/>
    </row>
    <row r="4324" spans="19:19" ht="15.75">
      <c r="S4324" s="1"/>
    </row>
    <row r="4325" spans="19:19" ht="15.75">
      <c r="S4325" s="1"/>
    </row>
    <row r="4326" spans="19:19" ht="15.75">
      <c r="S4326" s="1"/>
    </row>
    <row r="4327" spans="19:19" ht="15.75">
      <c r="S4327" s="1"/>
    </row>
    <row r="4328" spans="19:19" ht="15.75">
      <c r="S4328" s="1"/>
    </row>
    <row r="4329" spans="19:19" ht="15.75">
      <c r="S4329" s="1"/>
    </row>
    <row r="4330" spans="19:19" ht="15.75">
      <c r="S4330" s="1"/>
    </row>
    <row r="4331" spans="19:19" ht="15.75">
      <c r="S4331" s="1"/>
    </row>
    <row r="4332" spans="19:19" ht="15.75">
      <c r="S4332" s="1"/>
    </row>
    <row r="4333" spans="19:19" ht="15.75">
      <c r="S4333" s="1"/>
    </row>
    <row r="4334" spans="19:19" ht="15.75">
      <c r="S4334" s="1"/>
    </row>
    <row r="4335" spans="19:19" ht="15.75">
      <c r="S4335" s="1"/>
    </row>
    <row r="4336" spans="19:19" ht="15.75">
      <c r="S4336" s="1"/>
    </row>
    <row r="4337" spans="19:19" ht="15.75">
      <c r="S4337" s="1"/>
    </row>
    <row r="4338" spans="19:19" ht="15.75">
      <c r="S4338" s="1"/>
    </row>
    <row r="4339" spans="19:19" ht="15.75">
      <c r="S4339" s="1"/>
    </row>
    <row r="4340" spans="19:19" ht="15.75">
      <c r="S4340" s="1"/>
    </row>
    <row r="4341" spans="19:19" ht="15.75">
      <c r="S4341" s="1"/>
    </row>
    <row r="4342" spans="19:19" ht="15.75">
      <c r="S4342" s="1"/>
    </row>
    <row r="4343" spans="19:19" ht="15.75">
      <c r="S4343" s="1"/>
    </row>
    <row r="4344" spans="19:19" ht="15.75">
      <c r="S4344" s="1"/>
    </row>
    <row r="4345" spans="19:19" ht="15.75">
      <c r="S4345" s="1"/>
    </row>
    <row r="4346" spans="19:19" ht="15.75">
      <c r="S4346" s="1"/>
    </row>
    <row r="4347" spans="19:19" ht="15.75">
      <c r="S4347" s="1"/>
    </row>
    <row r="4348" spans="19:19" ht="15.75">
      <c r="S4348" s="1"/>
    </row>
    <row r="4349" spans="19:19" ht="15.75">
      <c r="S4349" s="1"/>
    </row>
    <row r="4350" spans="19:19" ht="15.75">
      <c r="S4350" s="1"/>
    </row>
    <row r="4351" spans="19:19" ht="15.75">
      <c r="S4351" s="1"/>
    </row>
    <row r="4352" spans="19:19" ht="15.75">
      <c r="S4352" s="1"/>
    </row>
    <row r="4353" spans="19:19" ht="15.75">
      <c r="S4353" s="1"/>
    </row>
    <row r="4354" spans="19:19" ht="15.75">
      <c r="S4354" s="1"/>
    </row>
    <row r="4355" spans="19:19" ht="15.75">
      <c r="S4355" s="1"/>
    </row>
    <row r="4356" spans="19:19" ht="15.75">
      <c r="S4356" s="1"/>
    </row>
    <row r="4357" spans="19:19" ht="15.75">
      <c r="S4357" s="1"/>
    </row>
    <row r="4358" spans="19:19" ht="15.75">
      <c r="S4358" s="1"/>
    </row>
    <row r="4359" spans="19:19" ht="15.75">
      <c r="S4359" s="1"/>
    </row>
    <row r="4360" spans="19:19" ht="15.75">
      <c r="S4360" s="1"/>
    </row>
    <row r="4361" spans="19:19" ht="15.75">
      <c r="S4361" s="1"/>
    </row>
    <row r="4362" spans="19:19" ht="15.75">
      <c r="S4362" s="1"/>
    </row>
    <row r="4363" spans="19:19" ht="15.75">
      <c r="S4363" s="1"/>
    </row>
    <row r="4364" spans="19:19" ht="15.75">
      <c r="S4364" s="1"/>
    </row>
    <row r="4365" spans="19:19" ht="15.75">
      <c r="S4365" s="1"/>
    </row>
    <row r="4366" spans="19:19" ht="15.75">
      <c r="S4366" s="1"/>
    </row>
    <row r="4367" spans="19:19" ht="15.75">
      <c r="S4367" s="1"/>
    </row>
    <row r="4368" spans="19:19" ht="15.75">
      <c r="S4368" s="1"/>
    </row>
    <row r="4369" spans="19:19" ht="15.75">
      <c r="S4369" s="1"/>
    </row>
    <row r="4370" spans="19:19" ht="15.75">
      <c r="S4370" s="1"/>
    </row>
    <row r="4371" spans="19:19" ht="15.75">
      <c r="S4371" s="1"/>
    </row>
    <row r="4372" spans="19:19" ht="15.75">
      <c r="S4372" s="1"/>
    </row>
    <row r="4373" spans="19:19" ht="15.75">
      <c r="S4373" s="1"/>
    </row>
    <row r="4374" spans="19:19" ht="15.75">
      <c r="S4374" s="1"/>
    </row>
    <row r="4375" spans="19:19" ht="15.75">
      <c r="S4375" s="1"/>
    </row>
    <row r="4376" spans="19:19" ht="15.75">
      <c r="S4376" s="1"/>
    </row>
    <row r="4377" spans="19:19" ht="15.75">
      <c r="S4377" s="1"/>
    </row>
    <row r="4378" spans="19:19" ht="15.75">
      <c r="S4378" s="1"/>
    </row>
    <row r="4379" spans="19:19" ht="15.75">
      <c r="S4379" s="1"/>
    </row>
    <row r="4380" spans="19:19" ht="15.75">
      <c r="S4380" s="1"/>
    </row>
    <row r="4381" spans="19:19" ht="15.75">
      <c r="S4381" s="1"/>
    </row>
    <row r="4382" spans="19:19" ht="15.75">
      <c r="S4382" s="1"/>
    </row>
    <row r="4383" spans="19:19" ht="15.75">
      <c r="S4383" s="1"/>
    </row>
    <row r="4384" spans="19:19" ht="15.75">
      <c r="S4384" s="1"/>
    </row>
    <row r="4385" spans="19:19" ht="15.75">
      <c r="S4385" s="1"/>
    </row>
    <row r="4386" spans="19:19" ht="15.75">
      <c r="S4386" s="1"/>
    </row>
    <row r="4387" spans="19:19" ht="15.75">
      <c r="S4387" s="1"/>
    </row>
    <row r="4388" spans="19:19" ht="15.75">
      <c r="S4388" s="1"/>
    </row>
    <row r="4389" spans="19:19" ht="15.75">
      <c r="S4389" s="1"/>
    </row>
    <row r="4390" spans="19:19" ht="15.75">
      <c r="S4390" s="1"/>
    </row>
    <row r="4391" spans="19:19" ht="15.75">
      <c r="S4391" s="1"/>
    </row>
    <row r="4392" spans="19:19" ht="15.75">
      <c r="S4392" s="1"/>
    </row>
    <row r="4393" spans="19:19" ht="15.75">
      <c r="S4393" s="1"/>
    </row>
    <row r="4394" spans="19:19" ht="15.75">
      <c r="S4394" s="1"/>
    </row>
    <row r="4395" spans="19:19" ht="15.75">
      <c r="S4395" s="1"/>
    </row>
    <row r="4396" spans="19:19" ht="15.75">
      <c r="S4396" s="1"/>
    </row>
    <row r="4397" spans="19:19" ht="15.75">
      <c r="S4397" s="1"/>
    </row>
    <row r="4398" spans="19:19" ht="15.75">
      <c r="S4398" s="1"/>
    </row>
    <row r="4399" spans="19:19" ht="15.75">
      <c r="S4399" s="1"/>
    </row>
    <row r="4400" spans="19:19" ht="15.75">
      <c r="S4400" s="1"/>
    </row>
    <row r="4401" spans="19:19" ht="15.75">
      <c r="S4401" s="1"/>
    </row>
    <row r="4402" spans="19:19" ht="15.75">
      <c r="S4402" s="1"/>
    </row>
    <row r="4403" spans="19:19" ht="15.75">
      <c r="S4403" s="1"/>
    </row>
    <row r="4404" spans="19:19" ht="15.75">
      <c r="S4404" s="1"/>
    </row>
    <row r="4405" spans="19:19" ht="15.75">
      <c r="S4405" s="1"/>
    </row>
    <row r="4406" spans="19:19" ht="15.75">
      <c r="S4406" s="1"/>
    </row>
    <row r="4407" spans="19:19" ht="15.75">
      <c r="S4407" s="1"/>
    </row>
    <row r="4408" spans="19:19" ht="15.75">
      <c r="S4408" s="1"/>
    </row>
    <row r="4409" spans="19:19" ht="15.75">
      <c r="S4409" s="1"/>
    </row>
    <row r="4410" spans="19:19" ht="15.75">
      <c r="S4410" s="1"/>
    </row>
    <row r="4411" spans="19:19" ht="15.75">
      <c r="S4411" s="1"/>
    </row>
    <row r="4412" spans="19:19" ht="15.75">
      <c r="S4412" s="1"/>
    </row>
    <row r="4413" spans="19:19" ht="15.75">
      <c r="S4413" s="1"/>
    </row>
    <row r="4414" spans="19:19" ht="15.75">
      <c r="S4414" s="1"/>
    </row>
    <row r="4415" spans="19:19" ht="15.75">
      <c r="S4415" s="1"/>
    </row>
    <row r="4416" spans="19:19" ht="15.75">
      <c r="S4416" s="1"/>
    </row>
    <row r="4417" spans="19:19" ht="15.75">
      <c r="S4417" s="1"/>
    </row>
    <row r="4418" spans="19:19" ht="15.75">
      <c r="S4418" s="1"/>
    </row>
    <row r="4419" spans="19:19" ht="15.75">
      <c r="S4419" s="1"/>
    </row>
    <row r="4420" spans="19:19" ht="15.75">
      <c r="S4420" s="1"/>
    </row>
    <row r="4421" spans="19:19" ht="15.75">
      <c r="S4421" s="1"/>
    </row>
    <row r="4422" spans="19:19" ht="15.75">
      <c r="S4422" s="1"/>
    </row>
    <row r="4423" spans="19:19" ht="15.75">
      <c r="S4423" s="1"/>
    </row>
    <row r="4424" spans="19:19" ht="15.75">
      <c r="S4424" s="1"/>
    </row>
    <row r="4425" spans="19:19" ht="15.75">
      <c r="S4425" s="1"/>
    </row>
    <row r="4426" spans="19:19" ht="15.75">
      <c r="S4426" s="1"/>
    </row>
    <row r="4427" spans="19:19" ht="15.75">
      <c r="S4427" s="1"/>
    </row>
    <row r="4428" spans="19:19" ht="15.75">
      <c r="S4428" s="1"/>
    </row>
    <row r="4429" spans="19:19" ht="15.75">
      <c r="S4429" s="1"/>
    </row>
    <row r="4430" spans="19:19" ht="15.75">
      <c r="S4430" s="1"/>
    </row>
    <row r="4431" spans="19:19" ht="15.75">
      <c r="S4431" s="1"/>
    </row>
    <row r="4432" spans="19:19" ht="15.75">
      <c r="S4432" s="1"/>
    </row>
    <row r="4433" spans="19:19" ht="15.75">
      <c r="S4433" s="1"/>
    </row>
    <row r="4434" spans="19:19" ht="15.75">
      <c r="S4434" s="1"/>
    </row>
    <row r="4435" spans="19:19" ht="15.75">
      <c r="S4435" s="1"/>
    </row>
    <row r="4436" spans="19:19" ht="15.75">
      <c r="S4436" s="1"/>
    </row>
    <row r="4437" spans="19:19" ht="15.75">
      <c r="S4437" s="1"/>
    </row>
    <row r="4438" spans="19:19" ht="15.75">
      <c r="S4438" s="1"/>
    </row>
    <row r="4439" spans="19:19" ht="15.75">
      <c r="S4439" s="1"/>
    </row>
    <row r="4440" spans="19:19" ht="15.75">
      <c r="S4440" s="1"/>
    </row>
    <row r="4441" spans="19:19" ht="15.75">
      <c r="S4441" s="1"/>
    </row>
    <row r="4442" spans="19:19" ht="15.75">
      <c r="S4442" s="1"/>
    </row>
    <row r="4443" spans="19:19" ht="15.75">
      <c r="S4443" s="1"/>
    </row>
    <row r="4444" spans="19:19" ht="15.75">
      <c r="S4444" s="1"/>
    </row>
    <row r="4445" spans="19:19" ht="15.75">
      <c r="S4445" s="1"/>
    </row>
    <row r="4446" spans="19:19" ht="15.75">
      <c r="S4446" s="1"/>
    </row>
    <row r="4447" spans="19:19" ht="15.75">
      <c r="S4447" s="1"/>
    </row>
    <row r="4448" spans="19:19" ht="15.75">
      <c r="S4448" s="1"/>
    </row>
    <row r="4449" spans="19:19" ht="15.75">
      <c r="S4449" s="1"/>
    </row>
    <row r="4450" spans="19:19" ht="15.75">
      <c r="S4450" s="1"/>
    </row>
    <row r="4451" spans="19:19" ht="15.75">
      <c r="S4451" s="1"/>
    </row>
    <row r="4452" spans="19:19" ht="15.75">
      <c r="S4452" s="1"/>
    </row>
    <row r="4453" spans="19:19" ht="15.75">
      <c r="S4453" s="1"/>
    </row>
    <row r="4454" spans="19:19" ht="15.75">
      <c r="S4454" s="1"/>
    </row>
    <row r="4455" spans="19:19" ht="15.75">
      <c r="S4455" s="1"/>
    </row>
    <row r="4456" spans="19:19" ht="15.75">
      <c r="S4456" s="1"/>
    </row>
    <row r="4457" spans="19:19" ht="15.75">
      <c r="S4457" s="1"/>
    </row>
    <row r="4458" spans="19:19" ht="15.75">
      <c r="S4458" s="1"/>
    </row>
    <row r="4459" spans="19:19" ht="15.75">
      <c r="S4459" s="1"/>
    </row>
    <row r="4460" spans="19:19" ht="15.75">
      <c r="S4460" s="1"/>
    </row>
    <row r="4461" spans="19:19" ht="15.75">
      <c r="S4461" s="1"/>
    </row>
    <row r="4462" spans="19:19" ht="15.75">
      <c r="S4462" s="1"/>
    </row>
    <row r="4463" spans="19:19" ht="15.75">
      <c r="S4463" s="1"/>
    </row>
    <row r="4464" spans="19:19" ht="15.75">
      <c r="S4464" s="1"/>
    </row>
    <row r="4465" spans="19:19" ht="15.75">
      <c r="S4465" s="1"/>
    </row>
    <row r="4466" spans="19:19" ht="15.75">
      <c r="S4466" s="1"/>
    </row>
    <row r="4467" spans="19:19" ht="15.75">
      <c r="S4467" s="1"/>
    </row>
    <row r="4468" spans="19:19" ht="15.75">
      <c r="S4468" s="1"/>
    </row>
    <row r="4469" spans="19:19" ht="15.75">
      <c r="S4469" s="1"/>
    </row>
    <row r="4470" spans="19:19" ht="15.75">
      <c r="S4470" s="1"/>
    </row>
    <row r="4471" spans="19:19" ht="15.75">
      <c r="S4471" s="1"/>
    </row>
    <row r="4472" spans="19:19" ht="15.75">
      <c r="S4472" s="1"/>
    </row>
    <row r="4473" spans="19:19" ht="15.75">
      <c r="S4473" s="1"/>
    </row>
    <row r="4474" spans="19:19" ht="15.75">
      <c r="S4474" s="1"/>
    </row>
    <row r="4475" spans="19:19" ht="15.75">
      <c r="S4475" s="1"/>
    </row>
    <row r="4476" spans="19:19" ht="15.75">
      <c r="S4476" s="1"/>
    </row>
    <row r="4477" spans="19:19" ht="15.75">
      <c r="S4477" s="1"/>
    </row>
    <row r="4478" spans="19:19" ht="15.75">
      <c r="S4478" s="1"/>
    </row>
    <row r="4479" spans="19:19" ht="15.75">
      <c r="S4479" s="1"/>
    </row>
    <row r="4480" spans="19:19" ht="15.75">
      <c r="S4480" s="1"/>
    </row>
    <row r="4481" spans="19:19" ht="15.75">
      <c r="S4481" s="1"/>
    </row>
    <row r="4482" spans="19:19" ht="15.75">
      <c r="S4482" s="1"/>
    </row>
    <row r="4483" spans="19:19" ht="15.75">
      <c r="S4483" s="1"/>
    </row>
    <row r="4484" spans="19:19" ht="15.75">
      <c r="S4484" s="1"/>
    </row>
    <row r="4485" spans="19:19" ht="15.75">
      <c r="S4485" s="1"/>
    </row>
    <row r="4486" spans="19:19" ht="15.75">
      <c r="S4486" s="1"/>
    </row>
    <row r="4487" spans="19:19" ht="15.75">
      <c r="S4487" s="1"/>
    </row>
    <row r="4488" spans="19:19" ht="15.75">
      <c r="S4488" s="1"/>
    </row>
    <row r="4489" spans="19:19" ht="15.75">
      <c r="S4489" s="1"/>
    </row>
    <row r="4490" spans="19:19" ht="15.75">
      <c r="S4490" s="1"/>
    </row>
    <row r="4491" spans="19:19" ht="15.75">
      <c r="S4491" s="1"/>
    </row>
    <row r="4492" spans="19:19" ht="15.75">
      <c r="S4492" s="1"/>
    </row>
    <row r="4493" spans="19:19" ht="15.75">
      <c r="S4493" s="1"/>
    </row>
    <row r="4494" spans="19:19" ht="15.75">
      <c r="S4494" s="1"/>
    </row>
    <row r="4495" spans="19:19" ht="15.75">
      <c r="S4495" s="1"/>
    </row>
    <row r="4496" spans="19:19" ht="15.75">
      <c r="S4496" s="1"/>
    </row>
    <row r="4497" spans="19:19" ht="15.75">
      <c r="S4497" s="1"/>
    </row>
    <row r="4498" spans="19:19" ht="15.75">
      <c r="S4498" s="1"/>
    </row>
    <row r="4499" spans="19:19" ht="15.75">
      <c r="S4499" s="1"/>
    </row>
    <row r="4500" spans="19:19" ht="15.75">
      <c r="S4500" s="1"/>
    </row>
    <row r="4501" spans="19:19" ht="15.75">
      <c r="S4501" s="1"/>
    </row>
    <row r="4502" spans="19:19" ht="15.75">
      <c r="S4502" s="1"/>
    </row>
    <row r="4503" spans="19:19" ht="15.75">
      <c r="S4503" s="1"/>
    </row>
    <row r="4504" spans="19:19" ht="15.75">
      <c r="S4504" s="1"/>
    </row>
    <row r="4505" spans="19:19" ht="15.75">
      <c r="S4505" s="1"/>
    </row>
    <row r="4506" spans="19:19" ht="15.75">
      <c r="S4506" s="1"/>
    </row>
    <row r="4507" spans="19:19" ht="15.75">
      <c r="S4507" s="1"/>
    </row>
    <row r="4508" spans="19:19" ht="15.75">
      <c r="S4508" s="1"/>
    </row>
    <row r="4509" spans="19:19" ht="15.75">
      <c r="S4509" s="1"/>
    </row>
    <row r="4510" spans="19:19" ht="15.75">
      <c r="S4510" s="1"/>
    </row>
    <row r="4511" spans="19:19" ht="15.75">
      <c r="S4511" s="1"/>
    </row>
    <row r="4512" spans="19:19" ht="15.75">
      <c r="S4512" s="1"/>
    </row>
    <row r="4513" spans="19:19" ht="15.75">
      <c r="S4513" s="1"/>
    </row>
    <row r="4514" spans="19:19" ht="15.75">
      <c r="S4514" s="1"/>
    </row>
    <row r="4515" spans="19:19" ht="15.75">
      <c r="S4515" s="1"/>
    </row>
    <row r="4516" spans="19:19" ht="15.75">
      <c r="S4516" s="1"/>
    </row>
    <row r="4517" spans="19:19" ht="15.75">
      <c r="S4517" s="1"/>
    </row>
    <row r="4518" spans="19:19" ht="15.75">
      <c r="S4518" s="1"/>
    </row>
    <row r="4519" spans="19:19" ht="15.75">
      <c r="S4519" s="1"/>
    </row>
    <row r="4520" spans="19:19" ht="15.75">
      <c r="S4520" s="1"/>
    </row>
    <row r="4521" spans="19:19" ht="15.75">
      <c r="S4521" s="1"/>
    </row>
    <row r="4522" spans="19:19" ht="15.75">
      <c r="S4522" s="1"/>
    </row>
    <row r="4523" spans="19:19" ht="15.75">
      <c r="S4523" s="1"/>
    </row>
    <row r="4524" spans="19:19" ht="15.75">
      <c r="S4524" s="1"/>
    </row>
    <row r="4525" spans="19:19" ht="15.75">
      <c r="S4525" s="1"/>
    </row>
    <row r="4526" spans="19:19" ht="15.75">
      <c r="S4526" s="1"/>
    </row>
    <row r="4527" spans="19:19" ht="15.75">
      <c r="S4527" s="1"/>
    </row>
    <row r="4528" spans="19:19" ht="15.75">
      <c r="S4528" s="1"/>
    </row>
    <row r="4529" spans="19:19" ht="15.75">
      <c r="S4529" s="1"/>
    </row>
    <row r="4530" spans="19:19" ht="15.75">
      <c r="S4530" s="1"/>
    </row>
    <row r="4531" spans="19:19" ht="15.75">
      <c r="S4531" s="1"/>
    </row>
    <row r="4532" spans="19:19" ht="15.75">
      <c r="S4532" s="1"/>
    </row>
    <row r="4533" spans="19:19" ht="15.75">
      <c r="S4533" s="1"/>
    </row>
    <row r="4534" spans="19:19" ht="15.75">
      <c r="S4534" s="1"/>
    </row>
    <row r="4535" spans="19:19" ht="15.75">
      <c r="S4535" s="1"/>
    </row>
    <row r="4536" spans="19:19" ht="15.75">
      <c r="S4536" s="1"/>
    </row>
    <row r="4537" spans="19:19" ht="15.75">
      <c r="S4537" s="1"/>
    </row>
    <row r="4538" spans="19:19" ht="15.75">
      <c r="S4538" s="1"/>
    </row>
    <row r="4539" spans="19:19" ht="15.75">
      <c r="S4539" s="1"/>
    </row>
    <row r="4540" spans="19:19" ht="15.75">
      <c r="S4540" s="1"/>
    </row>
    <row r="4541" spans="19:19" ht="15.75">
      <c r="S4541" s="1"/>
    </row>
    <row r="4542" spans="19:19" ht="15.75">
      <c r="S4542" s="1"/>
    </row>
    <row r="4543" spans="19:19" ht="15.75">
      <c r="S4543" s="1"/>
    </row>
    <row r="4544" spans="19:19" ht="15.75">
      <c r="S4544" s="1"/>
    </row>
    <row r="4545" spans="19:19" ht="15.75">
      <c r="S4545" s="1"/>
    </row>
    <row r="4546" spans="19:19" ht="15.75">
      <c r="S4546" s="1"/>
    </row>
    <row r="4547" spans="19:19" ht="15.75">
      <c r="S4547" s="1"/>
    </row>
    <row r="4548" spans="19:19" ht="15.75">
      <c r="S4548" s="1"/>
    </row>
    <row r="4549" spans="19:19" ht="15.75">
      <c r="S4549" s="1"/>
    </row>
    <row r="4550" spans="19:19" ht="15.75">
      <c r="S4550" s="1"/>
    </row>
    <row r="4551" spans="19:19" ht="15.75">
      <c r="S4551" s="1"/>
    </row>
    <row r="4552" spans="19:19" ht="15.75">
      <c r="S4552" s="1"/>
    </row>
    <row r="4553" spans="19:19" ht="15.75">
      <c r="S4553" s="1"/>
    </row>
    <row r="4554" spans="19:19" ht="15.75">
      <c r="S4554" s="1"/>
    </row>
    <row r="4555" spans="19:19" ht="15.75">
      <c r="S4555" s="1"/>
    </row>
    <row r="4556" spans="19:19" ht="15.75">
      <c r="S4556" s="1"/>
    </row>
    <row r="4557" spans="19:19" ht="15.75">
      <c r="S4557" s="1"/>
    </row>
    <row r="4558" spans="19:19" ht="15.75">
      <c r="S4558" s="1"/>
    </row>
    <row r="4559" spans="19:19" ht="15.75">
      <c r="S4559" s="1"/>
    </row>
    <row r="4560" spans="19:19" ht="15.75">
      <c r="S4560" s="1"/>
    </row>
    <row r="4561" spans="19:19" ht="15.75">
      <c r="S4561" s="1"/>
    </row>
    <row r="4562" spans="19:19" ht="15.75">
      <c r="S4562" s="1"/>
    </row>
    <row r="4563" spans="19:19" ht="15.75">
      <c r="S4563" s="1"/>
    </row>
    <row r="4564" spans="19:19" ht="15.75">
      <c r="S4564" s="1"/>
    </row>
    <row r="4565" spans="19:19" ht="15.75">
      <c r="S4565" s="1"/>
    </row>
    <row r="4566" spans="19:19" ht="15.75">
      <c r="S4566" s="1"/>
    </row>
    <row r="4567" spans="19:19" ht="15.75">
      <c r="S4567" s="1"/>
    </row>
    <row r="4568" spans="19:19" ht="15.75">
      <c r="S4568" s="1"/>
    </row>
    <row r="4569" spans="19:19" ht="15.75">
      <c r="S4569" s="1"/>
    </row>
    <row r="4570" spans="19:19" ht="15.75">
      <c r="S4570" s="1"/>
    </row>
    <row r="4571" spans="19:19" ht="15.75">
      <c r="S4571" s="1"/>
    </row>
    <row r="4572" spans="19:19" ht="15.75">
      <c r="S4572" s="1"/>
    </row>
    <row r="4573" spans="19:19" ht="15.75">
      <c r="S4573" s="1"/>
    </row>
    <row r="4574" spans="19:19" ht="15.75">
      <c r="S4574" s="1"/>
    </row>
    <row r="4575" spans="19:19" ht="15.75">
      <c r="S4575" s="1"/>
    </row>
    <row r="4576" spans="19:19" ht="15.75">
      <c r="S4576" s="1"/>
    </row>
    <row r="4577" spans="19:19" ht="15.75">
      <c r="S4577" s="1"/>
    </row>
    <row r="4578" spans="19:19" ht="15.75">
      <c r="S4578" s="1"/>
    </row>
    <row r="4579" spans="19:19" ht="15.75">
      <c r="S4579" s="1"/>
    </row>
    <row r="4580" spans="19:19" ht="15.75">
      <c r="S4580" s="1"/>
    </row>
    <row r="4581" spans="19:19" ht="15.75">
      <c r="S4581" s="1"/>
    </row>
    <row r="4582" spans="19:19" ht="15.75">
      <c r="S4582" s="1"/>
    </row>
    <row r="4583" spans="19:19" ht="15.75">
      <c r="S4583" s="1"/>
    </row>
    <row r="4584" spans="19:19" ht="15.75">
      <c r="S4584" s="1"/>
    </row>
    <row r="4585" spans="19:19" ht="15.75">
      <c r="S4585" s="1"/>
    </row>
    <row r="4586" spans="19:19" ht="15.75">
      <c r="S4586" s="1"/>
    </row>
    <row r="4587" spans="19:19" ht="15.75">
      <c r="S4587" s="1"/>
    </row>
    <row r="4588" spans="19:19" ht="15.75">
      <c r="S4588" s="1"/>
    </row>
    <row r="4589" spans="19:19" ht="15.75">
      <c r="S4589" s="1"/>
    </row>
    <row r="4590" spans="19:19" ht="15.75">
      <c r="S4590" s="1"/>
    </row>
    <row r="4591" spans="19:19" ht="15.75">
      <c r="S4591" s="1"/>
    </row>
    <row r="4592" spans="19:19" ht="15.75">
      <c r="S4592" s="1"/>
    </row>
    <row r="4593" spans="19:19" ht="15.75">
      <c r="S4593" s="1"/>
    </row>
    <row r="4594" spans="19:19" ht="15.75">
      <c r="S4594" s="1"/>
    </row>
    <row r="4595" spans="19:19" ht="15.75">
      <c r="S4595" s="1"/>
    </row>
    <row r="4596" spans="19:19" ht="15.75">
      <c r="S4596" s="1"/>
    </row>
    <row r="4597" spans="19:19" ht="15.75">
      <c r="S4597" s="1"/>
    </row>
    <row r="4598" spans="19:19" ht="15.75">
      <c r="S4598" s="1"/>
    </row>
    <row r="4599" spans="19:19" ht="15.75">
      <c r="S4599" s="1"/>
    </row>
    <row r="4600" spans="19:19" ht="15.75">
      <c r="S4600" s="1"/>
    </row>
    <row r="4601" spans="19:19" ht="15.75">
      <c r="S4601" s="1"/>
    </row>
    <row r="4602" spans="19:19" ht="15.75">
      <c r="S4602" s="1"/>
    </row>
    <row r="4603" spans="19:19" ht="15.75">
      <c r="S4603" s="1"/>
    </row>
    <row r="4604" spans="19:19" ht="15.75">
      <c r="S4604" s="1"/>
    </row>
    <row r="4605" spans="19:19" ht="15.75">
      <c r="S4605" s="1"/>
    </row>
    <row r="4606" spans="19:19" ht="15.75">
      <c r="S4606" s="1"/>
    </row>
    <row r="4607" spans="19:19" ht="15.75">
      <c r="S4607" s="1"/>
    </row>
    <row r="4608" spans="19:19" ht="15.75">
      <c r="S4608" s="1"/>
    </row>
    <row r="4609" spans="19:19" ht="15.75">
      <c r="S4609" s="1"/>
    </row>
    <row r="4610" spans="19:19" ht="15.75">
      <c r="S4610" s="1"/>
    </row>
    <row r="4611" spans="19:19" ht="15.75">
      <c r="S4611" s="1"/>
    </row>
    <row r="4612" spans="19:19" ht="15.75">
      <c r="S4612" s="1"/>
    </row>
    <row r="4613" spans="19:19" ht="15.75">
      <c r="S4613" s="1"/>
    </row>
    <row r="4614" spans="19:19" ht="15.75">
      <c r="S4614" s="1"/>
    </row>
    <row r="4615" spans="19:19" ht="15.75">
      <c r="S4615" s="1"/>
    </row>
    <row r="4616" spans="19:19" ht="15.75">
      <c r="S4616" s="1"/>
    </row>
    <row r="4617" spans="19:19" ht="15.75">
      <c r="S4617" s="1"/>
    </row>
    <row r="4618" spans="19:19" ht="15.75">
      <c r="S4618" s="1"/>
    </row>
    <row r="4619" spans="19:19" ht="15.75">
      <c r="S4619" s="1"/>
    </row>
    <row r="4620" spans="19:19" ht="15.75">
      <c r="S4620" s="1"/>
    </row>
    <row r="4621" spans="19:19" ht="15.75">
      <c r="S4621" s="1"/>
    </row>
    <row r="4622" spans="19:19" ht="15.75">
      <c r="S4622" s="1"/>
    </row>
    <row r="4623" spans="19:19" ht="15.75">
      <c r="S4623" s="1"/>
    </row>
    <row r="4624" spans="19:19" ht="15.75">
      <c r="S4624" s="1"/>
    </row>
    <row r="4625" spans="19:19" ht="15.75">
      <c r="S4625" s="1"/>
    </row>
    <row r="4626" spans="19:19" ht="15.75">
      <c r="S4626" s="1"/>
    </row>
    <row r="4627" spans="19:19" ht="15.75">
      <c r="S4627" s="1"/>
    </row>
    <row r="4628" spans="19:19" ht="15.75">
      <c r="S4628" s="1"/>
    </row>
    <row r="4629" spans="19:19" ht="15.75">
      <c r="S4629" s="1"/>
    </row>
    <row r="4630" spans="19:19" ht="15.75">
      <c r="S4630" s="1"/>
    </row>
    <row r="4631" spans="19:19" ht="15.75">
      <c r="S4631" s="1"/>
    </row>
    <row r="4632" spans="19:19" ht="15.75">
      <c r="S4632" s="1"/>
    </row>
    <row r="4633" spans="19:19" ht="15.75">
      <c r="S4633" s="1"/>
    </row>
    <row r="4634" spans="19:19" ht="15.75">
      <c r="S4634" s="1"/>
    </row>
    <row r="4635" spans="19:19" ht="15.75">
      <c r="S4635" s="1"/>
    </row>
    <row r="4636" spans="19:19" ht="15.75">
      <c r="S4636" s="1"/>
    </row>
    <row r="4637" spans="19:19" ht="15.75">
      <c r="S4637" s="1"/>
    </row>
    <row r="4638" spans="19:19" ht="15.75">
      <c r="S4638" s="1"/>
    </row>
    <row r="4639" spans="19:19" ht="15.75">
      <c r="S4639" s="1"/>
    </row>
    <row r="4640" spans="19:19" ht="15.75">
      <c r="S4640" s="1"/>
    </row>
    <row r="4641" spans="19:19" ht="15.75">
      <c r="S4641" s="1"/>
    </row>
    <row r="4642" spans="19:19" ht="15.75">
      <c r="S4642" s="1"/>
    </row>
    <row r="4643" spans="19:19" ht="15.75">
      <c r="S4643" s="1"/>
    </row>
    <row r="4644" spans="19:19" ht="15.75">
      <c r="S4644" s="1"/>
    </row>
    <row r="4645" spans="19:19" ht="15.75">
      <c r="S4645" s="1"/>
    </row>
    <row r="4646" spans="19:19" ht="15.75">
      <c r="S4646" s="1"/>
    </row>
    <row r="4647" spans="19:19" ht="15.75">
      <c r="S4647" s="1"/>
    </row>
    <row r="4648" spans="19:19" ht="15.75">
      <c r="S4648" s="1"/>
    </row>
    <row r="4649" spans="19:19" ht="15.75">
      <c r="S4649" s="1"/>
    </row>
    <row r="4650" spans="19:19" ht="15.75">
      <c r="S4650" s="1"/>
    </row>
    <row r="4651" spans="19:19" ht="15.75">
      <c r="S4651" s="1"/>
    </row>
    <row r="4652" spans="19:19" ht="15.75">
      <c r="S4652" s="1"/>
    </row>
    <row r="4653" spans="19:19" ht="15.75">
      <c r="S4653" s="1"/>
    </row>
    <row r="4654" spans="19:19" ht="15.75">
      <c r="S4654" s="1"/>
    </row>
    <row r="4655" spans="19:19" ht="15.75">
      <c r="S4655" s="1"/>
    </row>
    <row r="4656" spans="19:19" ht="15.75">
      <c r="S4656" s="1"/>
    </row>
    <row r="4657" spans="19:19" ht="15.75">
      <c r="S4657" s="1"/>
    </row>
    <row r="4658" spans="19:19" ht="15.75">
      <c r="S4658" s="1"/>
    </row>
    <row r="4659" spans="19:19" ht="15.75">
      <c r="S4659" s="1"/>
    </row>
    <row r="4660" spans="19:19" ht="15.75">
      <c r="S4660" s="1"/>
    </row>
    <row r="4661" spans="19:19" ht="15.75">
      <c r="S4661" s="1"/>
    </row>
    <row r="4662" spans="19:19" ht="15.75">
      <c r="S4662" s="1"/>
    </row>
    <row r="4663" spans="19:19" ht="15.75">
      <c r="S4663" s="1"/>
    </row>
    <row r="4664" spans="19:19" ht="15.75">
      <c r="S4664" s="1"/>
    </row>
    <row r="4665" spans="19:19" ht="15.75">
      <c r="S4665" s="1"/>
    </row>
    <row r="4666" spans="19:19" ht="15.75">
      <c r="S4666" s="1"/>
    </row>
    <row r="4667" spans="19:19" ht="15.75">
      <c r="S4667" s="1"/>
    </row>
    <row r="4668" spans="19:19" ht="15.75">
      <c r="S4668" s="1"/>
    </row>
    <row r="4669" spans="19:19" ht="15.75">
      <c r="S4669" s="1"/>
    </row>
    <row r="4670" spans="19:19" ht="15.75">
      <c r="S4670" s="1"/>
    </row>
    <row r="4671" spans="19:19" ht="15.75">
      <c r="S4671" s="1"/>
    </row>
    <row r="4672" spans="19:19" ht="15.75">
      <c r="S4672" s="1"/>
    </row>
    <row r="4673" spans="19:19" ht="15.75">
      <c r="S4673" s="1"/>
    </row>
    <row r="4674" spans="19:19" ht="15.75">
      <c r="S4674" s="1"/>
    </row>
    <row r="4675" spans="19:19" ht="15.75">
      <c r="S4675" s="1"/>
    </row>
    <row r="4676" spans="19:19" ht="15.75">
      <c r="S4676" s="1"/>
    </row>
    <row r="4677" spans="19:19" ht="15.75">
      <c r="S4677" s="1"/>
    </row>
    <row r="4678" spans="19:19" ht="15.75">
      <c r="S4678" s="1"/>
    </row>
    <row r="4679" spans="19:19" ht="15.75">
      <c r="S4679" s="1"/>
    </row>
    <row r="4680" spans="19:19" ht="15.75">
      <c r="S4680" s="1"/>
    </row>
    <row r="4681" spans="19:19" ht="15.75">
      <c r="S4681" s="1"/>
    </row>
    <row r="4682" spans="19:19" ht="15.75">
      <c r="S4682" s="1"/>
    </row>
    <row r="4683" spans="19:19" ht="15.75">
      <c r="S4683" s="1"/>
    </row>
    <row r="4684" spans="19:19" ht="15.75">
      <c r="S4684" s="1"/>
    </row>
    <row r="4685" spans="19:19" ht="15.75">
      <c r="S4685" s="1"/>
    </row>
    <row r="4686" spans="19:19" ht="15.75">
      <c r="S4686" s="1"/>
    </row>
    <row r="4687" spans="19:19" ht="15.75">
      <c r="S4687" s="1"/>
    </row>
    <row r="4688" spans="19:19" ht="15.75">
      <c r="S4688" s="1"/>
    </row>
    <row r="4689" spans="19:19" ht="15.75">
      <c r="S4689" s="1"/>
    </row>
    <row r="4690" spans="19:19" ht="15.75">
      <c r="S4690" s="1"/>
    </row>
    <row r="4691" spans="19:19" ht="15.75">
      <c r="S4691" s="1"/>
    </row>
    <row r="4692" spans="19:19" ht="15.75">
      <c r="S4692" s="1"/>
    </row>
    <row r="4693" spans="19:19" ht="15.75">
      <c r="S4693" s="1"/>
    </row>
    <row r="4694" spans="19:19" ht="15.75">
      <c r="S4694" s="1"/>
    </row>
    <row r="4695" spans="19:19" ht="15.75">
      <c r="S4695" s="1"/>
    </row>
    <row r="4696" spans="19:19" ht="15.75">
      <c r="S4696" s="1"/>
    </row>
    <row r="4697" spans="19:19" ht="15.75">
      <c r="S4697" s="1"/>
    </row>
    <row r="4698" spans="19:19" ht="15.75">
      <c r="S4698" s="1"/>
    </row>
    <row r="4699" spans="19:19" ht="15.75">
      <c r="S4699" s="1"/>
    </row>
    <row r="4700" spans="19:19" ht="15.75">
      <c r="S4700" s="1"/>
    </row>
    <row r="4701" spans="19:19" ht="15.75">
      <c r="S4701" s="1"/>
    </row>
    <row r="4702" spans="19:19" ht="15.75">
      <c r="S4702" s="1"/>
    </row>
    <row r="4703" spans="19:19" ht="15.75">
      <c r="S4703" s="1"/>
    </row>
    <row r="4704" spans="19:19" ht="15.75">
      <c r="S4704" s="1"/>
    </row>
    <row r="4705" spans="19:19" ht="15.75">
      <c r="S4705" s="1"/>
    </row>
    <row r="4706" spans="19:19" ht="15.75">
      <c r="S4706" s="1"/>
    </row>
    <row r="4707" spans="19:19" ht="15.75">
      <c r="S4707" s="1"/>
    </row>
    <row r="4708" spans="19:19" ht="15.75">
      <c r="S4708" s="1"/>
    </row>
    <row r="4709" spans="19:19" ht="15.75">
      <c r="S4709" s="1"/>
    </row>
    <row r="4710" spans="19:19" ht="15.75">
      <c r="S4710" s="1"/>
    </row>
    <row r="4711" spans="19:19" ht="15.75">
      <c r="S4711" s="1"/>
    </row>
    <row r="4712" spans="19:19" ht="15.75">
      <c r="S4712" s="1"/>
    </row>
    <row r="4713" spans="19:19" ht="15.75">
      <c r="S4713" s="1"/>
    </row>
    <row r="4714" spans="19:19" ht="15.75">
      <c r="S4714" s="1"/>
    </row>
    <row r="4715" spans="19:19" ht="15.75">
      <c r="S4715" s="1"/>
    </row>
    <row r="4716" spans="19:19" ht="15.75">
      <c r="S4716" s="1"/>
    </row>
    <row r="4717" spans="19:19" ht="15.75">
      <c r="S4717" s="1"/>
    </row>
    <row r="4718" spans="19:19" ht="15.75">
      <c r="S4718" s="1"/>
    </row>
    <row r="4719" spans="19:19" ht="15.75">
      <c r="S4719" s="1"/>
    </row>
    <row r="4720" spans="19:19" ht="15.75">
      <c r="S4720" s="1"/>
    </row>
    <row r="4721" spans="19:19" ht="15.75">
      <c r="S4721" s="1"/>
    </row>
    <row r="4722" spans="19:19" ht="15.75">
      <c r="S4722" s="1"/>
    </row>
    <row r="4723" spans="19:19" ht="15.75">
      <c r="S4723" s="1"/>
    </row>
    <row r="4724" spans="19:19" ht="15.75">
      <c r="S4724" s="1"/>
    </row>
    <row r="4725" spans="19:19" ht="15.75">
      <c r="S4725" s="1"/>
    </row>
    <row r="4726" spans="19:19" ht="15.75">
      <c r="S4726" s="1"/>
    </row>
    <row r="4727" spans="19:19" ht="15.75">
      <c r="S4727" s="1"/>
    </row>
    <row r="4728" spans="19:19" ht="15.75">
      <c r="S4728" s="1"/>
    </row>
    <row r="4729" spans="19:19" ht="15.75">
      <c r="S4729" s="1"/>
    </row>
    <row r="4730" spans="19:19" ht="15.75">
      <c r="S4730" s="1"/>
    </row>
    <row r="4731" spans="19:19" ht="15.75">
      <c r="S4731" s="1"/>
    </row>
    <row r="4732" spans="19:19" ht="15.75">
      <c r="S4732" s="1"/>
    </row>
    <row r="4733" spans="19:19" ht="15.75">
      <c r="S4733" s="1"/>
    </row>
    <row r="4734" spans="19:19" ht="15.75">
      <c r="S4734" s="1"/>
    </row>
    <row r="4735" spans="19:19" ht="15.75">
      <c r="S4735" s="1"/>
    </row>
    <row r="4736" spans="19:19" ht="15.75">
      <c r="S4736" s="1"/>
    </row>
    <row r="4737" spans="19:19" ht="15.75">
      <c r="S4737" s="1"/>
    </row>
    <row r="4738" spans="19:19" ht="15.75">
      <c r="S4738" s="1"/>
    </row>
    <row r="4739" spans="19:19" ht="15.75">
      <c r="S4739" s="1"/>
    </row>
    <row r="4740" spans="19:19" ht="15.75">
      <c r="S4740" s="1"/>
    </row>
    <row r="4741" spans="19:19" ht="15.75">
      <c r="S4741" s="1"/>
    </row>
    <row r="4742" spans="19:19" ht="15.75">
      <c r="S4742" s="1"/>
    </row>
    <row r="4743" spans="19:19" ht="15.75">
      <c r="S4743" s="1"/>
    </row>
    <row r="4744" spans="19:19" ht="15.75">
      <c r="S4744" s="1"/>
    </row>
    <row r="4745" spans="19:19" ht="15.75">
      <c r="S4745" s="1"/>
    </row>
    <row r="4746" spans="19:19" ht="15.75">
      <c r="S4746" s="1"/>
    </row>
    <row r="4747" spans="19:19" ht="15.75">
      <c r="S4747" s="1"/>
    </row>
    <row r="4748" spans="19:19" ht="15.75">
      <c r="S4748" s="1"/>
    </row>
    <row r="4749" spans="19:19" ht="15.75">
      <c r="S4749" s="1"/>
    </row>
    <row r="4750" spans="19:19" ht="15.75">
      <c r="S4750" s="1"/>
    </row>
    <row r="4751" spans="19:19" ht="15.75">
      <c r="S4751" s="1"/>
    </row>
    <row r="4752" spans="19:19" ht="15.75">
      <c r="S4752" s="1"/>
    </row>
    <row r="4753" spans="19:19" ht="15.75">
      <c r="S4753" s="1"/>
    </row>
    <row r="4754" spans="19:19" ht="15.75">
      <c r="S4754" s="1"/>
    </row>
    <row r="4755" spans="19:19" ht="15.75">
      <c r="S4755" s="1"/>
    </row>
    <row r="4756" spans="19:19" ht="15.75">
      <c r="S4756" s="1"/>
    </row>
    <row r="4757" spans="19:19" ht="15.75">
      <c r="S4757" s="1"/>
    </row>
    <row r="4758" spans="19:19" ht="15.75">
      <c r="S4758" s="1"/>
    </row>
    <row r="4759" spans="19:19" ht="15.75">
      <c r="S4759" s="1"/>
    </row>
    <row r="4760" spans="19:19" ht="15.75">
      <c r="S4760" s="1"/>
    </row>
    <row r="4761" spans="19:19" ht="15.75">
      <c r="S4761" s="1"/>
    </row>
    <row r="4762" spans="19:19" ht="15.75">
      <c r="S4762" s="1"/>
    </row>
    <row r="4763" spans="19:19" ht="15.75">
      <c r="S4763" s="1"/>
    </row>
    <row r="4764" spans="19:19" ht="15.75">
      <c r="S4764" s="1"/>
    </row>
    <row r="4765" spans="19:19" ht="15.75">
      <c r="S4765" s="1"/>
    </row>
    <row r="4766" spans="19:19" ht="15.75">
      <c r="S4766" s="1"/>
    </row>
    <row r="4767" spans="19:19" ht="15.75">
      <c r="S4767" s="1"/>
    </row>
    <row r="4768" spans="19:19" ht="15.75">
      <c r="S4768" s="1"/>
    </row>
    <row r="4769" spans="19:19" ht="15.75">
      <c r="S4769" s="1"/>
    </row>
    <row r="4770" spans="19:19" ht="15.75">
      <c r="S4770" s="1"/>
    </row>
    <row r="4771" spans="19:19" ht="15.75">
      <c r="S4771" s="1"/>
    </row>
    <row r="4772" spans="19:19" ht="15.75">
      <c r="S4772" s="1"/>
    </row>
    <row r="4773" spans="19:19" ht="15.75">
      <c r="S4773" s="1"/>
    </row>
    <row r="4774" spans="19:19" ht="15.75">
      <c r="S4774" s="1"/>
    </row>
    <row r="4775" spans="19:19" ht="15.75">
      <c r="S4775" s="1"/>
    </row>
    <row r="4776" spans="19:19" ht="15.75">
      <c r="S4776" s="1"/>
    </row>
    <row r="4777" spans="19:19" ht="15.75">
      <c r="S4777" s="1"/>
    </row>
    <row r="4778" spans="19:19" ht="15.75">
      <c r="S4778" s="1"/>
    </row>
    <row r="4779" spans="19:19" ht="15.75">
      <c r="S4779" s="1"/>
    </row>
    <row r="4780" spans="19:19" ht="15.75">
      <c r="S4780" s="1"/>
    </row>
    <row r="4781" spans="19:19" ht="15.75">
      <c r="S4781" s="1"/>
    </row>
    <row r="4782" spans="19:19" ht="15.75">
      <c r="S4782" s="1"/>
    </row>
    <row r="4783" spans="19:19" ht="15.75">
      <c r="S4783" s="1"/>
    </row>
    <row r="4784" spans="19:19" ht="15.75">
      <c r="S4784" s="1"/>
    </row>
    <row r="4785" spans="19:19" ht="15.75">
      <c r="S4785" s="1"/>
    </row>
    <row r="4786" spans="19:19" ht="15.75">
      <c r="S4786" s="1"/>
    </row>
    <row r="4787" spans="19:19" ht="15.75">
      <c r="S4787" s="1"/>
    </row>
    <row r="4788" spans="19:19" ht="15.75">
      <c r="S4788" s="1"/>
    </row>
    <row r="4789" spans="19:19" ht="15.75">
      <c r="S4789" s="1"/>
    </row>
    <row r="4790" spans="19:19" ht="15.75">
      <c r="S4790" s="1"/>
    </row>
    <row r="4791" spans="19:19" ht="15.75">
      <c r="S4791" s="1"/>
    </row>
    <row r="4792" spans="19:19" ht="15.75">
      <c r="S4792" s="1"/>
    </row>
    <row r="4793" spans="19:19" ht="15.75">
      <c r="S4793" s="1"/>
    </row>
    <row r="4794" spans="19:19" ht="15.75">
      <c r="S4794" s="1"/>
    </row>
    <row r="4795" spans="19:19" ht="15.75">
      <c r="S4795" s="1"/>
    </row>
    <row r="4796" spans="19:19" ht="15.75">
      <c r="S4796" s="1"/>
    </row>
    <row r="4797" spans="19:19" ht="15.75">
      <c r="S4797" s="1"/>
    </row>
    <row r="4798" spans="19:19" ht="15.75">
      <c r="S4798" s="1"/>
    </row>
    <row r="4799" spans="19:19" ht="15.75">
      <c r="S4799" s="1"/>
    </row>
    <row r="4800" spans="19:19" ht="15.75">
      <c r="S4800" s="1"/>
    </row>
    <row r="4801" spans="19:19" ht="15.75">
      <c r="S4801" s="1"/>
    </row>
    <row r="4802" spans="19:19" ht="15.75">
      <c r="S4802" s="1"/>
    </row>
    <row r="4803" spans="19:19" ht="15.75">
      <c r="S4803" s="1"/>
    </row>
    <row r="4804" spans="19:19" ht="15.75">
      <c r="S4804" s="1"/>
    </row>
    <row r="4805" spans="19:19" ht="15.75">
      <c r="S4805" s="1"/>
    </row>
    <row r="4806" spans="19:19" ht="15.75">
      <c r="S4806" s="1"/>
    </row>
    <row r="4807" spans="19:19" ht="15.75">
      <c r="S4807" s="1"/>
    </row>
    <row r="4808" spans="19:19" ht="15.75">
      <c r="S4808" s="1"/>
    </row>
    <row r="4809" spans="19:19" ht="15.75">
      <c r="S4809" s="1"/>
    </row>
    <row r="4810" spans="19:19" ht="15.75">
      <c r="S4810" s="1"/>
    </row>
    <row r="4811" spans="19:19" ht="15.75">
      <c r="S4811" s="1"/>
    </row>
    <row r="4812" spans="19:19" ht="15.75">
      <c r="S4812" s="1"/>
    </row>
    <row r="4813" spans="19:19" ht="15.75">
      <c r="S4813" s="1"/>
    </row>
    <row r="4814" spans="19:19" ht="15.75">
      <c r="S4814" s="1"/>
    </row>
    <row r="4815" spans="19:19" ht="15.75">
      <c r="S4815" s="1"/>
    </row>
    <row r="4816" spans="19:19" ht="15.75">
      <c r="S4816" s="1"/>
    </row>
    <row r="4817" spans="19:19" ht="15.75">
      <c r="S4817" s="1"/>
    </row>
    <row r="4818" spans="19:19" ht="15.75">
      <c r="S4818" s="1"/>
    </row>
    <row r="4819" spans="19:19" ht="15.75">
      <c r="S4819" s="1"/>
    </row>
    <row r="4820" spans="19:19" ht="15.75">
      <c r="S4820" s="1"/>
    </row>
    <row r="4821" spans="19:19" ht="15.75">
      <c r="S4821" s="1"/>
    </row>
    <row r="4822" spans="19:19" ht="15.75">
      <c r="S4822" s="1"/>
    </row>
    <row r="4823" spans="19:19" ht="15.75">
      <c r="S4823" s="1"/>
    </row>
    <row r="4824" spans="19:19" ht="15.75">
      <c r="S4824" s="1"/>
    </row>
    <row r="4825" spans="19:19" ht="15.75">
      <c r="S4825" s="1"/>
    </row>
    <row r="4826" spans="19:19" ht="15.75">
      <c r="S4826" s="1"/>
    </row>
    <row r="4827" spans="19:19" ht="15.75">
      <c r="S4827" s="1"/>
    </row>
    <row r="4828" spans="19:19" ht="15.75">
      <c r="S4828" s="1"/>
    </row>
    <row r="4829" spans="19:19" ht="15.75">
      <c r="S4829" s="1"/>
    </row>
    <row r="4830" spans="19:19" ht="15.75">
      <c r="S4830" s="1"/>
    </row>
    <row r="4831" spans="19:19" ht="15.75">
      <c r="S4831" s="1"/>
    </row>
    <row r="4832" spans="19:19" ht="15.75">
      <c r="S4832" s="1"/>
    </row>
    <row r="4833" spans="19:19" ht="15.75">
      <c r="S4833" s="1"/>
    </row>
    <row r="4834" spans="19:19" ht="15.75">
      <c r="S4834" s="1"/>
    </row>
    <row r="4835" spans="19:19" ht="15.75">
      <c r="S4835" s="1"/>
    </row>
    <row r="4836" spans="19:19" ht="15.75">
      <c r="S4836" s="1"/>
    </row>
    <row r="4837" spans="19:19" ht="15.75">
      <c r="S4837" s="1"/>
    </row>
    <row r="4838" spans="19:19" ht="15.75">
      <c r="S4838" s="1"/>
    </row>
    <row r="4839" spans="19:19" ht="15.75">
      <c r="S4839" s="1"/>
    </row>
    <row r="4840" spans="19:19" ht="15.75">
      <c r="S4840" s="1"/>
    </row>
    <row r="4841" spans="19:19" ht="15.75">
      <c r="S4841" s="1"/>
    </row>
    <row r="4842" spans="19:19" ht="15.75">
      <c r="S4842" s="1"/>
    </row>
    <row r="4843" spans="19:19" ht="15.75">
      <c r="S4843" s="1"/>
    </row>
    <row r="4844" spans="19:19" ht="15.75">
      <c r="S4844" s="1"/>
    </row>
    <row r="4845" spans="19:19" ht="15.75">
      <c r="S4845" s="1"/>
    </row>
    <row r="4846" spans="19:19" ht="15.75">
      <c r="S4846" s="1"/>
    </row>
    <row r="4847" spans="19:19" ht="15.75">
      <c r="S4847" s="1"/>
    </row>
    <row r="4848" spans="19:19" ht="15.75">
      <c r="S4848" s="1"/>
    </row>
    <row r="4849" spans="19:19" ht="15.75">
      <c r="S4849" s="1"/>
    </row>
    <row r="4850" spans="19:19" ht="15.75">
      <c r="S4850" s="1"/>
    </row>
    <row r="4851" spans="19:19" ht="15.75">
      <c r="S4851" s="1"/>
    </row>
    <row r="4852" spans="19:19" ht="15.75">
      <c r="S4852" s="1"/>
    </row>
    <row r="4853" spans="19:19" ht="15.75">
      <c r="S4853" s="1"/>
    </row>
    <row r="4854" spans="19:19" ht="15.75">
      <c r="S4854" s="1"/>
    </row>
    <row r="4855" spans="19:19" ht="15.75">
      <c r="S4855" s="1"/>
    </row>
    <row r="4856" spans="19:19" ht="15.75">
      <c r="S4856" s="1"/>
    </row>
    <row r="4857" spans="19:19" ht="15.75">
      <c r="S4857" s="1"/>
    </row>
    <row r="4858" spans="19:19" ht="15.75">
      <c r="S4858" s="1"/>
    </row>
    <row r="4859" spans="19:19" ht="15.75">
      <c r="S4859" s="1"/>
    </row>
    <row r="4860" spans="19:19" ht="15.75">
      <c r="S4860" s="1"/>
    </row>
    <row r="4861" spans="19:19" ht="15.75">
      <c r="S4861" s="1"/>
    </row>
    <row r="4862" spans="19:19" ht="15.75">
      <c r="S4862" s="1"/>
    </row>
    <row r="4863" spans="19:19" ht="15.75">
      <c r="S4863" s="1"/>
    </row>
    <row r="4864" spans="19:19" ht="15.75">
      <c r="S4864" s="1"/>
    </row>
    <row r="4865" spans="19:19" ht="15.75">
      <c r="S4865" s="1"/>
    </row>
    <row r="4866" spans="19:19" ht="15.75">
      <c r="S4866" s="1"/>
    </row>
    <row r="4867" spans="19:19" ht="15.75">
      <c r="S4867" s="1"/>
    </row>
    <row r="4868" spans="19:19" ht="15.75">
      <c r="S4868" s="1"/>
    </row>
    <row r="4869" spans="19:19" ht="15.75">
      <c r="S4869" s="1"/>
    </row>
    <row r="4870" spans="19:19" ht="15.75">
      <c r="S4870" s="1"/>
    </row>
    <row r="4871" spans="19:19" ht="15.75">
      <c r="S4871" s="1"/>
    </row>
    <row r="4872" spans="19:19" ht="15.75">
      <c r="S4872" s="1"/>
    </row>
    <row r="4873" spans="19:19" ht="15.75">
      <c r="S4873" s="1"/>
    </row>
    <row r="4874" spans="19:19" ht="15.75">
      <c r="S4874" s="1"/>
    </row>
    <row r="4875" spans="19:19" ht="15.75">
      <c r="S4875" s="1"/>
    </row>
    <row r="4876" spans="19:19" ht="15.75">
      <c r="S4876" s="1"/>
    </row>
    <row r="4877" spans="19:19" ht="15.75">
      <c r="S4877" s="1"/>
    </row>
    <row r="4878" spans="19:19" ht="15.75">
      <c r="S4878" s="1"/>
    </row>
    <row r="4879" spans="19:19" ht="15.75">
      <c r="S4879" s="1"/>
    </row>
    <row r="4880" spans="19:19" ht="15.75">
      <c r="S4880" s="1"/>
    </row>
    <row r="4881" spans="19:19" ht="15.75">
      <c r="S4881" s="1"/>
    </row>
    <row r="4882" spans="19:19" ht="15.75">
      <c r="S4882" s="1"/>
    </row>
    <row r="4883" spans="19:19" ht="15.75">
      <c r="S4883" s="1"/>
    </row>
    <row r="4884" spans="19:19" ht="15.75">
      <c r="S4884" s="1"/>
    </row>
    <row r="4885" spans="19:19" ht="15.75">
      <c r="S4885" s="1"/>
    </row>
    <row r="4886" spans="19:19" ht="15.75">
      <c r="S4886" s="1"/>
    </row>
    <row r="4887" spans="19:19" ht="15.75">
      <c r="S4887" s="1"/>
    </row>
    <row r="4888" spans="19:19" ht="15.75">
      <c r="S4888" s="1"/>
    </row>
    <row r="4889" spans="19:19" ht="15.75">
      <c r="S4889" s="1"/>
    </row>
    <row r="4890" spans="19:19" ht="15.75">
      <c r="S4890" s="1"/>
    </row>
    <row r="4891" spans="19:19" ht="15.75">
      <c r="S4891" s="1"/>
    </row>
    <row r="4892" spans="19:19" ht="15.75">
      <c r="S4892" s="1"/>
    </row>
    <row r="4893" spans="19:19" ht="15.75">
      <c r="S4893" s="1"/>
    </row>
    <row r="4894" spans="19:19" ht="15.75">
      <c r="S4894" s="1"/>
    </row>
    <row r="4895" spans="19:19" ht="15.75">
      <c r="S4895" s="1"/>
    </row>
    <row r="4896" spans="19:19" ht="15.75">
      <c r="S4896" s="1"/>
    </row>
    <row r="4897" spans="19:19" ht="15.75">
      <c r="S4897" s="1"/>
    </row>
    <row r="4898" spans="19:19" ht="15.75">
      <c r="S4898" s="1"/>
    </row>
    <row r="4899" spans="19:19" ht="15.75">
      <c r="S4899" s="1"/>
    </row>
    <row r="4900" spans="19:19" ht="15.75">
      <c r="S4900" s="1"/>
    </row>
    <row r="4901" spans="19:19" ht="15.75">
      <c r="S4901" s="1"/>
    </row>
    <row r="4902" spans="19:19" ht="15.75">
      <c r="S4902" s="1"/>
    </row>
    <row r="4903" spans="19:19" ht="15.75">
      <c r="S4903" s="1"/>
    </row>
    <row r="4904" spans="19:19" ht="15.75">
      <c r="S4904" s="1"/>
    </row>
    <row r="4905" spans="19:19" ht="15.75">
      <c r="S4905" s="1"/>
    </row>
    <row r="4906" spans="19:19" ht="15.75">
      <c r="S4906" s="1"/>
    </row>
    <row r="4907" spans="19:19" ht="15.75">
      <c r="S4907" s="1"/>
    </row>
    <row r="4908" spans="19:19" ht="15.75">
      <c r="S4908" s="1"/>
    </row>
    <row r="4909" spans="19:19" ht="15.75">
      <c r="S4909" s="1"/>
    </row>
    <row r="4910" spans="19:19" ht="15.75">
      <c r="S4910" s="1"/>
    </row>
    <row r="4911" spans="19:19" ht="15.75">
      <c r="S4911" s="1"/>
    </row>
    <row r="4912" spans="19:19" ht="15.75">
      <c r="S4912" s="1"/>
    </row>
    <row r="4913" spans="19:19" ht="15.75">
      <c r="S4913" s="1"/>
    </row>
    <row r="4914" spans="19:19" ht="15.75">
      <c r="S4914" s="1"/>
    </row>
    <row r="4915" spans="19:19" ht="15.75">
      <c r="S4915" s="1"/>
    </row>
    <row r="4916" spans="19:19" ht="15.75">
      <c r="S4916" s="1"/>
    </row>
    <row r="4917" spans="19:19" ht="15.75">
      <c r="S4917" s="1"/>
    </row>
    <row r="4918" spans="19:19" ht="15.75">
      <c r="S4918" s="1"/>
    </row>
    <row r="4919" spans="19:19" ht="15.75">
      <c r="S4919" s="1"/>
    </row>
    <row r="4920" spans="19:19" ht="15.75">
      <c r="S4920" s="1"/>
    </row>
    <row r="4921" spans="19:19" ht="15.75">
      <c r="S4921" s="1"/>
    </row>
    <row r="4922" spans="19:19" ht="15.75">
      <c r="S4922" s="1"/>
    </row>
    <row r="4923" spans="19:19" ht="15.75">
      <c r="S4923" s="1"/>
    </row>
    <row r="4924" spans="19:19" ht="15.75">
      <c r="S4924" s="1"/>
    </row>
    <row r="4925" spans="19:19" ht="15.75">
      <c r="S4925" s="1"/>
    </row>
    <row r="4926" spans="19:19" ht="15.75">
      <c r="S4926" s="1"/>
    </row>
    <row r="4927" spans="19:19" ht="15.75">
      <c r="S4927" s="1"/>
    </row>
    <row r="4928" spans="19:19" ht="15.75">
      <c r="S4928" s="1"/>
    </row>
    <row r="4929" spans="19:19" ht="15.75">
      <c r="S4929" s="1"/>
    </row>
    <row r="4930" spans="19:19" ht="15.75">
      <c r="S4930" s="1"/>
    </row>
    <row r="4931" spans="19:19" ht="15.75">
      <c r="S4931" s="1"/>
    </row>
    <row r="4932" spans="19:19" ht="15.75">
      <c r="S4932" s="1"/>
    </row>
    <row r="4933" spans="19:19" ht="15.75">
      <c r="S4933" s="1"/>
    </row>
    <row r="4934" spans="19:19" ht="15.75">
      <c r="S4934" s="1"/>
    </row>
    <row r="4935" spans="19:19" ht="15.75">
      <c r="S4935" s="1"/>
    </row>
    <row r="4936" spans="19:19" ht="15.75">
      <c r="S4936" s="1"/>
    </row>
    <row r="4937" spans="19:19" ht="15.75">
      <c r="S4937" s="1"/>
    </row>
    <row r="4938" spans="19:19" ht="15.75">
      <c r="S4938" s="1"/>
    </row>
    <row r="4939" spans="19:19" ht="15.75">
      <c r="S4939" s="1"/>
    </row>
    <row r="4940" spans="19:19" ht="15.75">
      <c r="S4940" s="1"/>
    </row>
    <row r="4941" spans="19:19" ht="15.75">
      <c r="S4941" s="1"/>
    </row>
    <row r="4942" spans="19:19" ht="15.75">
      <c r="S4942" s="1"/>
    </row>
    <row r="4943" spans="19:19" ht="15.75">
      <c r="S4943" s="1"/>
    </row>
    <row r="4944" spans="19:19" ht="15.75">
      <c r="S4944" s="1"/>
    </row>
    <row r="4945" spans="19:19" ht="15.75">
      <c r="S4945" s="1"/>
    </row>
    <row r="4946" spans="19:19" ht="15.75">
      <c r="S4946" s="1"/>
    </row>
    <row r="4947" spans="19:19" ht="15.75">
      <c r="S4947" s="1"/>
    </row>
    <row r="4948" spans="19:19" ht="15.75">
      <c r="S4948" s="1"/>
    </row>
    <row r="4949" spans="19:19" ht="15.75">
      <c r="S4949" s="1"/>
    </row>
    <row r="4950" spans="19:19" ht="15.75">
      <c r="S4950" s="1"/>
    </row>
    <row r="4951" spans="19:19" ht="15.75">
      <c r="S4951" s="1"/>
    </row>
    <row r="4952" spans="19:19" ht="15.75">
      <c r="S4952" s="1"/>
    </row>
    <row r="4953" spans="19:19" ht="15.75">
      <c r="S4953" s="1"/>
    </row>
    <row r="4954" spans="19:19" ht="15.75">
      <c r="S4954" s="1"/>
    </row>
    <row r="4955" spans="19:19" ht="15.75">
      <c r="S4955" s="1"/>
    </row>
    <row r="4956" spans="19:19" ht="15.75">
      <c r="S4956" s="1"/>
    </row>
    <row r="4957" spans="19:19" ht="15.75">
      <c r="S4957" s="1"/>
    </row>
    <row r="4958" spans="19:19" ht="15.75">
      <c r="S4958" s="1"/>
    </row>
    <row r="4959" spans="19:19" ht="15.75">
      <c r="S4959" s="1"/>
    </row>
    <row r="4960" spans="19:19" ht="15.75">
      <c r="S4960" s="1"/>
    </row>
    <row r="4961" spans="19:19" ht="15.75">
      <c r="S4961" s="1"/>
    </row>
    <row r="4962" spans="19:19" ht="15.75">
      <c r="S4962" s="1"/>
    </row>
    <row r="4963" spans="19:19" ht="15.75">
      <c r="S4963" s="1"/>
    </row>
    <row r="4964" spans="19:19" ht="15.75">
      <c r="S4964" s="1"/>
    </row>
    <row r="4965" spans="19:19" ht="15.75">
      <c r="S4965" s="1"/>
    </row>
    <row r="4966" spans="19:19" ht="15.75">
      <c r="S4966" s="1"/>
    </row>
    <row r="4967" spans="19:19" ht="15.75">
      <c r="S4967" s="1"/>
    </row>
    <row r="4968" spans="19:19" ht="15.75">
      <c r="S4968" s="1"/>
    </row>
    <row r="4969" spans="19:19" ht="15.75">
      <c r="S4969" s="1"/>
    </row>
    <row r="4970" spans="19:19" ht="15.75">
      <c r="S4970" s="1"/>
    </row>
    <row r="4971" spans="19:19" ht="15.75">
      <c r="S4971" s="1"/>
    </row>
    <row r="4972" spans="19:19" ht="15.75">
      <c r="S4972" s="1"/>
    </row>
    <row r="4973" spans="19:19" ht="15.75">
      <c r="S4973" s="1"/>
    </row>
    <row r="4974" spans="19:19" ht="15.75">
      <c r="S4974" s="1"/>
    </row>
    <row r="4975" spans="19:19" ht="15.75">
      <c r="S4975" s="1"/>
    </row>
    <row r="4976" spans="19:19" ht="15.75">
      <c r="S4976" s="1"/>
    </row>
    <row r="4977" spans="19:19" ht="15.75">
      <c r="S4977" s="1"/>
    </row>
    <row r="4978" spans="19:19" ht="15.75">
      <c r="S4978" s="1"/>
    </row>
    <row r="4979" spans="19:19" ht="15.75">
      <c r="S4979" s="1"/>
    </row>
    <row r="4980" spans="19:19" ht="15.75">
      <c r="S4980" s="1"/>
    </row>
    <row r="4981" spans="19:19" ht="15.75">
      <c r="S4981" s="1"/>
    </row>
    <row r="4982" spans="19:19" ht="15.75">
      <c r="S4982" s="1"/>
    </row>
    <row r="4983" spans="19:19" ht="15.75">
      <c r="S4983" s="1"/>
    </row>
    <row r="4984" spans="19:19" ht="15.75">
      <c r="S4984" s="1"/>
    </row>
    <row r="4985" spans="19:19" ht="15.75">
      <c r="S4985" s="1"/>
    </row>
    <row r="4986" spans="19:19" ht="15.75">
      <c r="S4986" s="1"/>
    </row>
    <row r="4987" spans="19:19" ht="15.75">
      <c r="S4987" s="1"/>
    </row>
    <row r="4988" spans="19:19" ht="15.75">
      <c r="S4988" s="1"/>
    </row>
    <row r="4989" spans="19:19" ht="15.75">
      <c r="S4989" s="1"/>
    </row>
    <row r="4990" spans="19:19" ht="15.75">
      <c r="S4990" s="1"/>
    </row>
    <row r="4991" spans="19:19" ht="15.75">
      <c r="S4991" s="1"/>
    </row>
    <row r="4992" spans="19:19" ht="15.75">
      <c r="S4992" s="1"/>
    </row>
    <row r="4993" spans="19:19" ht="15.75">
      <c r="S4993" s="1"/>
    </row>
    <row r="4994" spans="19:19" ht="15.75">
      <c r="S4994" s="1"/>
    </row>
    <row r="4995" spans="19:19" ht="15.75">
      <c r="S4995" s="1"/>
    </row>
    <row r="4996" spans="19:19" ht="15.75">
      <c r="S4996" s="1"/>
    </row>
    <row r="4997" spans="19:19" ht="15.75">
      <c r="S4997" s="1"/>
    </row>
    <row r="4998" spans="19:19" ht="15.75">
      <c r="S4998" s="1"/>
    </row>
    <row r="4999" spans="19:19" ht="15.75">
      <c r="S4999" s="1"/>
    </row>
    <row r="5000" spans="19:19" ht="15.75">
      <c r="S5000" s="1"/>
    </row>
    <row r="5001" spans="19:19" ht="15.75">
      <c r="S5001" s="1"/>
    </row>
    <row r="5002" spans="19:19" ht="15.75">
      <c r="S5002" s="1"/>
    </row>
    <row r="5003" spans="19:19" ht="15.75">
      <c r="S5003" s="1"/>
    </row>
    <row r="5004" spans="19:19" ht="15.75">
      <c r="S5004" s="1"/>
    </row>
    <row r="5005" spans="19:19" ht="15.75">
      <c r="S5005" s="1"/>
    </row>
    <row r="5006" spans="19:19" ht="15.75">
      <c r="S5006" s="1"/>
    </row>
    <row r="5007" spans="19:19" ht="15.75">
      <c r="S5007" s="1"/>
    </row>
    <row r="5008" spans="19:19" ht="15.75">
      <c r="S5008" s="1"/>
    </row>
    <row r="5009" spans="19:19" ht="15.75">
      <c r="S5009" s="1"/>
    </row>
    <row r="5010" spans="19:19" ht="15.75">
      <c r="S5010" s="1"/>
    </row>
    <row r="5011" spans="19:19" ht="15.75">
      <c r="S5011" s="1"/>
    </row>
    <row r="5012" spans="19:19" ht="15.75">
      <c r="S5012" s="1"/>
    </row>
    <row r="5013" spans="19:19" ht="15.75">
      <c r="S5013" s="1"/>
    </row>
    <row r="5014" spans="19:19" ht="15.75">
      <c r="S5014" s="1"/>
    </row>
    <row r="5015" spans="19:19" ht="15.75">
      <c r="S5015" s="1"/>
    </row>
    <row r="5016" spans="19:19" ht="15.75">
      <c r="S5016" s="1"/>
    </row>
    <row r="5017" spans="19:19" ht="15.75">
      <c r="S5017" s="1"/>
    </row>
    <row r="5018" spans="19:19" ht="15.75">
      <c r="S5018" s="1"/>
    </row>
    <row r="5019" spans="19:19" ht="15.75">
      <c r="S5019" s="1"/>
    </row>
    <row r="5020" spans="19:19" ht="15.75">
      <c r="S5020" s="1"/>
    </row>
    <row r="5021" spans="19:19" ht="15.75">
      <c r="S5021" s="1"/>
    </row>
    <row r="5022" spans="19:19" ht="15.75">
      <c r="S5022" s="1"/>
    </row>
    <row r="5023" spans="19:19" ht="15.75">
      <c r="S5023" s="1"/>
    </row>
    <row r="5024" spans="19:19" ht="15.75">
      <c r="S5024" s="1"/>
    </row>
    <row r="5025" spans="19:19" ht="15.75">
      <c r="S5025" s="1"/>
    </row>
    <row r="5026" spans="19:19" ht="15.75">
      <c r="S5026" s="1"/>
    </row>
    <row r="5027" spans="19:19" ht="15.75">
      <c r="S5027" s="1"/>
    </row>
    <row r="5028" spans="19:19" ht="15.75">
      <c r="S5028" s="1"/>
    </row>
    <row r="5029" spans="19:19" ht="15.75">
      <c r="S5029" s="1"/>
    </row>
    <row r="5030" spans="19:19" ht="15.75">
      <c r="S5030" s="1"/>
    </row>
    <row r="5031" spans="19:19" ht="15.75">
      <c r="S5031" s="1"/>
    </row>
    <row r="5032" spans="19:19" ht="15.75">
      <c r="S5032" s="1"/>
    </row>
    <row r="5033" spans="19:19" ht="15.75">
      <c r="S5033" s="1"/>
    </row>
    <row r="5034" spans="19:19" ht="15.75">
      <c r="S5034" s="1"/>
    </row>
    <row r="5035" spans="19:19" ht="15.75">
      <c r="S5035" s="1"/>
    </row>
    <row r="5036" spans="19:19" ht="15.75">
      <c r="S5036" s="1"/>
    </row>
    <row r="5037" spans="19:19" ht="15.75">
      <c r="S5037" s="1"/>
    </row>
    <row r="5038" spans="19:19" ht="15.75">
      <c r="S5038" s="1"/>
    </row>
    <row r="5039" spans="19:19" ht="15.75">
      <c r="S5039" s="1"/>
    </row>
    <row r="5040" spans="19:19" ht="15.75">
      <c r="S5040" s="1"/>
    </row>
    <row r="5041" spans="19:19" ht="15.75">
      <c r="S5041" s="1"/>
    </row>
    <row r="5042" spans="19:19" ht="15.75">
      <c r="S5042" s="1"/>
    </row>
    <row r="5043" spans="19:19" ht="15.75">
      <c r="S5043" s="1"/>
    </row>
    <row r="5044" spans="19:19" ht="15.75">
      <c r="S5044" s="1"/>
    </row>
    <row r="5045" spans="19:19" ht="15.75">
      <c r="S5045" s="1"/>
    </row>
    <row r="5046" spans="19:19" ht="15.75">
      <c r="S5046" s="1"/>
    </row>
    <row r="5047" spans="19:19" ht="15.75">
      <c r="S5047" s="1"/>
    </row>
    <row r="5048" spans="19:19" ht="15.75">
      <c r="S5048" s="1"/>
    </row>
    <row r="5049" spans="19:19" ht="15.75">
      <c r="S5049" s="1"/>
    </row>
    <row r="5050" spans="19:19" ht="15.75">
      <c r="S5050" s="1"/>
    </row>
    <row r="5051" spans="19:19" ht="15.75">
      <c r="S5051" s="1"/>
    </row>
    <row r="5052" spans="19:19" ht="15.75">
      <c r="S5052" s="1"/>
    </row>
    <row r="5053" spans="19:19" ht="15.75">
      <c r="S5053" s="1"/>
    </row>
    <row r="5054" spans="19:19" ht="15.75">
      <c r="S5054" s="1"/>
    </row>
    <row r="5055" spans="19:19" ht="15.75">
      <c r="S5055" s="1"/>
    </row>
    <row r="5056" spans="19:19" ht="15.75">
      <c r="S5056" s="1"/>
    </row>
    <row r="5057" spans="19:19" ht="15.75">
      <c r="S5057" s="1"/>
    </row>
    <row r="5058" spans="19:19" ht="15.75">
      <c r="S5058" s="1"/>
    </row>
    <row r="5059" spans="19:19" ht="15.75">
      <c r="S5059" s="1"/>
    </row>
    <row r="5060" spans="19:19" ht="15.75">
      <c r="S5060" s="1"/>
    </row>
    <row r="5061" spans="19:19" ht="15.75">
      <c r="S5061" s="1"/>
    </row>
    <row r="5062" spans="19:19" ht="15.75">
      <c r="S5062" s="1"/>
    </row>
    <row r="5063" spans="19:19" ht="15.75">
      <c r="S5063" s="1"/>
    </row>
    <row r="5064" spans="19:19" ht="15.75">
      <c r="S5064" s="1"/>
    </row>
    <row r="5065" spans="19:19" ht="15.75">
      <c r="S5065" s="1"/>
    </row>
    <row r="5066" spans="19:19" ht="15.75">
      <c r="S5066" s="1"/>
    </row>
    <row r="5067" spans="19:19" ht="15.75">
      <c r="S5067" s="1"/>
    </row>
    <row r="5068" spans="19:19" ht="15.75">
      <c r="S5068" s="1"/>
    </row>
    <row r="5069" spans="19:19" ht="15.75">
      <c r="S5069" s="1"/>
    </row>
    <row r="5070" spans="19:19" ht="15.75">
      <c r="S5070" s="1"/>
    </row>
    <row r="5071" spans="19:19" ht="15.75">
      <c r="S5071" s="1"/>
    </row>
    <row r="5072" spans="19:19" ht="15.75">
      <c r="S5072" s="1"/>
    </row>
    <row r="5073" spans="19:19" ht="15.75">
      <c r="S5073" s="1"/>
    </row>
    <row r="5074" spans="19:19" ht="15.75">
      <c r="S5074" s="1"/>
    </row>
    <row r="5075" spans="19:19" ht="15.75">
      <c r="S5075" s="1"/>
    </row>
    <row r="5076" spans="19:19" ht="15.75">
      <c r="S5076" s="1"/>
    </row>
    <row r="5077" spans="19:19" ht="15.75">
      <c r="S5077" s="1"/>
    </row>
    <row r="5078" spans="19:19" ht="15.75">
      <c r="S5078" s="1"/>
    </row>
    <row r="5079" spans="19:19" ht="15.75">
      <c r="S5079" s="1"/>
    </row>
    <row r="5080" spans="19:19" ht="15.75">
      <c r="S5080" s="1"/>
    </row>
    <row r="5081" spans="19:19" ht="15.75">
      <c r="S5081" s="1"/>
    </row>
    <row r="5082" spans="19:19" ht="15.75">
      <c r="S5082" s="1"/>
    </row>
    <row r="5083" spans="19:19" ht="15.75">
      <c r="S5083" s="1"/>
    </row>
    <row r="5084" spans="19:19" ht="15.75">
      <c r="S5084" s="1"/>
    </row>
    <row r="5085" spans="19:19" ht="15.75">
      <c r="S5085" s="1"/>
    </row>
    <row r="5086" spans="19:19" ht="15.75">
      <c r="S5086" s="1"/>
    </row>
    <row r="5087" spans="19:19" ht="15.75">
      <c r="S5087" s="1"/>
    </row>
    <row r="5088" spans="19:19" ht="15.75">
      <c r="S5088" s="1"/>
    </row>
    <row r="5089" spans="19:19" ht="15.75">
      <c r="S5089" s="1"/>
    </row>
    <row r="5090" spans="19:19" ht="15.75">
      <c r="S5090" s="1"/>
    </row>
    <row r="5091" spans="19:19" ht="15.75">
      <c r="S5091" s="1"/>
    </row>
    <row r="5092" spans="19:19" ht="15.75">
      <c r="S5092" s="1"/>
    </row>
    <row r="5093" spans="19:19" ht="15.75">
      <c r="S5093" s="1"/>
    </row>
    <row r="5094" spans="19:19" ht="15.75">
      <c r="S5094" s="1"/>
    </row>
    <row r="5095" spans="19:19" ht="15.75">
      <c r="S5095" s="1"/>
    </row>
    <row r="5096" spans="19:19" ht="15.75">
      <c r="S5096" s="1"/>
    </row>
    <row r="5097" spans="19:19" ht="15.75">
      <c r="S5097" s="1"/>
    </row>
    <row r="5098" spans="19:19" ht="15.75">
      <c r="S5098" s="1"/>
    </row>
    <row r="5099" spans="19:19" ht="15.75">
      <c r="S5099" s="1"/>
    </row>
    <row r="5100" spans="19:19" ht="15.75">
      <c r="S5100" s="1"/>
    </row>
    <row r="5101" spans="19:19" ht="15.75">
      <c r="S5101" s="1"/>
    </row>
    <row r="5102" spans="19:19" ht="15.75">
      <c r="S5102" s="1"/>
    </row>
    <row r="5103" spans="19:19" ht="15.75">
      <c r="S5103" s="1"/>
    </row>
    <row r="5104" spans="19:19" ht="15.75">
      <c r="S5104" s="1"/>
    </row>
    <row r="5105" spans="19:19" ht="15.75">
      <c r="S5105" s="1"/>
    </row>
    <row r="5106" spans="19:19" ht="15.75">
      <c r="S5106" s="1"/>
    </row>
    <row r="5107" spans="19:19" ht="15.75">
      <c r="S5107" s="1"/>
    </row>
    <row r="5108" spans="19:19" ht="15.75">
      <c r="S5108" s="1"/>
    </row>
    <row r="5109" spans="19:19" ht="15.75">
      <c r="S5109" s="1"/>
    </row>
    <row r="5110" spans="19:19" ht="15.75">
      <c r="S5110" s="1"/>
    </row>
    <row r="5111" spans="19:19" ht="15.75">
      <c r="S5111" s="1"/>
    </row>
    <row r="5112" spans="19:19" ht="15.75">
      <c r="S5112" s="1"/>
    </row>
    <row r="5113" spans="19:19" ht="15.75">
      <c r="S5113" s="1"/>
    </row>
    <row r="5114" spans="19:19" ht="15.75">
      <c r="S5114" s="1"/>
    </row>
    <row r="5115" spans="19:19" ht="15.75">
      <c r="S5115" s="1"/>
    </row>
    <row r="5116" spans="19:19" ht="15.75">
      <c r="S5116" s="1"/>
    </row>
    <row r="5117" spans="19:19" ht="15.75">
      <c r="S5117" s="1"/>
    </row>
    <row r="5118" spans="19:19" ht="15.75">
      <c r="S5118" s="1"/>
    </row>
    <row r="5119" spans="19:19" ht="15.75">
      <c r="S5119" s="1"/>
    </row>
    <row r="5120" spans="19:19" ht="15.75">
      <c r="S5120" s="1"/>
    </row>
    <row r="5121" spans="19:19" ht="15.75">
      <c r="S5121" s="1"/>
    </row>
    <row r="5122" spans="19:19" ht="15.75">
      <c r="S5122" s="1"/>
    </row>
    <row r="5123" spans="19:19" ht="15.75">
      <c r="S5123" s="1"/>
    </row>
    <row r="5124" spans="19:19" ht="15.75">
      <c r="S5124" s="1"/>
    </row>
    <row r="5125" spans="19:19" ht="15.75">
      <c r="S5125" s="1"/>
    </row>
    <row r="5126" spans="19:19" ht="15.75">
      <c r="S5126" s="1"/>
    </row>
    <row r="5127" spans="19:19" ht="15.75">
      <c r="S5127" s="1"/>
    </row>
    <row r="5128" spans="19:19" ht="15.75">
      <c r="S5128" s="1"/>
    </row>
    <row r="5129" spans="19:19" ht="15.75">
      <c r="S5129" s="1"/>
    </row>
    <row r="5130" spans="19:19" ht="15.75">
      <c r="S5130" s="1"/>
    </row>
    <row r="5131" spans="19:19" ht="15.75">
      <c r="S5131" s="1"/>
    </row>
    <row r="5132" spans="19:19" ht="15.75">
      <c r="S5132" s="1"/>
    </row>
    <row r="5133" spans="19:19" ht="15.75">
      <c r="S5133" s="1"/>
    </row>
    <row r="5134" spans="19:19" ht="15.75">
      <c r="S5134" s="1"/>
    </row>
    <row r="5135" spans="19:19" ht="15.75">
      <c r="S5135" s="1"/>
    </row>
    <row r="5136" spans="19:19" ht="15.75">
      <c r="S5136" s="1"/>
    </row>
    <row r="5137" spans="19:19" ht="15.75">
      <c r="S5137" s="1"/>
    </row>
    <row r="5138" spans="19:19" ht="15.75">
      <c r="S5138" s="1"/>
    </row>
    <row r="5139" spans="19:19" ht="15.75">
      <c r="S5139" s="1"/>
    </row>
    <row r="5140" spans="19:19" ht="15.75">
      <c r="S5140" s="1"/>
    </row>
    <row r="5141" spans="19:19" ht="15.75">
      <c r="S5141" s="1"/>
    </row>
    <row r="5142" spans="19:19" ht="15.75">
      <c r="S5142" s="1"/>
    </row>
    <row r="5143" spans="19:19" ht="15.75">
      <c r="S5143" s="1"/>
    </row>
    <row r="5144" spans="19:19" ht="15.75">
      <c r="S5144" s="1"/>
    </row>
    <row r="5145" spans="19:19" ht="15.75">
      <c r="S5145" s="1"/>
    </row>
    <row r="5146" spans="19:19" ht="15.75">
      <c r="S5146" s="1"/>
    </row>
    <row r="5147" spans="19:19" ht="15.75">
      <c r="S5147" s="1"/>
    </row>
    <row r="5148" spans="19:19" ht="15.75">
      <c r="S5148" s="1"/>
    </row>
    <row r="5149" spans="19:19" ht="15.75">
      <c r="S5149" s="1"/>
    </row>
    <row r="5150" spans="19:19" ht="15.75">
      <c r="S5150" s="1"/>
    </row>
    <row r="5151" spans="19:19" ht="15.75">
      <c r="S5151" s="1"/>
    </row>
    <row r="5152" spans="19:19" ht="15.75">
      <c r="S5152" s="1"/>
    </row>
    <row r="5153" spans="19:19" ht="15.75">
      <c r="S5153" s="1"/>
    </row>
    <row r="5154" spans="19:19" ht="15.75">
      <c r="S5154" s="1"/>
    </row>
    <row r="5155" spans="19:19" ht="15.75">
      <c r="S5155" s="1"/>
    </row>
    <row r="5156" spans="19:19" ht="15.75">
      <c r="S5156" s="1"/>
    </row>
    <row r="5157" spans="19:19" ht="15.75">
      <c r="S5157" s="1"/>
    </row>
    <row r="5158" spans="19:19" ht="15.75">
      <c r="S5158" s="1"/>
    </row>
    <row r="5159" spans="19:19" ht="15.75">
      <c r="S5159" s="1"/>
    </row>
    <row r="5160" spans="19:19" ht="15.75">
      <c r="S5160" s="1"/>
    </row>
    <row r="5161" spans="19:19" ht="15.75">
      <c r="S5161" s="1"/>
    </row>
    <row r="5162" spans="19:19" ht="15.75">
      <c r="S5162" s="1"/>
    </row>
    <row r="5163" spans="19:19" ht="15.75">
      <c r="S5163" s="1"/>
    </row>
    <row r="5164" spans="19:19" ht="15.75">
      <c r="S5164" s="1"/>
    </row>
    <row r="5165" spans="19:19" ht="15.75">
      <c r="S5165" s="1"/>
    </row>
    <row r="5166" spans="19:19" ht="15.75">
      <c r="S5166" s="1"/>
    </row>
    <row r="5167" spans="19:19" ht="15.75">
      <c r="S5167" s="1"/>
    </row>
    <row r="5168" spans="19:19" ht="15.75">
      <c r="S5168" s="1"/>
    </row>
    <row r="5169" spans="19:19" ht="15.75">
      <c r="S5169" s="1"/>
    </row>
    <row r="5170" spans="19:19" ht="15.75">
      <c r="S5170" s="1"/>
    </row>
    <row r="5171" spans="19:19" ht="15.75">
      <c r="S5171" s="1"/>
    </row>
    <row r="5172" spans="19:19" ht="15.75">
      <c r="S5172" s="1"/>
    </row>
    <row r="5173" spans="19:19" ht="15.75">
      <c r="S5173" s="1"/>
    </row>
    <row r="5174" spans="19:19" ht="15.75">
      <c r="S5174" s="1"/>
    </row>
    <row r="5175" spans="19:19" ht="15.75">
      <c r="S5175" s="1"/>
    </row>
    <row r="5176" spans="19:19" ht="15.75">
      <c r="S5176" s="1"/>
    </row>
    <row r="5177" spans="19:19" ht="15.75">
      <c r="S5177" s="1"/>
    </row>
    <row r="5178" spans="19:19" ht="15.75">
      <c r="S5178" s="1"/>
    </row>
    <row r="5179" spans="19:19" ht="15.75">
      <c r="S5179" s="1"/>
    </row>
    <row r="5180" spans="19:19" ht="15.75">
      <c r="S5180" s="1"/>
    </row>
    <row r="5181" spans="19:19" ht="15.75">
      <c r="S5181" s="1"/>
    </row>
    <row r="5182" spans="19:19" ht="15.75">
      <c r="S5182" s="1"/>
    </row>
    <row r="5183" spans="19:19" ht="15.75">
      <c r="S5183" s="1"/>
    </row>
    <row r="5184" spans="19:19" ht="15.75">
      <c r="S5184" s="1"/>
    </row>
    <row r="5185" spans="19:19" ht="15.75">
      <c r="S5185" s="1"/>
    </row>
    <row r="5186" spans="19:19" ht="15.75">
      <c r="S5186" s="1"/>
    </row>
    <row r="5187" spans="19:19" ht="15.75">
      <c r="S5187" s="1"/>
    </row>
    <row r="5188" spans="19:19" ht="15.75">
      <c r="S5188" s="1"/>
    </row>
    <row r="5189" spans="19:19" ht="15.75">
      <c r="S5189" s="1"/>
    </row>
    <row r="5190" spans="19:19" ht="15.75">
      <c r="S5190" s="1"/>
    </row>
    <row r="5191" spans="19:19" ht="15.75">
      <c r="S5191" s="1"/>
    </row>
    <row r="5192" spans="19:19" ht="15.75">
      <c r="S5192" s="1"/>
    </row>
    <row r="5193" spans="19:19" ht="15.75">
      <c r="S5193" s="1"/>
    </row>
    <row r="5194" spans="19:19" ht="15.75">
      <c r="S5194" s="1"/>
    </row>
    <row r="5195" spans="19:19" ht="15.75">
      <c r="S5195" s="1"/>
    </row>
    <row r="5196" spans="19:19" ht="15.75">
      <c r="S5196" s="1"/>
    </row>
    <row r="5197" spans="19:19" ht="15.75">
      <c r="S5197" s="1"/>
    </row>
    <row r="5198" spans="19:19" ht="15.75">
      <c r="S5198" s="1"/>
    </row>
    <row r="5199" spans="19:19" ht="15.75">
      <c r="S5199" s="1"/>
    </row>
    <row r="5200" spans="19:19" ht="15.75">
      <c r="S5200" s="1"/>
    </row>
    <row r="5201" spans="19:19" ht="15.75">
      <c r="S5201" s="1"/>
    </row>
    <row r="5202" spans="19:19" ht="15.75">
      <c r="S5202" s="1"/>
    </row>
    <row r="5203" spans="19:19" ht="15.75">
      <c r="S5203" s="1"/>
    </row>
    <row r="5204" spans="19:19" ht="15.75">
      <c r="S5204" s="1"/>
    </row>
    <row r="5205" spans="19:19" ht="15.75">
      <c r="S5205" s="1"/>
    </row>
    <row r="5206" spans="19:19" ht="15.75">
      <c r="S5206" s="1"/>
    </row>
    <row r="5207" spans="19:19" ht="15.75">
      <c r="S5207" s="1"/>
    </row>
    <row r="5208" spans="19:19" ht="15.75">
      <c r="S5208" s="1"/>
    </row>
    <row r="5209" spans="19:19" ht="15.75">
      <c r="S5209" s="1"/>
    </row>
    <row r="5210" spans="19:19" ht="15.75">
      <c r="S5210" s="1"/>
    </row>
    <row r="5211" spans="19:19" ht="15.75">
      <c r="S5211" s="1"/>
    </row>
    <row r="5212" spans="19:19" ht="15.75">
      <c r="S5212" s="1"/>
    </row>
    <row r="5213" spans="19:19" ht="15.75">
      <c r="S5213" s="1"/>
    </row>
    <row r="5214" spans="19:19" ht="15.75">
      <c r="S5214" s="1"/>
    </row>
    <row r="5215" spans="19:19" ht="15.75">
      <c r="S5215" s="1"/>
    </row>
    <row r="5216" spans="19:19" ht="15.75">
      <c r="S5216" s="1"/>
    </row>
    <row r="5217" spans="19:19" ht="15.75">
      <c r="S5217" s="1"/>
    </row>
    <row r="5218" spans="19:19" ht="15.75">
      <c r="S5218" s="1"/>
    </row>
    <row r="5219" spans="19:19" ht="15.75">
      <c r="S5219" s="1"/>
    </row>
    <row r="5220" spans="19:19" ht="15.75">
      <c r="S5220" s="1"/>
    </row>
    <row r="5221" spans="19:19" ht="15.75">
      <c r="S5221" s="1"/>
    </row>
    <row r="5222" spans="19:19" ht="15.75">
      <c r="S5222" s="1"/>
    </row>
    <row r="5223" spans="19:19" ht="15.75">
      <c r="S5223" s="1"/>
    </row>
    <row r="5224" spans="19:19" ht="15.75">
      <c r="S5224" s="1"/>
    </row>
    <row r="5225" spans="19:19" ht="15.75">
      <c r="S5225" s="1"/>
    </row>
    <row r="5226" spans="19:19" ht="15.75">
      <c r="S5226" s="1"/>
    </row>
    <row r="5227" spans="19:19" ht="15.75">
      <c r="S5227" s="1"/>
    </row>
    <row r="5228" spans="19:19" ht="15.75">
      <c r="S5228" s="1"/>
    </row>
    <row r="5229" spans="19:19" ht="15.75">
      <c r="S5229" s="1"/>
    </row>
    <row r="5230" spans="19:19" ht="15.75">
      <c r="S5230" s="1"/>
    </row>
    <row r="5231" spans="19:19" ht="15.75">
      <c r="S5231" s="1"/>
    </row>
    <row r="5232" spans="19:19" ht="15.75">
      <c r="S5232" s="1"/>
    </row>
    <row r="5233" spans="19:19" ht="15.75">
      <c r="S5233" s="1"/>
    </row>
    <row r="5234" spans="19:19" ht="15.75">
      <c r="S5234" s="1"/>
    </row>
    <row r="5235" spans="19:19" ht="15.75">
      <c r="S5235" s="1"/>
    </row>
    <row r="5236" spans="19:19" ht="15.75">
      <c r="S5236" s="1"/>
    </row>
    <row r="5237" spans="19:19" ht="15.75">
      <c r="S5237" s="1"/>
    </row>
    <row r="5238" spans="19:19" ht="15.75">
      <c r="S5238" s="1"/>
    </row>
    <row r="5239" spans="19:19" ht="15.75">
      <c r="S5239" s="1"/>
    </row>
    <row r="5240" spans="19:19" ht="15.75">
      <c r="S5240" s="1"/>
    </row>
    <row r="5241" spans="19:19" ht="15.75">
      <c r="S5241" s="1"/>
    </row>
    <row r="5242" spans="19:19" ht="15.75">
      <c r="S5242" s="1"/>
    </row>
    <row r="5243" spans="19:19" ht="15.75">
      <c r="S5243" s="1"/>
    </row>
    <row r="5244" spans="19:19" ht="15.75">
      <c r="S5244" s="1"/>
    </row>
    <row r="5245" spans="19:19" ht="15.75">
      <c r="S5245" s="1"/>
    </row>
    <row r="5246" spans="19:19" ht="15.75">
      <c r="S5246" s="1"/>
    </row>
    <row r="5247" spans="19:19" ht="15.75">
      <c r="S5247" s="1"/>
    </row>
    <row r="5248" spans="19:19" ht="15.75">
      <c r="S5248" s="1"/>
    </row>
    <row r="5249" spans="19:19" ht="15.75">
      <c r="S5249" s="1"/>
    </row>
    <row r="5250" spans="19:19" ht="15.75">
      <c r="S5250" s="1"/>
    </row>
    <row r="5251" spans="19:19" ht="15.75">
      <c r="S5251" s="1"/>
    </row>
    <row r="5252" spans="19:19" ht="15.75">
      <c r="S5252" s="1"/>
    </row>
    <row r="5253" spans="19:19" ht="15.75">
      <c r="S5253" s="1"/>
    </row>
    <row r="5254" spans="19:19" ht="15.75">
      <c r="S5254" s="1"/>
    </row>
    <row r="5255" spans="19:19" ht="15.75">
      <c r="S5255" s="1"/>
    </row>
    <row r="5256" spans="19:19" ht="15.75">
      <c r="S5256" s="1"/>
    </row>
    <row r="5257" spans="19:19" ht="15.75">
      <c r="S5257" s="1"/>
    </row>
    <row r="5258" spans="19:19" ht="15.75">
      <c r="S5258" s="1"/>
    </row>
    <row r="5259" spans="19:19" ht="15.75">
      <c r="S5259" s="1"/>
    </row>
    <row r="5260" spans="19:19" ht="15.75">
      <c r="S5260" s="1"/>
    </row>
    <row r="5261" spans="19:19" ht="15.75">
      <c r="S5261" s="1"/>
    </row>
    <row r="5262" spans="19:19" ht="15.75">
      <c r="S5262" s="1"/>
    </row>
    <row r="5263" spans="19:19" ht="15.75">
      <c r="S5263" s="1"/>
    </row>
    <row r="5264" spans="19:19" ht="15.75">
      <c r="S5264" s="1"/>
    </row>
    <row r="5265" spans="19:19" ht="15.75">
      <c r="S5265" s="1"/>
    </row>
    <row r="5266" spans="19:19" ht="15.75">
      <c r="S5266" s="1"/>
    </row>
    <row r="5267" spans="19:19" ht="15.75">
      <c r="S5267" s="1"/>
    </row>
    <row r="5268" spans="19:19" ht="15.75">
      <c r="S5268" s="1"/>
    </row>
    <row r="5269" spans="19:19" ht="15.75">
      <c r="S5269" s="1"/>
    </row>
    <row r="5270" spans="19:19" ht="15.75">
      <c r="S5270" s="1"/>
    </row>
    <row r="5271" spans="19:19" ht="15.75">
      <c r="S5271" s="1"/>
    </row>
    <row r="5272" spans="19:19" ht="15.75">
      <c r="S5272" s="1"/>
    </row>
    <row r="5273" spans="19:19" ht="15.75">
      <c r="S5273" s="1"/>
    </row>
    <row r="5274" spans="19:19" ht="15.75">
      <c r="S5274" s="1"/>
    </row>
    <row r="5275" spans="19:19" ht="15.75">
      <c r="S5275" s="1"/>
    </row>
    <row r="5276" spans="19:19" ht="15.75">
      <c r="S5276" s="1"/>
    </row>
    <row r="5277" spans="19:19" ht="15.75">
      <c r="S5277" s="1"/>
    </row>
    <row r="5278" spans="19:19" ht="15.75">
      <c r="S5278" s="1"/>
    </row>
    <row r="5279" spans="19:19" ht="15.75">
      <c r="S5279" s="1"/>
    </row>
    <row r="5280" spans="19:19" ht="15.75">
      <c r="S5280" s="1"/>
    </row>
    <row r="5281" spans="19:19" ht="15.75">
      <c r="S5281" s="1"/>
    </row>
    <row r="5282" spans="19:19" ht="15.75">
      <c r="S5282" s="1"/>
    </row>
    <row r="5283" spans="19:19" ht="15.75">
      <c r="S5283" s="1"/>
    </row>
    <row r="5284" spans="19:19" ht="15.75">
      <c r="S5284" s="1"/>
    </row>
    <row r="5285" spans="19:19" ht="15.75">
      <c r="S5285" s="1"/>
    </row>
    <row r="5286" spans="19:19" ht="15.75">
      <c r="S5286" s="1"/>
    </row>
    <row r="5287" spans="19:19" ht="15.75">
      <c r="S5287" s="1"/>
    </row>
    <row r="5288" spans="19:19" ht="15.75">
      <c r="S5288" s="1"/>
    </row>
    <row r="5289" spans="19:19" ht="15.75">
      <c r="S5289" s="1"/>
    </row>
    <row r="5290" spans="19:19" ht="15.75">
      <c r="S5290" s="1"/>
    </row>
    <row r="5291" spans="19:19" ht="15.75">
      <c r="S5291" s="1"/>
    </row>
    <row r="5292" spans="19:19" ht="15.75">
      <c r="S5292" s="1"/>
    </row>
    <row r="5293" spans="19:19" ht="15.75">
      <c r="S5293" s="1"/>
    </row>
    <row r="5294" spans="19:19" ht="15.75">
      <c r="S5294" s="1"/>
    </row>
    <row r="5295" spans="19:19" ht="15.75">
      <c r="S5295" s="1"/>
    </row>
    <row r="5296" spans="19:19" ht="15.75">
      <c r="S5296" s="1"/>
    </row>
    <row r="5297" spans="19:19" ht="15.75">
      <c r="S5297" s="1"/>
    </row>
    <row r="5298" spans="19:19" ht="15.75">
      <c r="S5298" s="1"/>
    </row>
    <row r="5299" spans="19:19" ht="15.75">
      <c r="S5299" s="1"/>
    </row>
    <row r="5300" spans="19:19" ht="15.75">
      <c r="S5300" s="1"/>
    </row>
    <row r="5301" spans="19:19" ht="15.75">
      <c r="S5301" s="1"/>
    </row>
    <row r="5302" spans="19:19" ht="15.75">
      <c r="S5302" s="1"/>
    </row>
    <row r="5303" spans="19:19" ht="15.75">
      <c r="S5303" s="1"/>
    </row>
    <row r="5304" spans="19:19" ht="15.75">
      <c r="S5304" s="1"/>
    </row>
    <row r="5305" spans="19:19" ht="15.75">
      <c r="S5305" s="1"/>
    </row>
    <row r="5306" spans="19:19" ht="15.75">
      <c r="S5306" s="1"/>
    </row>
    <row r="5307" spans="19:19" ht="15.75">
      <c r="S5307" s="1"/>
    </row>
    <row r="5308" spans="19:19" ht="15.75">
      <c r="S5308" s="1"/>
    </row>
    <row r="5309" spans="19:19" ht="15.75">
      <c r="S5309" s="1"/>
    </row>
    <row r="5310" spans="19:19" ht="15.75">
      <c r="S5310" s="1"/>
    </row>
    <row r="5311" spans="19:19" ht="15.75">
      <c r="S5311" s="1"/>
    </row>
    <row r="5312" spans="19:19" ht="15.75">
      <c r="S5312" s="1"/>
    </row>
    <row r="5313" spans="19:19" ht="15.75">
      <c r="S5313" s="1"/>
    </row>
    <row r="5314" spans="19:19" ht="15.75">
      <c r="S5314" s="1"/>
    </row>
    <row r="5315" spans="19:19" ht="15.75">
      <c r="S5315" s="1"/>
    </row>
    <row r="5316" spans="19:19" ht="15.75">
      <c r="S5316" s="1"/>
    </row>
    <row r="5317" spans="19:19" ht="15.75">
      <c r="S5317" s="1"/>
    </row>
    <row r="5318" spans="19:19" ht="15.75">
      <c r="S5318" s="1"/>
    </row>
    <row r="5319" spans="19:19" ht="15.75">
      <c r="S5319" s="1"/>
    </row>
    <row r="5320" spans="19:19" ht="15.75">
      <c r="S5320" s="1"/>
    </row>
    <row r="5321" spans="19:19" ht="15.75">
      <c r="S5321" s="1"/>
    </row>
    <row r="5322" spans="19:19" ht="15.75">
      <c r="S5322" s="1"/>
    </row>
    <row r="5323" spans="19:19" ht="15.75">
      <c r="S5323" s="1"/>
    </row>
    <row r="5324" spans="19:19" ht="15.75">
      <c r="S5324" s="1"/>
    </row>
    <row r="5325" spans="19:19" ht="15.75">
      <c r="S5325" s="1"/>
    </row>
    <row r="5326" spans="19:19" ht="15.75">
      <c r="S5326" s="1"/>
    </row>
    <row r="5327" spans="19:19" ht="15.75">
      <c r="S5327" s="1"/>
    </row>
    <row r="5328" spans="19:19" ht="15.75">
      <c r="S5328" s="1"/>
    </row>
    <row r="5329" spans="19:19" ht="15.75">
      <c r="S5329" s="1"/>
    </row>
    <row r="5330" spans="19:19" ht="15.75">
      <c r="S5330" s="1"/>
    </row>
    <row r="5331" spans="19:19" ht="15.75">
      <c r="S5331" s="1"/>
    </row>
    <row r="5332" spans="19:19" ht="15.75">
      <c r="S5332" s="1"/>
    </row>
    <row r="5333" spans="19:19" ht="15.75">
      <c r="S5333" s="1"/>
    </row>
    <row r="5334" spans="19:19" ht="15.75">
      <c r="S5334" s="1"/>
    </row>
    <row r="5335" spans="19:19" ht="15.75">
      <c r="S5335" s="1"/>
    </row>
    <row r="5336" spans="19:19" ht="15.75">
      <c r="S5336" s="1"/>
    </row>
    <row r="5337" spans="19:19" ht="15.75">
      <c r="S5337" s="1"/>
    </row>
    <row r="5338" spans="19:19" ht="15.75">
      <c r="S5338" s="1"/>
    </row>
    <row r="5339" spans="19:19" ht="15.75">
      <c r="S5339" s="1"/>
    </row>
    <row r="5340" spans="19:19" ht="15.75">
      <c r="S5340" s="1"/>
    </row>
    <row r="5341" spans="19:19" ht="15.75">
      <c r="S5341" s="1"/>
    </row>
    <row r="5342" spans="19:19" ht="15.75">
      <c r="S5342" s="1"/>
    </row>
    <row r="5343" spans="19:19" ht="15.75">
      <c r="S5343" s="1"/>
    </row>
    <row r="5344" spans="19:19" ht="15.75">
      <c r="S5344" s="1"/>
    </row>
    <row r="5345" spans="19:19" ht="15.75">
      <c r="S5345" s="1"/>
    </row>
    <row r="5346" spans="19:19" ht="15.75">
      <c r="S5346" s="1"/>
    </row>
    <row r="5347" spans="19:19" ht="15.75">
      <c r="S5347" s="1"/>
    </row>
    <row r="5348" spans="19:19" ht="15.75">
      <c r="S5348" s="1"/>
    </row>
    <row r="5349" spans="19:19" ht="15.75">
      <c r="S5349" s="1"/>
    </row>
    <row r="5350" spans="19:19" ht="15.75">
      <c r="S5350" s="1"/>
    </row>
    <row r="5351" spans="19:19" ht="15.75">
      <c r="S5351" s="1"/>
    </row>
    <row r="5352" spans="19:19" ht="15.75">
      <c r="S5352" s="1"/>
    </row>
    <row r="5353" spans="19:19" ht="15.75">
      <c r="S5353" s="1"/>
    </row>
    <row r="5354" spans="19:19" ht="15.75">
      <c r="S5354" s="1"/>
    </row>
    <row r="5355" spans="19:19" ht="15.75">
      <c r="S5355" s="1"/>
    </row>
    <row r="5356" spans="19:19" ht="15.75">
      <c r="S5356" s="1"/>
    </row>
    <row r="5357" spans="19:19" ht="15.75">
      <c r="S5357" s="1"/>
    </row>
    <row r="5358" spans="19:19" ht="15.75">
      <c r="S5358" s="1"/>
    </row>
    <row r="5359" spans="19:19" ht="15.75">
      <c r="S5359" s="1"/>
    </row>
    <row r="5360" spans="19:19" ht="15.75">
      <c r="S5360" s="1"/>
    </row>
    <row r="5361" spans="19:19" ht="15.75">
      <c r="S5361" s="1"/>
    </row>
    <row r="5362" spans="19:19" ht="15.75">
      <c r="S5362" s="1"/>
    </row>
    <row r="5363" spans="19:19" ht="15.75">
      <c r="S5363" s="1"/>
    </row>
    <row r="5364" spans="19:19" ht="15.75">
      <c r="S5364" s="1"/>
    </row>
    <row r="5365" spans="19:19" ht="15.75">
      <c r="S5365" s="1"/>
    </row>
    <row r="5366" spans="19:19" ht="15.75">
      <c r="S5366" s="1"/>
    </row>
    <row r="5367" spans="19:19" ht="15.75">
      <c r="S5367" s="1"/>
    </row>
    <row r="5368" spans="19:19" ht="15.75">
      <c r="S5368" s="1"/>
    </row>
    <row r="5369" spans="19:19" ht="15.75">
      <c r="S5369" s="1"/>
    </row>
    <row r="5370" spans="19:19" ht="15.75">
      <c r="S5370" s="1"/>
    </row>
    <row r="5371" spans="19:19" ht="15.75">
      <c r="S5371" s="1"/>
    </row>
    <row r="5372" spans="19:19" ht="15.75">
      <c r="S5372" s="1"/>
    </row>
    <row r="5373" spans="19:19" ht="15.75">
      <c r="S5373" s="1"/>
    </row>
    <row r="5374" spans="19:19" ht="15.75">
      <c r="S5374" s="1"/>
    </row>
    <row r="5375" spans="19:19" ht="15.75">
      <c r="S5375" s="1"/>
    </row>
    <row r="5376" spans="19:19" ht="15.75">
      <c r="S5376" s="1"/>
    </row>
    <row r="5377" spans="19:19" ht="15.75">
      <c r="S5377" s="1"/>
    </row>
    <row r="5378" spans="19:19" ht="15.75">
      <c r="S5378" s="1"/>
    </row>
    <row r="5379" spans="19:19" ht="15.75">
      <c r="S5379" s="1"/>
    </row>
    <row r="5380" spans="19:19" ht="15.75">
      <c r="S5380" s="1"/>
    </row>
    <row r="5381" spans="19:19" ht="15.75">
      <c r="S5381" s="1"/>
    </row>
    <row r="5382" spans="19:19" ht="15.75">
      <c r="S5382" s="1"/>
    </row>
    <row r="5383" spans="19:19" ht="15.75">
      <c r="S5383" s="1"/>
    </row>
    <row r="5384" spans="19:19" ht="15.75">
      <c r="S5384" s="1"/>
    </row>
    <row r="5385" spans="19:19" ht="15.75">
      <c r="S5385" s="1"/>
    </row>
    <row r="5386" spans="19:19" ht="15.75">
      <c r="S5386" s="1"/>
    </row>
    <row r="5387" spans="19:19" ht="15.75">
      <c r="S5387" s="1"/>
    </row>
    <row r="5388" spans="19:19" ht="15.75">
      <c r="S5388" s="1"/>
    </row>
    <row r="5389" spans="19:19" ht="15.75">
      <c r="S5389" s="1"/>
    </row>
    <row r="5390" spans="19:19" ht="15.75">
      <c r="S5390" s="1"/>
    </row>
    <row r="5391" spans="19:19" ht="15.75">
      <c r="S5391" s="1"/>
    </row>
    <row r="5392" spans="19:19" ht="15.75">
      <c r="S5392" s="1"/>
    </row>
    <row r="5393" spans="19:19" ht="15.75">
      <c r="S5393" s="1"/>
    </row>
    <row r="5394" spans="19:19" ht="15.75">
      <c r="S5394" s="1"/>
    </row>
    <row r="5395" spans="19:19" ht="15.75">
      <c r="S5395" s="1"/>
    </row>
    <row r="5396" spans="19:19" ht="15.75">
      <c r="S5396" s="1"/>
    </row>
    <row r="5397" spans="19:19" ht="15.75">
      <c r="S5397" s="1"/>
    </row>
    <row r="5398" spans="19:19" ht="15.75">
      <c r="S5398" s="1"/>
    </row>
    <row r="5399" spans="19:19" ht="15.75">
      <c r="S5399" s="1"/>
    </row>
    <row r="5400" spans="19:19" ht="15.75">
      <c r="S5400" s="1"/>
    </row>
    <row r="5401" spans="19:19" ht="15.75">
      <c r="S5401" s="1"/>
    </row>
    <row r="5402" spans="19:19" ht="15.75">
      <c r="S5402" s="1"/>
    </row>
    <row r="5403" spans="19:19" ht="15.75">
      <c r="S5403" s="1"/>
    </row>
    <row r="5404" spans="19:19" ht="15.75">
      <c r="S5404" s="1"/>
    </row>
    <row r="5405" spans="19:19" ht="15.75">
      <c r="S5405" s="1"/>
    </row>
    <row r="5406" spans="19:19" ht="15.75">
      <c r="S5406" s="1"/>
    </row>
    <row r="5407" spans="19:19" ht="15.75">
      <c r="S5407" s="1"/>
    </row>
    <row r="5408" spans="19:19" ht="15.75">
      <c r="S5408" s="1"/>
    </row>
    <row r="5409" spans="19:19" ht="15.75">
      <c r="S5409" s="1"/>
    </row>
    <row r="5410" spans="19:19" ht="15.75">
      <c r="S5410" s="1"/>
    </row>
    <row r="5411" spans="19:19" ht="15.75">
      <c r="S5411" s="1"/>
    </row>
    <row r="5412" spans="19:19" ht="15.75">
      <c r="S5412" s="1"/>
    </row>
    <row r="5413" spans="19:19" ht="15.75">
      <c r="S5413" s="1"/>
    </row>
    <row r="5414" spans="19:19" ht="15.75">
      <c r="S5414" s="1"/>
    </row>
    <row r="5415" spans="19:19" ht="15.75">
      <c r="S5415" s="1"/>
    </row>
    <row r="5416" spans="19:19" ht="15.75">
      <c r="S5416" s="1"/>
    </row>
    <row r="5417" spans="19:19" ht="15.75">
      <c r="S5417" s="1"/>
    </row>
    <row r="5418" spans="19:19" ht="15.75">
      <c r="S5418" s="1"/>
    </row>
    <row r="5419" spans="19:19" ht="15.75">
      <c r="S5419" s="1"/>
    </row>
    <row r="5420" spans="19:19" ht="15.75">
      <c r="S5420" s="1"/>
    </row>
    <row r="5421" spans="19:19" ht="15.75">
      <c r="S5421" s="1"/>
    </row>
    <row r="5422" spans="19:19" ht="15.75">
      <c r="S5422" s="1"/>
    </row>
    <row r="5423" spans="19:19" ht="15.75">
      <c r="S5423" s="1"/>
    </row>
    <row r="5424" spans="19:19" ht="15.75">
      <c r="S5424" s="1"/>
    </row>
    <row r="5425" spans="19:19" ht="15.75">
      <c r="S5425" s="1"/>
    </row>
    <row r="5426" spans="19:19" ht="15.75">
      <c r="S5426" s="1"/>
    </row>
    <row r="5427" spans="19:19" ht="15.75">
      <c r="S5427" s="1"/>
    </row>
    <row r="5428" spans="19:19" ht="15.75">
      <c r="S5428" s="1"/>
    </row>
    <row r="5429" spans="19:19" ht="15.75">
      <c r="S5429" s="1"/>
    </row>
    <row r="5430" spans="19:19" ht="15.75">
      <c r="S5430" s="1"/>
    </row>
    <row r="5431" spans="19:19" ht="15.75">
      <c r="S5431" s="1"/>
    </row>
    <row r="5432" spans="19:19" ht="15.75">
      <c r="S5432" s="1"/>
    </row>
    <row r="5433" spans="19:19" ht="15.75">
      <c r="S5433" s="1"/>
    </row>
    <row r="5434" spans="19:19" ht="15.75">
      <c r="S5434" s="1"/>
    </row>
    <row r="5435" spans="19:19" ht="15.75">
      <c r="S5435" s="1"/>
    </row>
    <row r="5436" spans="19:19" ht="15.75">
      <c r="S5436" s="1"/>
    </row>
    <row r="5437" spans="19:19" ht="15.75">
      <c r="S5437" s="1"/>
    </row>
    <row r="5438" spans="19:19" ht="15.75">
      <c r="S5438" s="1"/>
    </row>
    <row r="5439" spans="19:19" ht="15.75">
      <c r="S5439" s="1"/>
    </row>
    <row r="5440" spans="19:19" ht="15.75">
      <c r="S5440" s="1"/>
    </row>
    <row r="5441" spans="19:19" ht="15.75">
      <c r="S5441" s="1"/>
    </row>
    <row r="5442" spans="19:19" ht="15.75">
      <c r="S5442" s="1"/>
    </row>
    <row r="5443" spans="19:19" ht="15.75">
      <c r="S5443" s="1"/>
    </row>
    <row r="5444" spans="19:19" ht="15.75">
      <c r="S5444" s="1"/>
    </row>
    <row r="5445" spans="19:19" ht="15.75">
      <c r="S5445" s="1"/>
    </row>
    <row r="5446" spans="19:19" ht="15.75">
      <c r="S5446" s="1"/>
    </row>
    <row r="5447" spans="19:19" ht="15.75">
      <c r="S5447" s="1"/>
    </row>
    <row r="5448" spans="19:19" ht="15.75">
      <c r="S5448" s="1"/>
    </row>
    <row r="5449" spans="19:19" ht="15.75">
      <c r="S5449" s="1"/>
    </row>
    <row r="5450" spans="19:19" ht="15.75">
      <c r="S5450" s="1"/>
    </row>
    <row r="5451" spans="19:19" ht="15.75">
      <c r="S5451" s="1"/>
    </row>
    <row r="5452" spans="19:19" ht="15.75">
      <c r="S5452" s="1"/>
    </row>
    <row r="5453" spans="19:19" ht="15.75">
      <c r="S5453" s="1"/>
    </row>
    <row r="5454" spans="19:19" ht="15.75">
      <c r="S5454" s="1"/>
    </row>
    <row r="5455" spans="19:19" ht="15.75">
      <c r="S5455" s="1"/>
    </row>
    <row r="5456" spans="19:19" ht="15.75">
      <c r="S5456" s="1"/>
    </row>
    <row r="5457" spans="19:19" ht="15.75">
      <c r="S5457" s="1"/>
    </row>
    <row r="5458" spans="19:19" ht="15.75">
      <c r="S5458" s="1"/>
    </row>
    <row r="5459" spans="19:19" ht="15.75">
      <c r="S5459" s="1"/>
    </row>
    <row r="5460" spans="19:19" ht="15.75">
      <c r="S5460" s="1"/>
    </row>
    <row r="5461" spans="19:19" ht="15.75">
      <c r="S5461" s="1"/>
    </row>
    <row r="5462" spans="19:19" ht="15.75">
      <c r="S5462" s="1"/>
    </row>
    <row r="5463" spans="19:19" ht="15.75">
      <c r="S5463" s="1"/>
    </row>
    <row r="5464" spans="19:19" ht="15.75">
      <c r="S5464" s="1"/>
    </row>
    <row r="5465" spans="19:19" ht="15.75">
      <c r="S5465" s="1"/>
    </row>
    <row r="5466" spans="19:19" ht="15.75">
      <c r="S5466" s="1"/>
    </row>
    <row r="5467" spans="19:19" ht="15.75">
      <c r="S5467" s="1"/>
    </row>
    <row r="5468" spans="19:19" ht="15.75">
      <c r="S5468" s="1"/>
    </row>
    <row r="5469" spans="19:19" ht="15.75">
      <c r="S5469" s="1"/>
    </row>
    <row r="5470" spans="19:19" ht="15.75">
      <c r="S5470" s="1"/>
    </row>
    <row r="5471" spans="19:19" ht="15.75">
      <c r="S5471" s="1"/>
    </row>
    <row r="5472" spans="19:19" ht="15.75">
      <c r="S5472" s="1"/>
    </row>
    <row r="5473" spans="19:19" ht="15.75">
      <c r="S5473" s="1"/>
    </row>
    <row r="5474" spans="19:19" ht="15.75">
      <c r="S5474" s="1"/>
    </row>
    <row r="5475" spans="19:19" ht="15.75">
      <c r="S5475" s="1"/>
    </row>
    <row r="5476" spans="19:19" ht="15.75">
      <c r="S5476" s="1"/>
    </row>
    <row r="5477" spans="19:19" ht="15.75">
      <c r="S5477" s="1"/>
    </row>
    <row r="5478" spans="19:19" ht="15.75">
      <c r="S5478" s="1"/>
    </row>
    <row r="5479" spans="19:19" ht="15.75">
      <c r="S5479" s="1"/>
    </row>
    <row r="5480" spans="19:19" ht="15.75">
      <c r="S5480" s="1"/>
    </row>
    <row r="5481" spans="19:19" ht="15.75">
      <c r="S5481" s="1"/>
    </row>
    <row r="5482" spans="19:19" ht="15.75">
      <c r="S5482" s="1"/>
    </row>
    <row r="5483" spans="19:19" ht="15.75">
      <c r="S5483" s="1"/>
    </row>
    <row r="5484" spans="19:19" ht="15.75">
      <c r="S5484" s="1"/>
    </row>
    <row r="5485" spans="19:19" ht="15.75">
      <c r="S5485" s="1"/>
    </row>
    <row r="5486" spans="19:19" ht="15.75">
      <c r="S5486" s="1"/>
    </row>
    <row r="5487" spans="19:19" ht="15.75">
      <c r="S5487" s="1"/>
    </row>
    <row r="5488" spans="19:19" ht="15.75">
      <c r="S5488" s="1"/>
    </row>
    <row r="5489" spans="19:19" ht="15.75">
      <c r="S5489" s="1"/>
    </row>
    <row r="5490" spans="19:19" ht="15.75">
      <c r="S5490" s="1"/>
    </row>
    <row r="5491" spans="19:19" ht="15.75">
      <c r="S5491" s="1"/>
    </row>
    <row r="5492" spans="19:19" ht="15.75">
      <c r="S5492" s="1"/>
    </row>
    <row r="5493" spans="19:19" ht="15.75">
      <c r="S5493" s="1"/>
    </row>
    <row r="5494" spans="19:19" ht="15.75">
      <c r="S5494" s="1"/>
    </row>
    <row r="5495" spans="19:19" ht="15.75">
      <c r="S5495" s="1"/>
    </row>
    <row r="5496" spans="19:19" ht="15.75">
      <c r="S5496" s="1"/>
    </row>
    <row r="5497" spans="19:19" ht="15.75">
      <c r="S5497" s="1"/>
    </row>
    <row r="5498" spans="19:19" ht="15.75">
      <c r="S5498" s="1"/>
    </row>
    <row r="5499" spans="19:19" ht="15.75">
      <c r="S5499" s="1"/>
    </row>
    <row r="5500" spans="19:19" ht="15.75">
      <c r="S5500" s="1"/>
    </row>
    <row r="5501" spans="19:19" ht="15.75">
      <c r="S5501" s="1"/>
    </row>
    <row r="5502" spans="19:19" ht="15.75">
      <c r="S5502" s="1"/>
    </row>
    <row r="5503" spans="19:19" ht="15.75">
      <c r="S5503" s="1"/>
    </row>
    <row r="5504" spans="19:19" ht="15.75">
      <c r="S5504" s="1"/>
    </row>
    <row r="5505" spans="19:19" ht="15.75">
      <c r="S5505" s="1"/>
    </row>
    <row r="5506" spans="19:19" ht="15.75">
      <c r="S5506" s="1"/>
    </row>
    <row r="5507" spans="19:19" ht="15.75">
      <c r="S5507" s="1"/>
    </row>
    <row r="5508" spans="19:19" ht="15.75">
      <c r="S5508" s="1"/>
    </row>
    <row r="5509" spans="19:19" ht="15.75">
      <c r="S5509" s="1"/>
    </row>
    <row r="5510" spans="19:19" ht="15.75">
      <c r="S5510" s="1"/>
    </row>
    <row r="5511" spans="19:19" ht="15.75">
      <c r="S5511" s="1"/>
    </row>
    <row r="5512" spans="19:19" ht="15.75">
      <c r="S5512" s="1"/>
    </row>
    <row r="5513" spans="19:19" ht="15.75">
      <c r="S5513" s="1"/>
    </row>
    <row r="5514" spans="19:19" ht="15.75">
      <c r="S5514" s="1"/>
    </row>
    <row r="5515" spans="19:19" ht="15.75">
      <c r="S5515" s="1"/>
    </row>
    <row r="5516" spans="19:19" ht="15.75">
      <c r="S5516" s="1"/>
    </row>
    <row r="5517" spans="19:19" ht="15.75">
      <c r="S5517" s="1"/>
    </row>
    <row r="5518" spans="19:19" ht="15.75">
      <c r="S5518" s="1"/>
    </row>
    <row r="5519" spans="19:19" ht="15.75">
      <c r="S5519" s="1"/>
    </row>
    <row r="5520" spans="19:19" ht="15.75">
      <c r="S5520" s="1"/>
    </row>
    <row r="5521" spans="19:19" ht="15.75">
      <c r="S5521" s="1"/>
    </row>
    <row r="5522" spans="19:19" ht="15.75">
      <c r="S5522" s="1"/>
    </row>
    <row r="5523" spans="19:19" ht="15.75">
      <c r="S5523" s="1"/>
    </row>
    <row r="5524" spans="19:19" ht="15.75">
      <c r="S5524" s="1"/>
    </row>
    <row r="5525" spans="19:19" ht="15.75">
      <c r="S5525" s="1"/>
    </row>
    <row r="5526" spans="19:19" ht="15.75">
      <c r="S5526" s="1"/>
    </row>
    <row r="5527" spans="19:19" ht="15.75">
      <c r="S5527" s="1"/>
    </row>
    <row r="5528" spans="19:19" ht="15.75">
      <c r="S5528" s="1"/>
    </row>
    <row r="5529" spans="19:19" ht="15.75">
      <c r="S5529" s="1"/>
    </row>
    <row r="5530" spans="19:19" ht="15.75">
      <c r="S5530" s="1"/>
    </row>
    <row r="5531" spans="19:19" ht="15.75">
      <c r="S5531" s="1"/>
    </row>
    <row r="5532" spans="19:19" ht="15.75">
      <c r="S5532" s="1"/>
    </row>
    <row r="5533" spans="19:19" ht="15.75">
      <c r="S5533" s="1"/>
    </row>
    <row r="5534" spans="19:19" ht="15.75">
      <c r="S5534" s="1"/>
    </row>
    <row r="5535" spans="19:19" ht="15.75">
      <c r="S5535" s="1"/>
    </row>
    <row r="5536" spans="19:19" ht="15.75">
      <c r="S5536" s="1"/>
    </row>
    <row r="5537" spans="19:19" ht="15.75">
      <c r="S5537" s="1"/>
    </row>
    <row r="5538" spans="19:19" ht="15.75">
      <c r="S5538" s="1"/>
    </row>
    <row r="5539" spans="19:19" ht="15.75">
      <c r="S5539" s="1"/>
    </row>
    <row r="5540" spans="19:19" ht="15.75">
      <c r="S5540" s="1"/>
    </row>
    <row r="5541" spans="19:19" ht="15.75">
      <c r="S5541" s="1"/>
    </row>
    <row r="5542" spans="19:19" ht="15.75">
      <c r="S5542" s="1"/>
    </row>
    <row r="5543" spans="19:19" ht="15.75">
      <c r="S5543" s="1"/>
    </row>
    <row r="5544" spans="19:19" ht="15.75">
      <c r="S5544" s="1"/>
    </row>
    <row r="5545" spans="19:19" ht="15.75">
      <c r="S5545" s="1"/>
    </row>
    <row r="5546" spans="19:19" ht="15.75">
      <c r="S5546" s="1"/>
    </row>
    <row r="5547" spans="19:19" ht="15.75">
      <c r="S5547" s="1"/>
    </row>
    <row r="5548" spans="19:19" ht="15.75">
      <c r="S5548" s="1"/>
    </row>
    <row r="5549" spans="19:19" ht="15.75">
      <c r="S5549" s="1"/>
    </row>
    <row r="5550" spans="19:19" ht="15.75">
      <c r="S5550" s="1"/>
    </row>
    <row r="5551" spans="19:19" ht="15.75">
      <c r="S5551" s="1"/>
    </row>
    <row r="5552" spans="19:19" ht="15.75">
      <c r="S5552" s="1"/>
    </row>
    <row r="5553" spans="19:19" ht="15.75">
      <c r="S5553" s="1"/>
    </row>
    <row r="5554" spans="19:19" ht="15.75">
      <c r="S5554" s="1"/>
    </row>
    <row r="5555" spans="19:19" ht="15.75">
      <c r="S5555" s="1"/>
    </row>
    <row r="5556" spans="19:19" ht="15.75">
      <c r="S5556" s="1"/>
    </row>
    <row r="5557" spans="19:19" ht="15.75">
      <c r="S5557" s="1"/>
    </row>
    <row r="5558" spans="19:19" ht="15.75">
      <c r="S5558" s="1"/>
    </row>
    <row r="5559" spans="19:19" ht="15.75">
      <c r="S5559" s="1"/>
    </row>
    <row r="5560" spans="19:19" ht="15.75">
      <c r="S5560" s="1"/>
    </row>
    <row r="5561" spans="19:19" ht="15.75">
      <c r="S5561" s="1"/>
    </row>
    <row r="5562" spans="19:19" ht="15.75">
      <c r="S5562" s="1"/>
    </row>
    <row r="5563" spans="19:19" ht="15.75">
      <c r="S5563" s="1"/>
    </row>
    <row r="5564" spans="19:19" ht="15.75">
      <c r="S5564" s="1"/>
    </row>
    <row r="5565" spans="19:19" ht="15.75">
      <c r="S5565" s="1"/>
    </row>
    <row r="5566" spans="19:19" ht="15.75">
      <c r="S5566" s="1"/>
    </row>
    <row r="5567" spans="19:19" ht="15.75">
      <c r="S5567" s="1"/>
    </row>
    <row r="5568" spans="19:19" ht="15.75">
      <c r="S5568" s="1"/>
    </row>
    <row r="5569" spans="19:19" ht="15.75">
      <c r="S5569" s="1"/>
    </row>
    <row r="5570" spans="19:19" ht="15.75">
      <c r="S5570" s="1"/>
    </row>
    <row r="5571" spans="19:19" ht="15.75">
      <c r="S5571" s="1"/>
    </row>
    <row r="5572" spans="19:19" ht="15.75">
      <c r="S5572" s="1"/>
    </row>
    <row r="5573" spans="19:19" ht="15.75">
      <c r="S5573" s="1"/>
    </row>
    <row r="5574" spans="19:19" ht="15.75">
      <c r="S5574" s="1"/>
    </row>
    <row r="5575" spans="19:19" ht="15.75">
      <c r="S5575" s="1"/>
    </row>
    <row r="5576" spans="19:19" ht="15.75">
      <c r="S5576" s="1"/>
    </row>
    <row r="5577" spans="19:19" ht="15.75">
      <c r="S5577" s="1"/>
    </row>
    <row r="5578" spans="19:19" ht="15.75">
      <c r="S5578" s="1"/>
    </row>
    <row r="5579" spans="19:19" ht="15.75">
      <c r="S5579" s="1"/>
    </row>
    <row r="5580" spans="19:19" ht="15.75">
      <c r="S5580" s="1"/>
    </row>
    <row r="5581" spans="19:19" ht="15.75">
      <c r="S5581" s="1"/>
    </row>
    <row r="5582" spans="19:19" ht="15.75">
      <c r="S5582" s="1"/>
    </row>
    <row r="5583" spans="19:19" ht="15.75">
      <c r="S5583" s="1"/>
    </row>
    <row r="5584" spans="19:19" ht="15.75">
      <c r="S5584" s="1"/>
    </row>
    <row r="5585" spans="19:19" ht="15.75">
      <c r="S5585" s="1"/>
    </row>
    <row r="5586" spans="19:19" ht="15.75">
      <c r="S5586" s="1"/>
    </row>
    <row r="5587" spans="19:19" ht="15.75">
      <c r="S5587" s="1"/>
    </row>
    <row r="5588" spans="19:19" ht="15.75">
      <c r="S5588" s="1"/>
    </row>
    <row r="5589" spans="19:19" ht="15.75">
      <c r="S5589" s="1"/>
    </row>
    <row r="5590" spans="19:19" ht="15.75">
      <c r="S5590" s="1"/>
    </row>
    <row r="5591" spans="19:19" ht="15.75">
      <c r="S5591" s="1"/>
    </row>
    <row r="5592" spans="19:19" ht="15.75">
      <c r="S5592" s="1"/>
    </row>
    <row r="5593" spans="19:19" ht="15.75">
      <c r="S5593" s="1"/>
    </row>
    <row r="5594" spans="19:19" ht="15.75">
      <c r="S5594" s="1"/>
    </row>
    <row r="5595" spans="19:19" ht="15.75">
      <c r="S5595" s="1"/>
    </row>
    <row r="5596" spans="19:19" ht="15.75">
      <c r="S5596" s="1"/>
    </row>
    <row r="5597" spans="19:19" ht="15.75">
      <c r="S5597" s="1"/>
    </row>
    <row r="5598" spans="19:19" ht="15.75">
      <c r="S5598" s="1"/>
    </row>
    <row r="5599" spans="19:19" ht="15.75">
      <c r="S5599" s="1"/>
    </row>
    <row r="5600" spans="19:19" ht="15.75">
      <c r="S5600" s="1"/>
    </row>
    <row r="5601" spans="19:19" ht="15.75">
      <c r="S5601" s="1"/>
    </row>
    <row r="5602" spans="19:19" ht="15.75">
      <c r="S5602" s="1"/>
    </row>
    <row r="5603" spans="19:19" ht="15.75">
      <c r="S5603" s="1"/>
    </row>
    <row r="5604" spans="19:19" ht="15.75">
      <c r="S5604" s="1"/>
    </row>
    <row r="5605" spans="19:19" ht="15.75">
      <c r="S5605" s="1"/>
    </row>
    <row r="5606" spans="19:19" ht="15.75">
      <c r="S5606" s="1"/>
    </row>
    <row r="5607" spans="19:19" ht="15.75">
      <c r="S5607" s="1"/>
    </row>
    <row r="5608" spans="19:19" ht="15.75">
      <c r="S5608" s="1"/>
    </row>
    <row r="5609" spans="19:19" ht="15.75">
      <c r="S5609" s="1"/>
    </row>
    <row r="5610" spans="19:19" ht="15.75">
      <c r="S5610" s="1"/>
    </row>
    <row r="5611" spans="19:19" ht="15.75">
      <c r="S5611" s="1"/>
    </row>
    <row r="5612" spans="19:19" ht="15.75">
      <c r="S5612" s="1"/>
    </row>
    <row r="5613" spans="19:19" ht="15.75">
      <c r="S5613" s="1"/>
    </row>
    <row r="5614" spans="19:19" ht="15.75">
      <c r="S5614" s="1"/>
    </row>
    <row r="5615" spans="19:19" ht="15.75">
      <c r="S5615" s="1"/>
    </row>
    <row r="5616" spans="19:19" ht="15.75">
      <c r="S5616" s="1"/>
    </row>
    <row r="5617" spans="19:19" ht="15.75">
      <c r="S5617" s="1"/>
    </row>
    <row r="5618" spans="19:19" ht="15.75">
      <c r="S5618" s="1"/>
    </row>
    <row r="5619" spans="19:19" ht="15.75">
      <c r="S5619" s="1"/>
    </row>
    <row r="5620" spans="19:19" ht="15.75">
      <c r="S5620" s="1"/>
    </row>
    <row r="5621" spans="19:19" ht="15.75">
      <c r="S5621" s="1"/>
    </row>
    <row r="5622" spans="19:19" ht="15.75">
      <c r="S5622" s="1"/>
    </row>
    <row r="5623" spans="19:19" ht="15.75">
      <c r="S5623" s="1"/>
    </row>
    <row r="5624" spans="19:19" ht="15.75">
      <c r="S5624" s="1"/>
    </row>
    <row r="5625" spans="19:19" ht="15.75">
      <c r="S5625" s="1"/>
    </row>
    <row r="5626" spans="19:19" ht="15.75">
      <c r="S5626" s="1"/>
    </row>
    <row r="5627" spans="19:19" ht="15.75">
      <c r="S5627" s="1"/>
    </row>
    <row r="5628" spans="19:19" ht="15.75">
      <c r="S5628" s="1"/>
    </row>
    <row r="5629" spans="19:19" ht="15.75">
      <c r="S5629" s="1"/>
    </row>
    <row r="5630" spans="19:19" ht="15.75">
      <c r="S5630" s="1"/>
    </row>
    <row r="5631" spans="19:19" ht="15.75">
      <c r="S5631" s="1"/>
    </row>
    <row r="5632" spans="19:19" ht="15.75">
      <c r="S5632" s="1"/>
    </row>
    <row r="5633" spans="19:19" ht="15.75">
      <c r="S5633" s="1"/>
    </row>
    <row r="5634" spans="19:19" ht="15.75">
      <c r="S5634" s="1"/>
    </row>
    <row r="5635" spans="19:19" ht="15.75">
      <c r="S5635" s="1"/>
    </row>
    <row r="5636" spans="19:19" ht="15.75">
      <c r="S5636" s="1"/>
    </row>
    <row r="5637" spans="19:19" ht="15.75">
      <c r="S5637" s="1"/>
    </row>
    <row r="5638" spans="19:19" ht="15.75">
      <c r="S5638" s="1"/>
    </row>
    <row r="5639" spans="19:19" ht="15.75">
      <c r="S5639" s="1"/>
    </row>
    <row r="5640" spans="19:19" ht="15.75">
      <c r="S5640" s="1"/>
    </row>
    <row r="5641" spans="19:19" ht="15.75">
      <c r="S5641" s="1"/>
    </row>
    <row r="5642" spans="19:19" ht="15.75">
      <c r="S5642" s="1"/>
    </row>
    <row r="5643" spans="19:19" ht="15.75">
      <c r="S5643" s="1"/>
    </row>
    <row r="5644" spans="19:19" ht="15.75">
      <c r="S5644" s="1"/>
    </row>
    <row r="5645" spans="19:19" ht="15.75">
      <c r="S5645" s="1"/>
    </row>
    <row r="5646" spans="19:19" ht="15.75">
      <c r="S5646" s="1"/>
    </row>
    <row r="5647" spans="19:19" ht="15.75">
      <c r="S5647" s="1"/>
    </row>
    <row r="5648" spans="19:19" ht="15.75">
      <c r="S5648" s="1"/>
    </row>
    <row r="5649" spans="19:19" ht="15.75">
      <c r="S5649" s="1"/>
    </row>
    <row r="5650" spans="19:19" ht="15.75">
      <c r="S5650" s="1"/>
    </row>
    <row r="5651" spans="19:19" ht="15.75">
      <c r="S5651" s="1"/>
    </row>
    <row r="5652" spans="19:19" ht="15.75">
      <c r="S5652" s="1"/>
    </row>
    <row r="5653" spans="19:19" ht="15.75">
      <c r="S5653" s="1"/>
    </row>
    <row r="5654" spans="19:19" ht="15.75">
      <c r="S5654" s="1"/>
    </row>
    <row r="5655" spans="19:19" ht="15.75">
      <c r="S5655" s="1"/>
    </row>
    <row r="5656" spans="19:19" ht="15.75">
      <c r="S5656" s="1"/>
    </row>
    <row r="5657" spans="19:19" ht="15.75">
      <c r="S5657" s="1"/>
    </row>
    <row r="5658" spans="19:19" ht="15.75">
      <c r="S5658" s="1"/>
    </row>
    <row r="5659" spans="19:19" ht="15.75">
      <c r="S5659" s="1"/>
    </row>
    <row r="5660" spans="19:19" ht="15.75">
      <c r="S5660" s="1"/>
    </row>
    <row r="5661" spans="19:19" ht="15.75">
      <c r="S5661" s="1"/>
    </row>
    <row r="5662" spans="19:19" ht="15.75">
      <c r="S5662" s="1"/>
    </row>
    <row r="5663" spans="19:19" ht="15.75">
      <c r="S5663" s="1"/>
    </row>
    <row r="5664" spans="19:19" ht="15.75">
      <c r="S5664" s="1"/>
    </row>
    <row r="5665" spans="19:19" ht="15.75">
      <c r="S5665" s="1"/>
    </row>
    <row r="5666" spans="19:19" ht="15.75">
      <c r="S5666" s="1"/>
    </row>
    <row r="5667" spans="19:19" ht="15.75">
      <c r="S5667" s="1"/>
    </row>
    <row r="5668" spans="19:19" ht="15.75">
      <c r="S5668" s="1"/>
    </row>
    <row r="5669" spans="19:19" ht="15.75">
      <c r="S5669" s="1"/>
    </row>
    <row r="5670" spans="19:19" ht="15.75">
      <c r="S5670" s="1"/>
    </row>
    <row r="5671" spans="19:19" ht="15.75">
      <c r="S5671" s="1"/>
    </row>
    <row r="5672" spans="19:19" ht="15.75">
      <c r="S5672" s="1"/>
    </row>
    <row r="5673" spans="19:19" ht="15.75">
      <c r="S5673" s="1"/>
    </row>
    <row r="5674" spans="19:19" ht="15.75">
      <c r="S5674" s="1"/>
    </row>
    <row r="5675" spans="19:19" ht="15.75">
      <c r="S5675" s="1"/>
    </row>
    <row r="5676" spans="19:19" ht="15.75">
      <c r="S5676" s="1"/>
    </row>
    <row r="5677" spans="19:19" ht="15.75">
      <c r="S5677" s="1"/>
    </row>
    <row r="5678" spans="19:19" ht="15.75">
      <c r="S5678" s="1"/>
    </row>
    <row r="5679" spans="19:19" ht="15.75">
      <c r="S5679" s="1"/>
    </row>
    <row r="5680" spans="19:19" ht="15.75">
      <c r="S5680" s="1"/>
    </row>
    <row r="5681" spans="19:19" ht="15.75">
      <c r="S5681" s="1"/>
    </row>
    <row r="5682" spans="19:19" ht="15.75">
      <c r="S5682" s="1"/>
    </row>
    <row r="5683" spans="19:19" ht="15.75">
      <c r="S5683" s="1"/>
    </row>
    <row r="5684" spans="19:19" ht="15.75">
      <c r="S5684" s="1"/>
    </row>
    <row r="5685" spans="19:19" ht="15.75">
      <c r="S5685" s="1"/>
    </row>
    <row r="5686" spans="19:19" ht="15.75">
      <c r="S5686" s="1"/>
    </row>
    <row r="5687" spans="19:19" ht="15.75">
      <c r="S5687" s="1"/>
    </row>
    <row r="5688" spans="19:19" ht="15.75">
      <c r="S5688" s="1"/>
    </row>
    <row r="5689" spans="19:19" ht="15.75">
      <c r="S5689" s="1"/>
    </row>
    <row r="5690" spans="19:19" ht="15.75">
      <c r="S5690" s="1"/>
    </row>
    <row r="5691" spans="19:19" ht="15.75">
      <c r="S5691" s="1"/>
    </row>
    <row r="5692" spans="19:19" ht="15.75">
      <c r="S5692" s="1"/>
    </row>
    <row r="5693" spans="19:19" ht="15.75">
      <c r="S5693" s="1"/>
    </row>
    <row r="5694" spans="19:19" ht="15.75">
      <c r="S5694" s="1"/>
    </row>
    <row r="5695" spans="19:19" ht="15.75">
      <c r="S5695" s="1"/>
    </row>
    <row r="5696" spans="19:19" ht="15.75">
      <c r="S5696" s="1"/>
    </row>
    <row r="5697" spans="19:19" ht="15.75">
      <c r="S5697" s="1"/>
    </row>
    <row r="5698" spans="19:19" ht="15.75">
      <c r="S5698" s="1"/>
    </row>
    <row r="5699" spans="19:19" ht="15.75">
      <c r="S5699" s="1"/>
    </row>
    <row r="5700" spans="19:19" ht="15.75">
      <c r="S5700" s="1"/>
    </row>
    <row r="5701" spans="19:19" ht="15.75">
      <c r="S5701" s="1"/>
    </row>
    <row r="5702" spans="19:19" ht="15.75">
      <c r="S5702" s="1"/>
    </row>
    <row r="5703" spans="19:19" ht="15.75">
      <c r="S5703" s="1"/>
    </row>
    <row r="5704" spans="19:19" ht="15.75">
      <c r="S5704" s="1"/>
    </row>
    <row r="5705" spans="19:19" ht="15.75">
      <c r="S5705" s="1"/>
    </row>
    <row r="5706" spans="19:19" ht="15.75">
      <c r="S5706" s="1"/>
    </row>
    <row r="5707" spans="19:19" ht="15.75">
      <c r="S5707" s="1"/>
    </row>
    <row r="5708" spans="19:19" ht="15.75">
      <c r="S5708" s="1"/>
    </row>
    <row r="5709" spans="19:19" ht="15.75">
      <c r="S5709" s="1"/>
    </row>
    <row r="5710" spans="19:19" ht="15.75">
      <c r="S5710" s="1"/>
    </row>
    <row r="5711" spans="19:19" ht="15.75">
      <c r="S5711" s="1"/>
    </row>
    <row r="5712" spans="19:19" ht="15.75">
      <c r="S5712" s="1"/>
    </row>
    <row r="5713" spans="19:19" ht="15.75">
      <c r="S5713" s="1"/>
    </row>
    <row r="5714" spans="19:19" ht="15.75">
      <c r="S5714" s="1"/>
    </row>
    <row r="5715" spans="19:19" ht="15.75">
      <c r="S5715" s="1"/>
    </row>
    <row r="5716" spans="19:19" ht="15.75">
      <c r="S5716" s="1"/>
    </row>
    <row r="5717" spans="19:19" ht="15.75">
      <c r="S5717" s="1"/>
    </row>
    <row r="5718" spans="19:19" ht="15.75">
      <c r="S5718" s="1"/>
    </row>
    <row r="5719" spans="19:19" ht="15.75">
      <c r="S5719" s="1"/>
    </row>
    <row r="5720" spans="19:19" ht="15.75">
      <c r="S5720" s="1"/>
    </row>
    <row r="5721" spans="19:19" ht="15.75">
      <c r="S5721" s="1"/>
    </row>
    <row r="5722" spans="19:19" ht="15.75">
      <c r="S5722" s="1"/>
    </row>
    <row r="5723" spans="19:19" ht="15.75">
      <c r="S5723" s="1"/>
    </row>
    <row r="5724" spans="19:19" ht="15.75">
      <c r="S5724" s="1"/>
    </row>
    <row r="5725" spans="19:19" ht="15.75">
      <c r="S5725" s="1"/>
    </row>
    <row r="5726" spans="19:19" ht="15.75">
      <c r="S5726" s="1"/>
    </row>
    <row r="5727" spans="19:19" ht="15.75">
      <c r="S5727" s="1"/>
    </row>
    <row r="5728" spans="19:19" ht="15.75">
      <c r="S5728" s="1"/>
    </row>
    <row r="5729" spans="19:19" ht="15.75">
      <c r="S5729" s="1"/>
    </row>
    <row r="5730" spans="19:19" ht="15.75">
      <c r="S5730" s="1"/>
    </row>
    <row r="5731" spans="19:19" ht="15.75">
      <c r="S5731" s="1"/>
    </row>
    <row r="5732" spans="19:19" ht="15.75">
      <c r="S5732" s="1"/>
    </row>
    <row r="5733" spans="19:19" ht="15.75">
      <c r="S5733" s="1"/>
    </row>
    <row r="5734" spans="19:19" ht="15.75">
      <c r="S5734" s="1"/>
    </row>
    <row r="5735" spans="19:19" ht="15.75">
      <c r="S5735" s="1"/>
    </row>
    <row r="5736" spans="19:19" ht="15.75">
      <c r="S5736" s="1"/>
    </row>
    <row r="5737" spans="19:19" ht="15.75">
      <c r="S5737" s="1"/>
    </row>
    <row r="5738" spans="19:19" ht="15.75">
      <c r="S5738" s="1"/>
    </row>
    <row r="5739" spans="19:19" ht="15.75">
      <c r="S5739" s="1"/>
    </row>
    <row r="5740" spans="19:19" ht="15.75">
      <c r="S5740" s="1"/>
    </row>
    <row r="5741" spans="19:19" ht="15.75">
      <c r="S5741" s="1"/>
    </row>
    <row r="5742" spans="19:19" ht="15.75">
      <c r="S5742" s="1"/>
    </row>
    <row r="5743" spans="19:19" ht="15.75">
      <c r="S5743" s="1"/>
    </row>
    <row r="5744" spans="19:19" ht="15.75">
      <c r="S5744" s="1"/>
    </row>
    <row r="5745" spans="19:19" ht="15.75">
      <c r="S5745" s="1"/>
    </row>
    <row r="5746" spans="19:19" ht="15.75">
      <c r="S5746" s="1"/>
    </row>
    <row r="5747" spans="19:19" ht="15.75">
      <c r="S5747" s="1"/>
    </row>
    <row r="5748" spans="19:19" ht="15.75">
      <c r="S5748" s="1"/>
    </row>
    <row r="5749" spans="19:19" ht="15.75">
      <c r="S5749" s="1"/>
    </row>
    <row r="5750" spans="19:19" ht="15.75">
      <c r="S5750" s="1"/>
    </row>
    <row r="5751" spans="19:19" ht="15.75">
      <c r="S5751" s="1"/>
    </row>
    <row r="5752" spans="19:19" ht="15.75">
      <c r="S5752" s="1"/>
    </row>
    <row r="5753" spans="19:19" ht="15.75">
      <c r="S5753" s="1"/>
    </row>
    <row r="5754" spans="19:19" ht="15.75">
      <c r="S5754" s="1"/>
    </row>
    <row r="5755" spans="19:19" ht="15.75">
      <c r="S5755" s="1"/>
    </row>
    <row r="5756" spans="19:19" ht="15.75">
      <c r="S5756" s="1"/>
    </row>
    <row r="5757" spans="19:19" ht="15.75">
      <c r="S5757" s="1"/>
    </row>
    <row r="5758" spans="19:19" ht="15.75">
      <c r="S5758" s="1"/>
    </row>
    <row r="5759" spans="19:19" ht="15.75">
      <c r="S5759" s="1"/>
    </row>
    <row r="5760" spans="19:19" ht="15.75">
      <c r="S5760" s="1"/>
    </row>
    <row r="5761" spans="19:19" ht="15.75">
      <c r="S5761" s="1"/>
    </row>
    <row r="5762" spans="19:19" ht="15.75">
      <c r="S5762" s="1"/>
    </row>
    <row r="5763" spans="19:19" ht="15.75">
      <c r="S5763" s="1"/>
    </row>
    <row r="5764" spans="19:19" ht="15.75">
      <c r="S5764" s="1"/>
    </row>
    <row r="5765" spans="19:19" ht="15.75">
      <c r="S5765" s="1"/>
    </row>
    <row r="5766" spans="19:19" ht="15.75">
      <c r="S5766" s="1"/>
    </row>
    <row r="5767" spans="19:19" ht="15.75">
      <c r="S5767" s="1"/>
    </row>
    <row r="5768" spans="19:19" ht="15.75">
      <c r="S5768" s="1"/>
    </row>
    <row r="5769" spans="19:19" ht="15.75">
      <c r="S5769" s="1"/>
    </row>
    <row r="5770" spans="19:19" ht="15.75">
      <c r="S5770" s="1"/>
    </row>
    <row r="5771" spans="19:19" ht="15.75">
      <c r="S5771" s="1"/>
    </row>
    <row r="5772" spans="19:19" ht="15.75">
      <c r="S5772" s="1"/>
    </row>
    <row r="5773" spans="19:19" ht="15.75">
      <c r="S5773" s="1"/>
    </row>
    <row r="5774" spans="19:19" ht="15.75">
      <c r="S5774" s="1"/>
    </row>
    <row r="5775" spans="19:19" ht="15.75">
      <c r="S5775" s="1"/>
    </row>
    <row r="5776" spans="19:19" ht="15.75">
      <c r="S5776" s="1"/>
    </row>
    <row r="5777" spans="19:19" ht="15.75">
      <c r="S5777" s="1"/>
    </row>
    <row r="5778" spans="19:19" ht="15.75">
      <c r="S5778" s="1"/>
    </row>
    <row r="5779" spans="19:19" ht="15.75">
      <c r="S5779" s="1"/>
    </row>
    <row r="5780" spans="19:19" ht="15.75">
      <c r="S5780" s="1"/>
    </row>
    <row r="5781" spans="19:19" ht="15.75">
      <c r="S5781" s="1"/>
    </row>
    <row r="5782" spans="19:19" ht="15.75">
      <c r="S5782" s="1"/>
    </row>
    <row r="5783" spans="19:19" ht="15.75">
      <c r="S5783" s="1"/>
    </row>
    <row r="5784" spans="19:19" ht="15.75">
      <c r="S5784" s="1"/>
    </row>
    <row r="5785" spans="19:19" ht="15.75">
      <c r="S5785" s="1"/>
    </row>
    <row r="5786" spans="19:19" ht="15.75">
      <c r="S5786" s="1"/>
    </row>
    <row r="5787" spans="19:19" ht="15.75">
      <c r="S5787" s="1"/>
    </row>
    <row r="5788" spans="19:19" ht="15.75">
      <c r="S5788" s="1"/>
    </row>
    <row r="5789" spans="19:19" ht="15.75">
      <c r="S5789" s="1"/>
    </row>
    <row r="5790" spans="19:19" ht="15.75">
      <c r="S5790" s="1"/>
    </row>
    <row r="5791" spans="19:19" ht="15.75">
      <c r="S5791" s="1"/>
    </row>
    <row r="5792" spans="19:19" ht="15.75">
      <c r="S5792" s="1"/>
    </row>
    <row r="5793" spans="19:19" ht="15.75">
      <c r="S5793" s="1"/>
    </row>
    <row r="5794" spans="19:19" ht="15.75">
      <c r="S5794" s="1"/>
    </row>
    <row r="5795" spans="19:19" ht="15.75">
      <c r="S5795" s="1"/>
    </row>
    <row r="5796" spans="19:19" ht="15.75">
      <c r="S5796" s="1"/>
    </row>
    <row r="5797" spans="19:19" ht="15.75">
      <c r="S5797" s="1"/>
    </row>
    <row r="5798" spans="19:19" ht="15.75">
      <c r="S5798" s="1"/>
    </row>
    <row r="5799" spans="19:19" ht="15.75">
      <c r="S5799" s="1"/>
    </row>
    <row r="5800" spans="19:19" ht="15.75">
      <c r="S5800" s="1"/>
    </row>
    <row r="5801" spans="19:19" ht="15.75">
      <c r="S5801" s="1"/>
    </row>
    <row r="5802" spans="19:19" ht="15.75">
      <c r="S5802" s="1"/>
    </row>
    <row r="5803" spans="19:19" ht="15.75">
      <c r="S5803" s="1"/>
    </row>
    <row r="5804" spans="19:19" ht="15.75">
      <c r="S5804" s="1"/>
    </row>
    <row r="5805" spans="19:19" ht="15.75">
      <c r="S5805" s="1"/>
    </row>
    <row r="5806" spans="19:19" ht="15.75">
      <c r="S5806" s="1"/>
    </row>
    <row r="5807" spans="19:19" ht="15.75">
      <c r="S5807" s="1"/>
    </row>
    <row r="5808" spans="19:19" ht="15.75">
      <c r="S5808" s="1"/>
    </row>
    <row r="5809" spans="19:19" ht="15.75">
      <c r="S5809" s="1"/>
    </row>
    <row r="5810" spans="19:19" ht="15.75">
      <c r="S5810" s="1"/>
    </row>
    <row r="5811" spans="19:19" ht="15.75">
      <c r="S5811" s="1"/>
    </row>
    <row r="5812" spans="19:19" ht="15.75">
      <c r="S5812" s="1"/>
    </row>
    <row r="5813" spans="19:19" ht="15.75">
      <c r="S5813" s="1"/>
    </row>
    <row r="5814" spans="19:19" ht="15.75">
      <c r="S5814" s="1"/>
    </row>
    <row r="5815" spans="19:19" ht="15.75">
      <c r="S5815" s="1"/>
    </row>
    <row r="5816" spans="19:19" ht="15.75">
      <c r="S5816" s="1"/>
    </row>
    <row r="5817" spans="19:19" ht="15.75">
      <c r="S5817" s="1"/>
    </row>
    <row r="5818" spans="19:19" ht="15.75">
      <c r="S5818" s="1"/>
    </row>
    <row r="5819" spans="19:19" ht="15.75">
      <c r="S5819" s="1"/>
    </row>
    <row r="5820" spans="19:19" ht="15.75">
      <c r="S5820" s="1"/>
    </row>
    <row r="5821" spans="19:19" ht="15.75">
      <c r="S5821" s="1"/>
    </row>
    <row r="5822" spans="19:19" ht="15.75">
      <c r="S5822" s="1"/>
    </row>
    <row r="5823" spans="19:19" ht="15.75">
      <c r="S5823" s="1"/>
    </row>
    <row r="5824" spans="19:19" ht="15.75">
      <c r="S5824" s="1"/>
    </row>
    <row r="5825" spans="19:19" ht="15.75">
      <c r="S5825" s="1"/>
    </row>
    <row r="5826" spans="19:19" ht="15.75">
      <c r="S5826" s="1"/>
    </row>
    <row r="5827" spans="19:19" ht="15.75">
      <c r="S5827" s="1"/>
    </row>
    <row r="5828" spans="19:19" ht="15.75">
      <c r="S5828" s="1"/>
    </row>
    <row r="5829" spans="19:19" ht="15.75">
      <c r="S5829" s="1"/>
    </row>
    <row r="5830" spans="19:19" ht="15.75">
      <c r="S5830" s="1"/>
    </row>
    <row r="5831" spans="19:19" ht="15.75">
      <c r="S5831" s="1"/>
    </row>
    <row r="5832" spans="19:19" ht="15.75">
      <c r="S5832" s="1"/>
    </row>
    <row r="5833" spans="19:19" ht="15.75">
      <c r="S5833" s="1"/>
    </row>
    <row r="5834" spans="19:19" ht="15.75">
      <c r="S5834" s="1"/>
    </row>
    <row r="5835" spans="19:19" ht="15.75">
      <c r="S5835" s="1"/>
    </row>
    <row r="5836" spans="19:19" ht="15.75">
      <c r="S5836" s="1"/>
    </row>
    <row r="5837" spans="19:19" ht="15.75">
      <c r="S5837" s="1"/>
    </row>
    <row r="5838" spans="19:19" ht="15.75">
      <c r="S5838" s="1"/>
    </row>
    <row r="5839" spans="19:19" ht="15.75">
      <c r="S5839" s="1"/>
    </row>
    <row r="5840" spans="19:19" ht="15.75">
      <c r="S5840" s="1"/>
    </row>
    <row r="5841" spans="19:19" ht="15.75">
      <c r="S5841" s="1"/>
    </row>
    <row r="5842" spans="19:19" ht="15.75">
      <c r="S5842" s="1"/>
    </row>
    <row r="5843" spans="19:19" ht="15.75">
      <c r="S5843" s="1"/>
    </row>
    <row r="5844" spans="19:19" ht="15.75">
      <c r="S5844" s="1"/>
    </row>
    <row r="5845" spans="19:19" ht="15.75">
      <c r="S5845" s="1"/>
    </row>
    <row r="5846" spans="19:19" ht="15.75">
      <c r="S5846" s="1"/>
    </row>
    <row r="5847" spans="19:19" ht="15.75">
      <c r="S5847" s="1"/>
    </row>
    <row r="5848" spans="19:19" ht="15.75">
      <c r="S5848" s="1"/>
    </row>
    <row r="5849" spans="19:19" ht="15.75">
      <c r="S5849" s="1"/>
    </row>
    <row r="5850" spans="19:19" ht="15.75">
      <c r="S5850" s="1"/>
    </row>
    <row r="5851" spans="19:19" ht="15.75">
      <c r="S5851" s="1"/>
    </row>
    <row r="5852" spans="19:19" ht="15.75">
      <c r="S5852" s="1"/>
    </row>
    <row r="5853" spans="19:19" ht="15.75">
      <c r="S5853" s="1"/>
    </row>
    <row r="5854" spans="19:19" ht="15.75">
      <c r="S5854" s="1"/>
    </row>
    <row r="5855" spans="19:19" ht="15.75">
      <c r="S5855" s="1"/>
    </row>
    <row r="5856" spans="19:19" ht="15.75">
      <c r="S5856" s="1"/>
    </row>
    <row r="5857" spans="19:19" ht="15.75">
      <c r="S5857" s="1"/>
    </row>
    <row r="5858" spans="19:19" ht="15.75">
      <c r="S5858" s="1"/>
    </row>
    <row r="5859" spans="19:19" ht="15.75">
      <c r="S5859" s="1"/>
    </row>
    <row r="5860" spans="19:19" ht="15.75">
      <c r="S5860" s="1"/>
    </row>
    <row r="5861" spans="19:19" ht="15.75">
      <c r="S5861" s="1"/>
    </row>
    <row r="5862" spans="19:19" ht="15.75">
      <c r="S5862" s="1"/>
    </row>
    <row r="5863" spans="19:19" ht="15.75">
      <c r="S5863" s="1"/>
    </row>
    <row r="5864" spans="19:19" ht="15.75">
      <c r="S5864" s="1"/>
    </row>
    <row r="5865" spans="19:19" ht="15.75">
      <c r="S5865" s="1"/>
    </row>
    <row r="5866" spans="19:19" ht="15.75">
      <c r="S5866" s="1"/>
    </row>
    <row r="5867" spans="19:19" ht="15.75">
      <c r="S5867" s="1"/>
    </row>
    <row r="5868" spans="19:19" ht="15.75">
      <c r="S5868" s="1"/>
    </row>
    <row r="5869" spans="19:19" ht="15.75">
      <c r="S5869" s="1"/>
    </row>
    <row r="5870" spans="19:19" ht="15.75">
      <c r="S5870" s="1"/>
    </row>
    <row r="5871" spans="19:19" ht="15.75">
      <c r="S5871" s="1"/>
    </row>
    <row r="5872" spans="19:19" ht="15.75">
      <c r="S5872" s="1"/>
    </row>
    <row r="5873" spans="19:19" ht="15.75">
      <c r="S5873" s="1"/>
    </row>
    <row r="5874" spans="19:19" ht="15.75">
      <c r="S5874" s="1"/>
    </row>
    <row r="5875" spans="19:19" ht="15.75">
      <c r="S5875" s="1"/>
    </row>
    <row r="5876" spans="19:19" ht="15.75">
      <c r="S5876" s="1"/>
    </row>
    <row r="5877" spans="19:19" ht="15.75">
      <c r="S5877" s="1"/>
    </row>
    <row r="5878" spans="19:19" ht="15.75">
      <c r="S5878" s="1"/>
    </row>
    <row r="5879" spans="19:19" ht="15.75">
      <c r="S5879" s="1"/>
    </row>
    <row r="5880" spans="19:19" ht="15.75">
      <c r="S5880" s="1"/>
    </row>
    <row r="5881" spans="19:19" ht="15.75">
      <c r="S5881" s="1"/>
    </row>
    <row r="5882" spans="19:19" ht="15.75">
      <c r="S5882" s="1"/>
    </row>
    <row r="5883" spans="19:19" ht="15.75">
      <c r="S5883" s="1"/>
    </row>
    <row r="5884" spans="19:19" ht="15.75">
      <c r="S5884" s="1"/>
    </row>
    <row r="5885" spans="19:19" ht="15.75">
      <c r="S5885" s="1"/>
    </row>
    <row r="5886" spans="19:19" ht="15.75">
      <c r="S5886" s="1"/>
    </row>
    <row r="5887" spans="19:19" ht="15.75">
      <c r="S5887" s="1"/>
    </row>
    <row r="5888" spans="19:19" ht="15.75">
      <c r="S5888" s="1"/>
    </row>
    <row r="5889" spans="19:19" ht="15.75">
      <c r="S5889" s="1"/>
    </row>
    <row r="5890" spans="19:19" ht="15.75">
      <c r="S5890" s="1"/>
    </row>
    <row r="5891" spans="19:19" ht="15.75">
      <c r="S5891" s="1"/>
    </row>
    <row r="5892" spans="19:19" ht="15.75">
      <c r="S5892" s="1"/>
    </row>
    <row r="5893" spans="19:19" ht="15.75">
      <c r="S5893" s="1"/>
    </row>
    <row r="5894" spans="19:19" ht="15.75">
      <c r="S5894" s="1"/>
    </row>
    <row r="5895" spans="19:19" ht="15.75">
      <c r="S5895" s="1"/>
    </row>
    <row r="5896" spans="19:19" ht="15.75">
      <c r="S5896" s="1"/>
    </row>
    <row r="5897" spans="19:19" ht="15.75">
      <c r="S5897" s="1"/>
    </row>
    <row r="5898" spans="19:19" ht="15.75">
      <c r="S5898" s="1"/>
    </row>
    <row r="5899" spans="19:19" ht="15.75">
      <c r="S5899" s="1"/>
    </row>
    <row r="5900" spans="19:19" ht="15.75">
      <c r="S5900" s="1"/>
    </row>
    <row r="5901" spans="19:19" ht="15.75">
      <c r="S5901" s="1"/>
    </row>
    <row r="5902" spans="19:19" ht="15.75">
      <c r="S5902" s="1"/>
    </row>
    <row r="5903" spans="19:19" ht="15.75">
      <c r="S5903" s="1"/>
    </row>
    <row r="5904" spans="19:19" ht="15.75">
      <c r="S5904" s="1"/>
    </row>
    <row r="5905" spans="19:19" ht="15.75">
      <c r="S5905" s="1"/>
    </row>
    <row r="5906" spans="19:19" ht="15.75">
      <c r="S5906" s="1"/>
    </row>
    <row r="5907" spans="19:19" ht="15.75">
      <c r="S5907" s="1"/>
    </row>
    <row r="5908" spans="19:19" ht="15.75">
      <c r="S5908" s="1"/>
    </row>
    <row r="5909" spans="19:19" ht="15.75">
      <c r="S5909" s="1"/>
    </row>
    <row r="5910" spans="19:19" ht="15.75">
      <c r="S5910" s="1"/>
    </row>
    <row r="5911" spans="19:19" ht="15.75">
      <c r="S5911" s="1"/>
    </row>
    <row r="5912" spans="19:19" ht="15.75">
      <c r="S5912" s="1"/>
    </row>
    <row r="5913" spans="19:19" ht="15.75">
      <c r="S5913" s="1"/>
    </row>
    <row r="5914" spans="19:19" ht="15.75">
      <c r="S5914" s="1"/>
    </row>
    <row r="5915" spans="19:19" ht="15.75">
      <c r="S5915" s="1"/>
    </row>
    <row r="5916" spans="19:19" ht="15.75">
      <c r="S5916" s="1"/>
    </row>
    <row r="5917" spans="19:19" ht="15.75">
      <c r="S5917" s="1"/>
    </row>
    <row r="5918" spans="19:19" ht="15.75">
      <c r="S5918" s="1"/>
    </row>
    <row r="5919" spans="19:19" ht="15.75">
      <c r="S5919" s="1"/>
    </row>
    <row r="5920" spans="19:19" ht="15.75">
      <c r="S5920" s="1"/>
    </row>
    <row r="5921" spans="19:19" ht="15.75">
      <c r="S5921" s="1"/>
    </row>
    <row r="5922" spans="19:19" ht="15.75">
      <c r="S5922" s="1"/>
    </row>
    <row r="5923" spans="19:19" ht="15.75">
      <c r="S5923" s="1"/>
    </row>
    <row r="5924" spans="19:19" ht="15.75">
      <c r="S5924" s="1"/>
    </row>
    <row r="5925" spans="19:19" ht="15.75">
      <c r="S5925" s="1"/>
    </row>
    <row r="5926" spans="19:19" ht="15.75">
      <c r="S5926" s="1"/>
    </row>
    <row r="5927" spans="19:19" ht="15.75">
      <c r="S5927" s="1"/>
    </row>
    <row r="5928" spans="19:19" ht="15.75">
      <c r="S5928" s="1"/>
    </row>
    <row r="5929" spans="19:19" ht="15.75">
      <c r="S5929" s="1"/>
    </row>
    <row r="5930" spans="19:19" ht="15.75">
      <c r="S5930" s="1"/>
    </row>
    <row r="5931" spans="19:19" ht="15.75">
      <c r="S5931" s="1"/>
    </row>
    <row r="5932" spans="19:19" ht="15.75">
      <c r="S5932" s="1"/>
    </row>
    <row r="5933" spans="19:19" ht="15.75">
      <c r="S5933" s="1"/>
    </row>
    <row r="5934" spans="19:19" ht="15.75">
      <c r="S5934" s="1"/>
    </row>
    <row r="5935" spans="19:19" ht="15.75">
      <c r="S5935" s="1"/>
    </row>
    <row r="5936" spans="19:19" ht="15.75">
      <c r="S5936" s="1"/>
    </row>
    <row r="5937" spans="19:19" ht="15.75">
      <c r="S5937" s="1"/>
    </row>
    <row r="5938" spans="19:19" ht="15.75">
      <c r="S5938" s="1"/>
    </row>
    <row r="5939" spans="19:19" ht="15.75">
      <c r="S5939" s="1"/>
    </row>
    <row r="5940" spans="19:19" ht="15.75">
      <c r="S5940" s="1"/>
    </row>
    <row r="5941" spans="19:19" ht="15.75">
      <c r="S5941" s="1"/>
    </row>
    <row r="5942" spans="19:19" ht="15.75">
      <c r="S5942" s="1"/>
    </row>
    <row r="5943" spans="19:19" ht="15.75">
      <c r="S5943" s="1"/>
    </row>
    <row r="5944" spans="19:19" ht="15.75">
      <c r="S5944" s="1"/>
    </row>
    <row r="5945" spans="19:19" ht="15.75">
      <c r="S5945" s="1"/>
    </row>
    <row r="5946" spans="19:19" ht="15.75">
      <c r="S5946" s="1"/>
    </row>
    <row r="5947" spans="19:19" ht="15.75">
      <c r="S5947" s="1"/>
    </row>
    <row r="5948" spans="19:19" ht="15.75">
      <c r="S5948" s="1"/>
    </row>
    <row r="5949" spans="19:19" ht="15.75">
      <c r="S5949" s="1"/>
    </row>
    <row r="5950" spans="19:19" ht="15.75">
      <c r="S5950" s="1"/>
    </row>
    <row r="5951" spans="19:19" ht="15.75">
      <c r="S5951" s="1"/>
    </row>
    <row r="5952" spans="19:19" ht="15.75">
      <c r="S5952" s="1"/>
    </row>
    <row r="5953" spans="19:19" ht="15.75">
      <c r="S5953" s="1"/>
    </row>
    <row r="5954" spans="19:19" ht="15.75">
      <c r="S5954" s="1"/>
    </row>
    <row r="5955" spans="19:19" ht="15.75">
      <c r="S5955" s="1"/>
    </row>
    <row r="5956" spans="19:19" ht="15.75">
      <c r="S5956" s="1"/>
    </row>
    <row r="5957" spans="19:19" ht="15.75">
      <c r="S5957" s="1"/>
    </row>
    <row r="5958" spans="19:19" ht="15.75">
      <c r="S5958" s="1"/>
    </row>
    <row r="5959" spans="19:19" ht="15.75">
      <c r="S5959" s="1"/>
    </row>
    <row r="5960" spans="19:19" ht="15.75">
      <c r="S5960" s="1"/>
    </row>
    <row r="5961" spans="19:19" ht="15.75">
      <c r="S5961" s="1"/>
    </row>
    <row r="5962" spans="19:19" ht="15.75">
      <c r="S5962" s="1"/>
    </row>
    <row r="5963" spans="19:19" ht="15.75">
      <c r="S5963" s="1"/>
    </row>
    <row r="5964" spans="19:19" ht="15.75">
      <c r="S5964" s="1"/>
    </row>
    <row r="5965" spans="19:19" ht="15.75">
      <c r="S5965" s="1"/>
    </row>
    <row r="5966" spans="19:19" ht="15.75">
      <c r="S5966" s="1"/>
    </row>
    <row r="5967" spans="19:19" ht="15.75">
      <c r="S5967" s="1"/>
    </row>
    <row r="5968" spans="19:19" ht="15.75">
      <c r="S5968" s="1"/>
    </row>
    <row r="5969" spans="19:19" ht="15.75">
      <c r="S5969" s="1"/>
    </row>
    <row r="5970" spans="19:19" ht="15.75">
      <c r="S5970" s="1"/>
    </row>
    <row r="5971" spans="19:19" ht="15.75">
      <c r="S5971" s="1"/>
    </row>
    <row r="5972" spans="19:19" ht="15.75">
      <c r="S5972" s="1"/>
    </row>
    <row r="5973" spans="19:19" ht="15.75">
      <c r="S5973" s="1"/>
    </row>
    <row r="5974" spans="19:19" ht="15.75">
      <c r="S5974" s="1"/>
    </row>
    <row r="5975" spans="19:19" ht="15.75">
      <c r="S5975" s="1"/>
    </row>
    <row r="5976" spans="19:19" ht="15.75">
      <c r="S5976" s="1"/>
    </row>
    <row r="5977" spans="19:19" ht="15.75">
      <c r="S5977" s="1"/>
    </row>
    <row r="5978" spans="19:19" ht="15.75">
      <c r="S5978" s="1"/>
    </row>
    <row r="5979" spans="19:19" ht="15.75">
      <c r="S5979" s="1"/>
    </row>
    <row r="5980" spans="19:19" ht="15.75">
      <c r="S5980" s="1"/>
    </row>
    <row r="5981" spans="19:19" ht="15.75">
      <c r="S5981" s="1"/>
    </row>
    <row r="5982" spans="19:19" ht="15.75">
      <c r="S5982" s="1"/>
    </row>
    <row r="5983" spans="19:19" ht="15.75">
      <c r="S5983" s="1"/>
    </row>
    <row r="5984" spans="19:19" ht="15.75">
      <c r="S5984" s="1"/>
    </row>
    <row r="5985" spans="19:19" ht="15.75">
      <c r="S5985" s="1"/>
    </row>
    <row r="5986" spans="19:19" ht="15.75">
      <c r="S5986" s="1"/>
    </row>
    <row r="5987" spans="19:19" ht="15.75">
      <c r="S5987" s="1"/>
    </row>
    <row r="5988" spans="19:19" ht="15.75">
      <c r="S5988" s="1"/>
    </row>
    <row r="5989" spans="19:19" ht="15.75">
      <c r="S5989" s="1"/>
    </row>
    <row r="5990" spans="19:19" ht="15.75">
      <c r="S5990" s="1"/>
    </row>
    <row r="5991" spans="19:19" ht="15.75">
      <c r="S5991" s="1"/>
    </row>
    <row r="5992" spans="19:19" ht="15.75">
      <c r="S5992" s="1"/>
    </row>
    <row r="5993" spans="19:19" ht="15.75">
      <c r="S5993" s="1"/>
    </row>
    <row r="5994" spans="19:19" ht="15.75">
      <c r="S5994" s="1"/>
    </row>
    <row r="5995" spans="19:19" ht="15.75">
      <c r="S5995" s="1"/>
    </row>
    <row r="5996" spans="19:19" ht="15.75">
      <c r="S5996" s="1"/>
    </row>
    <row r="5997" spans="19:19" ht="15.75">
      <c r="S5997" s="1"/>
    </row>
    <row r="5998" spans="19:19" ht="15.75">
      <c r="S5998" s="1"/>
    </row>
    <row r="5999" spans="19:19" ht="15.75">
      <c r="S5999" s="1"/>
    </row>
    <row r="6000" spans="19:19" ht="15.75">
      <c r="S6000" s="1"/>
    </row>
    <row r="6001" spans="19:19" ht="15.75">
      <c r="S6001" s="1"/>
    </row>
    <row r="6002" spans="19:19" ht="15.75">
      <c r="S6002" s="1"/>
    </row>
    <row r="6003" spans="19:19" ht="15.75">
      <c r="S6003" s="1"/>
    </row>
    <row r="6004" spans="19:19" ht="15.75">
      <c r="S6004" s="1"/>
    </row>
    <row r="6005" spans="19:19" ht="15.75">
      <c r="S6005" s="1"/>
    </row>
    <row r="6006" spans="19:19" ht="15.75">
      <c r="S6006" s="1"/>
    </row>
    <row r="6007" spans="19:19" ht="15.75">
      <c r="S6007" s="1"/>
    </row>
    <row r="6008" spans="19:19" ht="15.75">
      <c r="S6008" s="1"/>
    </row>
    <row r="6009" spans="19:19" ht="15.75">
      <c r="S6009" s="1"/>
    </row>
    <row r="6010" spans="19:19" ht="15.75">
      <c r="S6010" s="1"/>
    </row>
    <row r="6011" spans="19:19" ht="15.75">
      <c r="S6011" s="1"/>
    </row>
    <row r="6012" spans="19:19" ht="15.75">
      <c r="S6012" s="1"/>
    </row>
    <row r="6013" spans="19:19" ht="15.75">
      <c r="S6013" s="1"/>
    </row>
    <row r="6014" spans="19:19" ht="15.75">
      <c r="S6014" s="1"/>
    </row>
    <row r="6015" spans="19:19" ht="15.75">
      <c r="S6015" s="1"/>
    </row>
    <row r="6016" spans="19:19" ht="15.75">
      <c r="S6016" s="1"/>
    </row>
    <row r="6017" spans="19:19" ht="15.75">
      <c r="S6017" s="1"/>
    </row>
    <row r="6018" spans="19:19" ht="15.75">
      <c r="S6018" s="1"/>
    </row>
    <row r="6019" spans="19:19" ht="15.75">
      <c r="S6019" s="1"/>
    </row>
    <row r="6020" spans="19:19" ht="15.75">
      <c r="S6020" s="1"/>
    </row>
    <row r="6021" spans="19:19" ht="15.75">
      <c r="S6021" s="1"/>
    </row>
    <row r="6022" spans="19:19" ht="15.75">
      <c r="S6022" s="1"/>
    </row>
    <row r="6023" spans="19:19" ht="15.75">
      <c r="S6023" s="1"/>
    </row>
    <row r="6024" spans="19:19" ht="15.75">
      <c r="S6024" s="1"/>
    </row>
    <row r="6025" spans="19:19" ht="15.75">
      <c r="S6025" s="1"/>
    </row>
    <row r="6026" spans="19:19" ht="15.75">
      <c r="S6026" s="1"/>
    </row>
    <row r="6027" spans="19:19" ht="15.75">
      <c r="S6027" s="1"/>
    </row>
    <row r="6028" spans="19:19" ht="15.75">
      <c r="S6028" s="1"/>
    </row>
    <row r="6029" spans="19:19" ht="15.75">
      <c r="S6029" s="1"/>
    </row>
    <row r="6030" spans="19:19" ht="15.75">
      <c r="S6030" s="1"/>
    </row>
    <row r="6031" spans="19:19" ht="15.75">
      <c r="S6031" s="1"/>
    </row>
    <row r="6032" spans="19:19" ht="15.75">
      <c r="S6032" s="1"/>
    </row>
    <row r="6033" spans="19:19" ht="15.75">
      <c r="S6033" s="1"/>
    </row>
    <row r="6034" spans="19:19" ht="15.75">
      <c r="S6034" s="1"/>
    </row>
    <row r="6035" spans="19:19" ht="15.75">
      <c r="S6035" s="1"/>
    </row>
    <row r="6036" spans="19:19" ht="15.75">
      <c r="S6036" s="1"/>
    </row>
    <row r="6037" spans="19:19" ht="15.75">
      <c r="S6037" s="1"/>
    </row>
    <row r="6038" spans="19:19" ht="15.75">
      <c r="S6038" s="1"/>
    </row>
    <row r="6039" spans="19:19" ht="15.75">
      <c r="S6039" s="1"/>
    </row>
    <row r="6040" spans="19:19" ht="15.75">
      <c r="S6040" s="1"/>
    </row>
    <row r="6041" spans="19:19" ht="15.75">
      <c r="S6041" s="1"/>
    </row>
    <row r="6042" spans="19:19" ht="15.75">
      <c r="S6042" s="1"/>
    </row>
    <row r="6043" spans="19:19" ht="15.75">
      <c r="S6043" s="1"/>
    </row>
    <row r="6044" spans="19:19" ht="15.75">
      <c r="S6044" s="1"/>
    </row>
    <row r="6045" spans="19:19" ht="15.75">
      <c r="S6045" s="1"/>
    </row>
    <row r="6046" spans="19:19" ht="15.75">
      <c r="S6046" s="1"/>
    </row>
    <row r="6047" spans="19:19" ht="15.75">
      <c r="S6047" s="1"/>
    </row>
    <row r="6048" spans="19:19" ht="15.75">
      <c r="S6048" s="1"/>
    </row>
    <row r="6049" spans="19:19" ht="15.75">
      <c r="S6049" s="1"/>
    </row>
    <row r="6050" spans="19:19" ht="15.75">
      <c r="S6050" s="1"/>
    </row>
    <row r="6051" spans="19:19" ht="15.75">
      <c r="S6051" s="1"/>
    </row>
    <row r="6052" spans="19:19" ht="15.75">
      <c r="S6052" s="1"/>
    </row>
    <row r="6053" spans="19:19" ht="15.75">
      <c r="S6053" s="1"/>
    </row>
    <row r="6054" spans="19:19" ht="15.75">
      <c r="S6054" s="1"/>
    </row>
    <row r="6055" spans="19:19" ht="15.75">
      <c r="S6055" s="1"/>
    </row>
    <row r="6056" spans="19:19" ht="15.75">
      <c r="S6056" s="1"/>
    </row>
    <row r="6057" spans="19:19" ht="15.75">
      <c r="S6057" s="1"/>
    </row>
    <row r="6058" spans="19:19" ht="15.75">
      <c r="S6058" s="1"/>
    </row>
    <row r="6059" spans="19:19" ht="15.75">
      <c r="S6059" s="1"/>
    </row>
    <row r="6060" spans="19:19" ht="15.75">
      <c r="S6060" s="1"/>
    </row>
    <row r="6061" spans="19:19" ht="15.75">
      <c r="S6061" s="1"/>
    </row>
    <row r="6062" spans="19:19" ht="15.75">
      <c r="S6062" s="1"/>
    </row>
    <row r="6063" spans="19:19" ht="15.75">
      <c r="S6063" s="1"/>
    </row>
    <row r="6064" spans="19:19" ht="15.75">
      <c r="S6064" s="1"/>
    </row>
    <row r="6065" spans="19:19" ht="15.75">
      <c r="S6065" s="1"/>
    </row>
    <row r="6066" spans="19:19" ht="15.75">
      <c r="S6066" s="1"/>
    </row>
    <row r="6067" spans="19:19" ht="15.75">
      <c r="S6067" s="1"/>
    </row>
    <row r="6068" spans="19:19" ht="15.75">
      <c r="S6068" s="1"/>
    </row>
    <row r="6069" spans="19:19" ht="15.75">
      <c r="S6069" s="1"/>
    </row>
    <row r="6070" spans="19:19" ht="15.75">
      <c r="S6070" s="1"/>
    </row>
    <row r="6071" spans="19:19" ht="15.75">
      <c r="S6071" s="1"/>
    </row>
    <row r="6072" spans="19:19" ht="15.75">
      <c r="S6072" s="1"/>
    </row>
    <row r="6073" spans="19:19" ht="15.75">
      <c r="S6073" s="1"/>
    </row>
    <row r="6074" spans="19:19" ht="15.75">
      <c r="S6074" s="1"/>
    </row>
    <row r="6075" spans="19:19" ht="15.75">
      <c r="S6075" s="1"/>
    </row>
    <row r="6076" spans="19:19" ht="15.75">
      <c r="S6076" s="1"/>
    </row>
    <row r="6077" spans="19:19" ht="15.75">
      <c r="S6077" s="1"/>
    </row>
    <row r="6078" spans="19:19" ht="15.75">
      <c r="S6078" s="1"/>
    </row>
    <row r="6079" spans="19:19" ht="15.75">
      <c r="S6079" s="1"/>
    </row>
    <row r="6080" spans="19:19" ht="15.75">
      <c r="S6080" s="1"/>
    </row>
    <row r="6081" spans="19:19" ht="15.75">
      <c r="S6081" s="1"/>
    </row>
    <row r="6082" spans="19:19" ht="15.75">
      <c r="S6082" s="1"/>
    </row>
    <row r="6083" spans="19:19" ht="15.75">
      <c r="S6083" s="1"/>
    </row>
    <row r="6084" spans="19:19" ht="15.75">
      <c r="S6084" s="1"/>
    </row>
    <row r="6085" spans="19:19" ht="15.75">
      <c r="S6085" s="1"/>
    </row>
    <row r="6086" spans="19:19" ht="15.75">
      <c r="S6086" s="1"/>
    </row>
    <row r="6087" spans="19:19" ht="15.75">
      <c r="S6087" s="1"/>
    </row>
    <row r="6088" spans="19:19" ht="15.75">
      <c r="S6088" s="1"/>
    </row>
    <row r="6089" spans="19:19" ht="15.75">
      <c r="S6089" s="1"/>
    </row>
    <row r="6090" spans="19:19" ht="15.75">
      <c r="S6090" s="1"/>
    </row>
    <row r="6091" spans="19:19" ht="15.75">
      <c r="S6091" s="1"/>
    </row>
    <row r="6092" spans="19:19" ht="15.75">
      <c r="S6092" s="1"/>
    </row>
    <row r="6093" spans="19:19" ht="15.75">
      <c r="S6093" s="1"/>
    </row>
    <row r="6094" spans="19:19" ht="15.75">
      <c r="S6094" s="1"/>
    </row>
    <row r="6095" spans="19:19" ht="15.75">
      <c r="S6095" s="1"/>
    </row>
    <row r="6096" spans="19:19" ht="15.75">
      <c r="S6096" s="1"/>
    </row>
    <row r="6097" spans="19:19" ht="15.75">
      <c r="S6097" s="1"/>
    </row>
    <row r="6098" spans="19:19" ht="15.75">
      <c r="S6098" s="1"/>
    </row>
    <row r="6099" spans="19:19" ht="15.75">
      <c r="S6099" s="1"/>
    </row>
    <row r="6100" spans="19:19" ht="15.75">
      <c r="S6100" s="1"/>
    </row>
    <row r="6101" spans="19:19" ht="15.75">
      <c r="S6101" s="1"/>
    </row>
    <row r="6102" spans="19:19" ht="15.75">
      <c r="S6102" s="1"/>
    </row>
    <row r="6103" spans="19:19" ht="15.75">
      <c r="S6103" s="1"/>
    </row>
    <row r="6104" spans="19:19" ht="15.75">
      <c r="S6104" s="1"/>
    </row>
    <row r="6105" spans="19:19" ht="15.75">
      <c r="S6105" s="1"/>
    </row>
    <row r="6106" spans="19:19" ht="15.75">
      <c r="S6106" s="1"/>
    </row>
    <row r="6107" spans="19:19" ht="15.75">
      <c r="S6107" s="1"/>
    </row>
    <row r="6108" spans="19:19" ht="15.75">
      <c r="S6108" s="1"/>
    </row>
    <row r="6109" spans="19:19" ht="15.75">
      <c r="S6109" s="1"/>
    </row>
    <row r="6110" spans="19:19" ht="15.75">
      <c r="S6110" s="1"/>
    </row>
    <row r="6111" spans="19:19" ht="15.75">
      <c r="S6111" s="1"/>
    </row>
    <row r="6112" spans="19:19" ht="15.75">
      <c r="S6112" s="1"/>
    </row>
    <row r="6113" spans="19:19" ht="15.75">
      <c r="S6113" s="1"/>
    </row>
    <row r="6114" spans="19:19" ht="15.75">
      <c r="S6114" s="1"/>
    </row>
    <row r="6115" spans="19:19" ht="15.75">
      <c r="S6115" s="1"/>
    </row>
    <row r="6116" spans="19:19" ht="15.75">
      <c r="S6116" s="1"/>
    </row>
    <row r="6117" spans="19:19" ht="15.75">
      <c r="S6117" s="1"/>
    </row>
    <row r="6118" spans="19:19" ht="15.75">
      <c r="S6118" s="1"/>
    </row>
    <row r="6119" spans="19:19" ht="15.75">
      <c r="S6119" s="1"/>
    </row>
    <row r="6120" spans="19:19" ht="15.75">
      <c r="S6120" s="1"/>
    </row>
    <row r="6121" spans="19:19" ht="15.75">
      <c r="S6121" s="1"/>
    </row>
    <row r="6122" spans="19:19" ht="15.75">
      <c r="S6122" s="1"/>
    </row>
    <row r="6123" spans="19:19" ht="15.75">
      <c r="S6123" s="1"/>
    </row>
    <row r="6124" spans="19:19" ht="15.75">
      <c r="S6124" s="1"/>
    </row>
    <row r="6125" spans="19:19" ht="15.75">
      <c r="S6125" s="1"/>
    </row>
    <row r="6126" spans="19:19" ht="15.75">
      <c r="S6126" s="1"/>
    </row>
    <row r="6127" spans="19:19" ht="15.75">
      <c r="S6127" s="1"/>
    </row>
    <row r="6128" spans="19:19" ht="15.75">
      <c r="S6128" s="1"/>
    </row>
    <row r="6129" spans="19:19" ht="15.75">
      <c r="S6129" s="1"/>
    </row>
    <row r="6130" spans="19:19" ht="15.75">
      <c r="S6130" s="1"/>
    </row>
    <row r="6131" spans="19:19" ht="15.75">
      <c r="S6131" s="1"/>
    </row>
    <row r="6132" spans="19:19" ht="15.75">
      <c r="S6132" s="1"/>
    </row>
    <row r="6133" spans="19:19" ht="15.75">
      <c r="S6133" s="1"/>
    </row>
    <row r="6134" spans="19:19" ht="15.75">
      <c r="S6134" s="1"/>
    </row>
    <row r="6135" spans="19:19" ht="15.75">
      <c r="S6135" s="1"/>
    </row>
    <row r="6136" spans="19:19" ht="15.75">
      <c r="S6136" s="1"/>
    </row>
    <row r="6137" spans="19:19" ht="15.75">
      <c r="S6137" s="1"/>
    </row>
    <row r="6138" spans="19:19" ht="15.75">
      <c r="S6138" s="1"/>
    </row>
    <row r="6139" spans="19:19" ht="15.75">
      <c r="S6139" s="1"/>
    </row>
    <row r="6140" spans="19:19" ht="15.75">
      <c r="S6140" s="1"/>
    </row>
    <row r="6141" spans="19:19" ht="15.75">
      <c r="S6141" s="1"/>
    </row>
    <row r="6142" spans="19:19" ht="15.75">
      <c r="S6142" s="1"/>
    </row>
    <row r="6143" spans="19:19" ht="15.75">
      <c r="S6143" s="1"/>
    </row>
    <row r="6144" spans="19:19" ht="15.75">
      <c r="S6144" s="1"/>
    </row>
    <row r="6145" spans="19:19" ht="15.75">
      <c r="S6145" s="1"/>
    </row>
    <row r="6146" spans="19:19" ht="15.75">
      <c r="S6146" s="1"/>
    </row>
    <row r="6147" spans="19:19" ht="15.75">
      <c r="S6147" s="1"/>
    </row>
    <row r="6148" spans="19:19" ht="15.75">
      <c r="S6148" s="1"/>
    </row>
    <row r="6149" spans="19:19" ht="15.75">
      <c r="S6149" s="1"/>
    </row>
    <row r="6150" spans="19:19" ht="15.75">
      <c r="S6150" s="1"/>
    </row>
    <row r="6151" spans="19:19" ht="15.75">
      <c r="S6151" s="1"/>
    </row>
    <row r="6152" spans="19:19" ht="15.75">
      <c r="S6152" s="1"/>
    </row>
    <row r="6153" spans="19:19" ht="15.75">
      <c r="S6153" s="1"/>
    </row>
    <row r="6154" spans="19:19" ht="15.75">
      <c r="S6154" s="1"/>
    </row>
    <row r="6155" spans="19:19" ht="15.75">
      <c r="S6155" s="1"/>
    </row>
    <row r="6156" spans="19:19" ht="15.75">
      <c r="S6156" s="1"/>
    </row>
    <row r="6157" spans="19:19" ht="15.75">
      <c r="S6157" s="1"/>
    </row>
    <row r="6158" spans="19:19" ht="15.75">
      <c r="S6158" s="1"/>
    </row>
    <row r="6159" spans="19:19" ht="15.75">
      <c r="S6159" s="1"/>
    </row>
    <row r="6160" spans="19:19" ht="15.75">
      <c r="S6160" s="1"/>
    </row>
    <row r="6161" spans="19:19" ht="15.75">
      <c r="S6161" s="1"/>
    </row>
    <row r="6162" spans="19:19" ht="15.75">
      <c r="S6162" s="1"/>
    </row>
    <row r="6163" spans="19:19" ht="15.75">
      <c r="S6163" s="1"/>
    </row>
    <row r="6164" spans="19:19" ht="15.75">
      <c r="S6164" s="1"/>
    </row>
    <row r="6165" spans="19:19" ht="15.75">
      <c r="S6165" s="1"/>
    </row>
    <row r="6166" spans="19:19" ht="15.75">
      <c r="S6166" s="1"/>
    </row>
    <row r="6167" spans="19:19" ht="15.75">
      <c r="S6167" s="1"/>
    </row>
    <row r="6168" spans="19:19" ht="15.75">
      <c r="S6168" s="1"/>
    </row>
    <row r="6169" spans="19:19" ht="15.75">
      <c r="S6169" s="1"/>
    </row>
    <row r="6170" spans="19:19" ht="15.75">
      <c r="S6170" s="1"/>
    </row>
    <row r="6171" spans="19:19" ht="15.75">
      <c r="S6171" s="1"/>
    </row>
    <row r="6172" spans="19:19" ht="15.75">
      <c r="S6172" s="1"/>
    </row>
    <row r="6173" spans="19:19" ht="15.75">
      <c r="S6173" s="1"/>
    </row>
    <row r="6174" spans="19:19" ht="15.75">
      <c r="S6174" s="1"/>
    </row>
    <row r="6175" spans="19:19" ht="15.75">
      <c r="S6175" s="1"/>
    </row>
    <row r="6176" spans="19:19" ht="15.75">
      <c r="S6176" s="1"/>
    </row>
    <row r="6177" spans="19:19" ht="15.75">
      <c r="S6177" s="1"/>
    </row>
    <row r="6178" spans="19:19" ht="15.75">
      <c r="S6178" s="1"/>
    </row>
    <row r="6179" spans="19:19" ht="15.75">
      <c r="S6179" s="1"/>
    </row>
    <row r="6180" spans="19:19" ht="15.75">
      <c r="S6180" s="1"/>
    </row>
    <row r="6181" spans="19:19" ht="15.75">
      <c r="S6181" s="1"/>
    </row>
    <row r="6182" spans="19:19" ht="15.75">
      <c r="S6182" s="1"/>
    </row>
    <row r="6183" spans="19:19" ht="15.75">
      <c r="S6183" s="1"/>
    </row>
    <row r="6184" spans="19:19" ht="15.75">
      <c r="S6184" s="1"/>
    </row>
    <row r="6185" spans="19:19" ht="15.75">
      <c r="S6185" s="1"/>
    </row>
    <row r="6186" spans="19:19" ht="15.75">
      <c r="S6186" s="1"/>
    </row>
    <row r="6187" spans="19:19" ht="15.75">
      <c r="S6187" s="1"/>
    </row>
    <row r="6188" spans="19:19" ht="15.75">
      <c r="S6188" s="1"/>
    </row>
    <row r="6189" spans="19:19" ht="15.75">
      <c r="S6189" s="1"/>
    </row>
    <row r="6190" spans="19:19" ht="15.75">
      <c r="S6190" s="1"/>
    </row>
    <row r="6191" spans="19:19" ht="15.75">
      <c r="S6191" s="1"/>
    </row>
    <row r="6192" spans="19:19" ht="15.75">
      <c r="S6192" s="1"/>
    </row>
    <row r="6193" spans="19:19" ht="15.75">
      <c r="S6193" s="1"/>
    </row>
    <row r="6194" spans="19:19" ht="15.75">
      <c r="S6194" s="1"/>
    </row>
    <row r="6195" spans="19:19" ht="15.75">
      <c r="S6195" s="1"/>
    </row>
    <row r="6196" spans="19:19" ht="15.75">
      <c r="S6196" s="1"/>
    </row>
    <row r="6197" spans="19:19" ht="15.75">
      <c r="S6197" s="1"/>
    </row>
    <row r="6198" spans="19:19" ht="15.75">
      <c r="S6198" s="1"/>
    </row>
    <row r="6199" spans="19:19" ht="15.75">
      <c r="S6199" s="1"/>
    </row>
    <row r="6200" spans="19:19" ht="15.75">
      <c r="S6200" s="1"/>
    </row>
    <row r="6201" spans="19:19" ht="15.75">
      <c r="S6201" s="1"/>
    </row>
    <row r="6202" spans="19:19" ht="15.75">
      <c r="S6202" s="1"/>
    </row>
    <row r="6203" spans="19:19" ht="15.75">
      <c r="S6203" s="1"/>
    </row>
    <row r="6204" spans="19:19" ht="15.75">
      <c r="S6204" s="1"/>
    </row>
    <row r="6205" spans="19:19" ht="15.75">
      <c r="S6205" s="1"/>
    </row>
    <row r="6206" spans="19:19" ht="15.75">
      <c r="S6206" s="1"/>
    </row>
    <row r="6207" spans="19:19" ht="15.75">
      <c r="S6207" s="1"/>
    </row>
    <row r="6208" spans="19:19" ht="15.75">
      <c r="S6208" s="1"/>
    </row>
    <row r="6209" spans="19:19" ht="15.75">
      <c r="S6209" s="1"/>
    </row>
    <row r="6210" spans="19:19" ht="15.75">
      <c r="S6210" s="1"/>
    </row>
    <row r="6211" spans="19:19" ht="15.75">
      <c r="S6211" s="1"/>
    </row>
    <row r="6212" spans="19:19" ht="15.75">
      <c r="S6212" s="1"/>
    </row>
    <row r="6213" spans="19:19" ht="15.75">
      <c r="S6213" s="1"/>
    </row>
    <row r="6214" spans="19:19" ht="15.75">
      <c r="S6214" s="1"/>
    </row>
    <row r="6215" spans="19:19" ht="15.75">
      <c r="S6215" s="1"/>
    </row>
    <row r="6216" spans="19:19" ht="15.75">
      <c r="S6216" s="1"/>
    </row>
    <row r="6217" spans="19:19" ht="15.75">
      <c r="S6217" s="1"/>
    </row>
    <row r="6218" spans="19:19" ht="15.75">
      <c r="S6218" s="1"/>
    </row>
    <row r="6219" spans="19:19" ht="15.75">
      <c r="S6219" s="1"/>
    </row>
    <row r="6220" spans="19:19" ht="15.75">
      <c r="S6220" s="1"/>
    </row>
    <row r="6221" spans="19:19" ht="15.75">
      <c r="S6221" s="1"/>
    </row>
    <row r="6222" spans="19:19" ht="15.75">
      <c r="S6222" s="1"/>
    </row>
    <row r="6223" spans="19:19" ht="15.75">
      <c r="S6223" s="1"/>
    </row>
    <row r="6224" spans="19:19" ht="15.75">
      <c r="S6224" s="1"/>
    </row>
    <row r="6225" spans="19:19" ht="15.75">
      <c r="S6225" s="1"/>
    </row>
    <row r="6226" spans="19:19" ht="15.75">
      <c r="S6226" s="1"/>
    </row>
    <row r="6227" spans="19:19" ht="15.75">
      <c r="S6227" s="1"/>
    </row>
    <row r="6228" spans="19:19" ht="15.75">
      <c r="S6228" s="1"/>
    </row>
    <row r="6229" spans="19:19" ht="15.75">
      <c r="S6229" s="1"/>
    </row>
    <row r="6230" spans="19:19" ht="15.75">
      <c r="S6230" s="1"/>
    </row>
    <row r="6231" spans="19:19" ht="15.75">
      <c r="S6231" s="1"/>
    </row>
    <row r="6232" spans="19:19" ht="15.75">
      <c r="S6232" s="1"/>
    </row>
    <row r="6233" spans="19:19" ht="15.75">
      <c r="S6233" s="1"/>
    </row>
    <row r="6234" spans="19:19" ht="15.75">
      <c r="S6234" s="1"/>
    </row>
    <row r="6235" spans="19:19" ht="15.75">
      <c r="S6235" s="1"/>
    </row>
    <row r="6236" spans="19:19" ht="15.75">
      <c r="S6236" s="1"/>
    </row>
    <row r="6237" spans="19:19" ht="15.75">
      <c r="S6237" s="1"/>
    </row>
    <row r="6238" spans="19:19" ht="15.75">
      <c r="S6238" s="1"/>
    </row>
    <row r="6239" spans="19:19" ht="15.75">
      <c r="S6239" s="1"/>
    </row>
    <row r="6240" spans="19:19" ht="15.75">
      <c r="S6240" s="1"/>
    </row>
    <row r="6241" spans="19:19" ht="15.75">
      <c r="S6241" s="1"/>
    </row>
    <row r="6242" spans="19:19" ht="15.75">
      <c r="S6242" s="1"/>
    </row>
    <row r="6243" spans="19:19" ht="15.75">
      <c r="S6243" s="1"/>
    </row>
    <row r="6244" spans="19:19" ht="15.75">
      <c r="S6244" s="1"/>
    </row>
    <row r="6245" spans="19:19" ht="15.75">
      <c r="S6245" s="1"/>
    </row>
    <row r="6246" spans="19:19" ht="15.75">
      <c r="S6246" s="1"/>
    </row>
    <row r="6247" spans="19:19" ht="15.75">
      <c r="S6247" s="1"/>
    </row>
    <row r="6248" spans="19:19" ht="15.75">
      <c r="S6248" s="1"/>
    </row>
    <row r="6249" spans="19:19" ht="15.75">
      <c r="S6249" s="1"/>
    </row>
    <row r="6250" spans="19:19" ht="15.75">
      <c r="S6250" s="1"/>
    </row>
    <row r="6251" spans="19:19" ht="15.75">
      <c r="S6251" s="1"/>
    </row>
    <row r="6252" spans="19:19" ht="15.75">
      <c r="S6252" s="1"/>
    </row>
    <row r="6253" spans="19:19" ht="15.75">
      <c r="S6253" s="1"/>
    </row>
    <row r="6254" spans="19:19" ht="15.75">
      <c r="S6254" s="1"/>
    </row>
    <row r="6255" spans="19:19" ht="15.75">
      <c r="S6255" s="1"/>
    </row>
    <row r="6256" spans="19:19" ht="15.75">
      <c r="S6256" s="1"/>
    </row>
    <row r="6257" spans="19:19" ht="15.75">
      <c r="S6257" s="1"/>
    </row>
    <row r="6258" spans="19:19" ht="15.75">
      <c r="S6258" s="1"/>
    </row>
    <row r="6259" spans="19:19" ht="15.75">
      <c r="S6259" s="1"/>
    </row>
    <row r="6260" spans="19:19" ht="15.75">
      <c r="S6260" s="1"/>
    </row>
    <row r="6261" spans="19:19" ht="15.75">
      <c r="S6261" s="1"/>
    </row>
    <row r="6262" spans="19:19" ht="15.75">
      <c r="S6262" s="1"/>
    </row>
    <row r="6263" spans="19:19" ht="15.75">
      <c r="S6263" s="1"/>
    </row>
    <row r="6264" spans="19:19" ht="15.75">
      <c r="S6264" s="1"/>
    </row>
    <row r="6265" spans="19:19" ht="15.75">
      <c r="S6265" s="1"/>
    </row>
    <row r="6266" spans="19:19" ht="15.75">
      <c r="S6266" s="1"/>
    </row>
    <row r="6267" spans="19:19" ht="15.75">
      <c r="S6267" s="1"/>
    </row>
    <row r="6268" spans="19:19" ht="15.75">
      <c r="S6268" s="1"/>
    </row>
    <row r="6269" spans="19:19" ht="15.75">
      <c r="S6269" s="1"/>
    </row>
    <row r="6270" spans="19:19" ht="15.75">
      <c r="S6270" s="1"/>
    </row>
    <row r="6271" spans="19:19" ht="15.75">
      <c r="S6271" s="1"/>
    </row>
    <row r="6272" spans="19:19" ht="15.75">
      <c r="S6272" s="1"/>
    </row>
    <row r="6273" spans="19:19" ht="15.75">
      <c r="S6273" s="1"/>
    </row>
    <row r="6274" spans="19:19" ht="15.75">
      <c r="S6274" s="1"/>
    </row>
    <row r="6275" spans="19:19" ht="15.75">
      <c r="S6275" s="1"/>
    </row>
    <row r="6276" spans="19:19" ht="15.75">
      <c r="S6276" s="1"/>
    </row>
    <row r="6277" spans="19:19" ht="15.75">
      <c r="S6277" s="1"/>
    </row>
    <row r="6278" spans="19:19" ht="15.75">
      <c r="S6278" s="1"/>
    </row>
    <row r="6279" spans="19:19" ht="15.75">
      <c r="S6279" s="1"/>
    </row>
    <row r="6280" spans="19:19" ht="15.75">
      <c r="S6280" s="1"/>
    </row>
    <row r="6281" spans="19:19" ht="15.75">
      <c r="S6281" s="1"/>
    </row>
    <row r="6282" spans="19:19" ht="15.75">
      <c r="S6282" s="1"/>
    </row>
    <row r="6283" spans="19:19" ht="15.75">
      <c r="S6283" s="1"/>
    </row>
    <row r="6284" spans="19:19" ht="15.75">
      <c r="S6284" s="1"/>
    </row>
    <row r="6285" spans="19:19" ht="15.75">
      <c r="S6285" s="1"/>
    </row>
    <row r="6286" spans="19:19" ht="15.75">
      <c r="S6286" s="1"/>
    </row>
    <row r="6287" spans="19:19" ht="15.75">
      <c r="S6287" s="1"/>
    </row>
    <row r="6288" spans="19:19" ht="15.75">
      <c r="S6288" s="1"/>
    </row>
    <row r="6289" spans="19:19" ht="15.75">
      <c r="S6289" s="1"/>
    </row>
    <row r="6290" spans="19:19" ht="15.75">
      <c r="S6290" s="1"/>
    </row>
    <row r="6291" spans="19:19" ht="15.75">
      <c r="S6291" s="1"/>
    </row>
    <row r="6292" spans="19:19" ht="15.75">
      <c r="S6292" s="1"/>
    </row>
    <row r="6293" spans="19:19" ht="15.75">
      <c r="S6293" s="1"/>
    </row>
    <row r="6294" spans="19:19" ht="15.75">
      <c r="S6294" s="1"/>
    </row>
    <row r="6295" spans="19:19" ht="15.75">
      <c r="S6295" s="1"/>
    </row>
    <row r="6296" spans="19:19" ht="15.75">
      <c r="S6296" s="1"/>
    </row>
    <row r="6297" spans="19:19" ht="15.75">
      <c r="S6297" s="1"/>
    </row>
    <row r="6298" spans="19:19" ht="15.75">
      <c r="S6298" s="1"/>
    </row>
    <row r="6299" spans="19:19" ht="15.75">
      <c r="S6299" s="1"/>
    </row>
    <row r="6300" spans="19:19" ht="15.75">
      <c r="S6300" s="1"/>
    </row>
    <row r="6301" spans="19:19" ht="15.75">
      <c r="S6301" s="1"/>
    </row>
    <row r="6302" spans="19:19" ht="15.75">
      <c r="S6302" s="1"/>
    </row>
    <row r="6303" spans="19:19" ht="15.75">
      <c r="S6303" s="1"/>
    </row>
    <row r="6304" spans="19:19" ht="15.75">
      <c r="S6304" s="1"/>
    </row>
    <row r="6305" spans="19:19" ht="15.75">
      <c r="S6305" s="1"/>
    </row>
    <row r="6306" spans="19:19" ht="15.75">
      <c r="S6306" s="1"/>
    </row>
    <row r="6307" spans="19:19" ht="15.75">
      <c r="S6307" s="1"/>
    </row>
    <row r="6308" spans="19:19" ht="15.75">
      <c r="S6308" s="1"/>
    </row>
    <row r="6309" spans="19:19" ht="15.75">
      <c r="S6309" s="1"/>
    </row>
    <row r="6310" spans="19:19" ht="15.75">
      <c r="S6310" s="1"/>
    </row>
    <row r="6311" spans="19:19" ht="15.75">
      <c r="S6311" s="1"/>
    </row>
    <row r="6312" spans="19:19" ht="15.75">
      <c r="S6312" s="1"/>
    </row>
    <row r="6313" spans="19:19" ht="15.75">
      <c r="S6313" s="1"/>
    </row>
    <row r="6314" spans="19:19" ht="15.75">
      <c r="S6314" s="1"/>
    </row>
    <row r="6315" spans="19:19" ht="15.75">
      <c r="S6315" s="1"/>
    </row>
    <row r="6316" spans="19:19" ht="15.75">
      <c r="S6316" s="1"/>
    </row>
    <row r="6317" spans="19:19" ht="15.75">
      <c r="S6317" s="1"/>
    </row>
    <row r="6318" spans="19:19" ht="15.75">
      <c r="S6318" s="1"/>
    </row>
    <row r="6319" spans="19:19" ht="15.75">
      <c r="S6319" s="1"/>
    </row>
    <row r="6320" spans="19:19" ht="15.75">
      <c r="S6320" s="1"/>
    </row>
    <row r="6321" spans="19:19" ht="15.75">
      <c r="S6321" s="1"/>
    </row>
    <row r="6322" spans="19:19" ht="15.75">
      <c r="S6322" s="1"/>
    </row>
    <row r="6323" spans="19:19" ht="15.75">
      <c r="S6323" s="1"/>
    </row>
    <row r="6324" spans="19:19" ht="15.75">
      <c r="S6324" s="1"/>
    </row>
    <row r="6325" spans="19:19" ht="15.75">
      <c r="S6325" s="1"/>
    </row>
    <row r="6326" spans="19:19" ht="15.75">
      <c r="S6326" s="1"/>
    </row>
    <row r="6327" spans="19:19" ht="15.75">
      <c r="S6327" s="1"/>
    </row>
    <row r="6328" spans="19:19" ht="15.75">
      <c r="S6328" s="1"/>
    </row>
    <row r="6329" spans="19:19" ht="15.75">
      <c r="S6329" s="1"/>
    </row>
    <row r="6330" spans="19:19" ht="15.75">
      <c r="S6330" s="1"/>
    </row>
    <row r="6331" spans="19:19" ht="15.75">
      <c r="S6331" s="1"/>
    </row>
    <row r="6332" spans="19:19" ht="15.75">
      <c r="S6332" s="1"/>
    </row>
    <row r="6333" spans="19:19" ht="15.75">
      <c r="S6333" s="1"/>
    </row>
    <row r="6334" spans="19:19" ht="15.75">
      <c r="S6334" s="1"/>
    </row>
    <row r="6335" spans="19:19" ht="15.75">
      <c r="S6335" s="1"/>
    </row>
    <row r="6336" spans="19:19" ht="15.75">
      <c r="S6336" s="1"/>
    </row>
    <row r="6337" spans="19:19" ht="15.75">
      <c r="S6337" s="1"/>
    </row>
    <row r="6338" spans="19:19" ht="15.75">
      <c r="S6338" s="1"/>
    </row>
    <row r="6339" spans="19:19" ht="15.75">
      <c r="S6339" s="1"/>
    </row>
    <row r="6340" spans="19:19" ht="15.75">
      <c r="S6340" s="1"/>
    </row>
    <row r="6341" spans="19:19" ht="15.75">
      <c r="S6341" s="1"/>
    </row>
    <row r="6342" spans="19:19" ht="15.75">
      <c r="S6342" s="1"/>
    </row>
    <row r="6343" spans="19:19" ht="15.75">
      <c r="S6343" s="1"/>
    </row>
    <row r="6344" spans="19:19" ht="15.75">
      <c r="S6344" s="1"/>
    </row>
    <row r="6345" spans="19:19" ht="15.75">
      <c r="S6345" s="1"/>
    </row>
    <row r="6346" spans="19:19" ht="15.75">
      <c r="S6346" s="1"/>
    </row>
    <row r="6347" spans="19:19" ht="15.75">
      <c r="S6347" s="1"/>
    </row>
    <row r="6348" spans="19:19" ht="15.75">
      <c r="S6348" s="1"/>
    </row>
    <row r="6349" spans="19:19" ht="15.75">
      <c r="S6349" s="1"/>
    </row>
    <row r="6350" spans="19:19" ht="15.75">
      <c r="S6350" s="1"/>
    </row>
    <row r="6351" spans="19:19" ht="15.75">
      <c r="S6351" s="1"/>
    </row>
    <row r="6352" spans="19:19" ht="15.75">
      <c r="S6352" s="1"/>
    </row>
    <row r="6353" spans="19:19" ht="15.75">
      <c r="S6353" s="1"/>
    </row>
    <row r="6354" spans="19:19" ht="15.75">
      <c r="S6354" s="1"/>
    </row>
    <row r="6355" spans="19:19" ht="15.75">
      <c r="S6355" s="1"/>
    </row>
    <row r="6356" spans="19:19" ht="15.75">
      <c r="S6356" s="1"/>
    </row>
    <row r="6357" spans="19:19" ht="15.75">
      <c r="S6357" s="1"/>
    </row>
    <row r="6358" spans="19:19" ht="15.75">
      <c r="S6358" s="1"/>
    </row>
    <row r="6359" spans="19:19" ht="15.75">
      <c r="S6359" s="1"/>
    </row>
    <row r="6360" spans="19:19" ht="15.75">
      <c r="S6360" s="1"/>
    </row>
    <row r="6361" spans="19:19" ht="15.75">
      <c r="S6361" s="1"/>
    </row>
    <row r="6362" spans="19:19" ht="15.75">
      <c r="S6362" s="1"/>
    </row>
    <row r="6363" spans="19:19" ht="15.75">
      <c r="S6363" s="1"/>
    </row>
    <row r="6364" spans="19:19" ht="15.75">
      <c r="S6364" s="1"/>
    </row>
    <row r="6365" spans="19:19" ht="15.75">
      <c r="S6365" s="1"/>
    </row>
    <row r="6366" spans="19:19" ht="15.75">
      <c r="S6366" s="1"/>
    </row>
    <row r="6367" spans="19:19" ht="15.75">
      <c r="S6367" s="1"/>
    </row>
    <row r="6368" spans="19:19" ht="15.75">
      <c r="S6368" s="1"/>
    </row>
    <row r="6369" spans="19:19" ht="15.75">
      <c r="S6369" s="1"/>
    </row>
    <row r="6370" spans="19:19" ht="15.75">
      <c r="S6370" s="1"/>
    </row>
    <row r="6371" spans="19:19" ht="15.75">
      <c r="S6371" s="1"/>
    </row>
    <row r="6372" spans="19:19" ht="15.75">
      <c r="S6372" s="1"/>
    </row>
    <row r="6373" spans="19:19" ht="15.75">
      <c r="S6373" s="1"/>
    </row>
    <row r="6374" spans="19:19" ht="15.75">
      <c r="S6374" s="1"/>
    </row>
    <row r="6375" spans="19:19" ht="15.75">
      <c r="S6375" s="1"/>
    </row>
    <row r="6376" spans="19:19" ht="15.75">
      <c r="S6376" s="1"/>
    </row>
    <row r="6377" spans="19:19" ht="15.75">
      <c r="S6377" s="1"/>
    </row>
    <row r="6378" spans="19:19" ht="15.75">
      <c r="S6378" s="1"/>
    </row>
    <row r="6379" spans="19:19" ht="15.75">
      <c r="S6379" s="1"/>
    </row>
    <row r="6380" spans="19:19" ht="15.75">
      <c r="S6380" s="1"/>
    </row>
    <row r="6381" spans="19:19" ht="15.75">
      <c r="S6381" s="1"/>
    </row>
    <row r="6382" spans="19:19" ht="15.75">
      <c r="S6382" s="1"/>
    </row>
    <row r="6383" spans="19:19" ht="15.75">
      <c r="S6383" s="1"/>
    </row>
    <row r="6384" spans="19:19" ht="15.75">
      <c r="S6384" s="1"/>
    </row>
    <row r="6385" spans="19:19" ht="15.75">
      <c r="S6385" s="1"/>
    </row>
    <row r="6386" spans="19:19" ht="15.75">
      <c r="S6386" s="1"/>
    </row>
    <row r="6387" spans="19:19" ht="15.75">
      <c r="S6387" s="1"/>
    </row>
    <row r="6388" spans="19:19" ht="15.75">
      <c r="S6388" s="1"/>
    </row>
    <row r="6389" spans="19:19" ht="15.75">
      <c r="S6389" s="1"/>
    </row>
    <row r="6390" spans="19:19" ht="15.75">
      <c r="S6390" s="1"/>
    </row>
    <row r="6391" spans="19:19" ht="15.75">
      <c r="S6391" s="1"/>
    </row>
    <row r="6392" spans="19:19" ht="15.75">
      <c r="S6392" s="1"/>
    </row>
    <row r="6393" spans="19:19" ht="15.75">
      <c r="S6393" s="1"/>
    </row>
    <row r="6394" spans="19:19" ht="15.75">
      <c r="S6394" s="1"/>
    </row>
    <row r="6395" spans="19:19" ht="15.75">
      <c r="S6395" s="1"/>
    </row>
    <row r="6396" spans="19:19" ht="15.75">
      <c r="S6396" s="1"/>
    </row>
    <row r="6397" spans="19:19" ht="15.75">
      <c r="S6397" s="1"/>
    </row>
    <row r="6398" spans="19:19" ht="15.75">
      <c r="S6398" s="1"/>
    </row>
    <row r="6399" spans="19:19" ht="15.75">
      <c r="S6399" s="1"/>
    </row>
    <row r="6400" spans="19:19" ht="15.75">
      <c r="S6400" s="1"/>
    </row>
    <row r="6401" spans="19:19" ht="15.75">
      <c r="S6401" s="1"/>
    </row>
    <row r="6402" spans="19:19" ht="15.75">
      <c r="S6402" s="1"/>
    </row>
    <row r="6403" spans="19:19" ht="15.75">
      <c r="S6403" s="1"/>
    </row>
    <row r="6404" spans="19:19" ht="15.75">
      <c r="S6404" s="1"/>
    </row>
    <row r="6405" spans="19:19" ht="15.75">
      <c r="S6405" s="1"/>
    </row>
    <row r="6406" spans="19:19" ht="15.75">
      <c r="S6406" s="1"/>
    </row>
    <row r="6407" spans="19:19" ht="15.75">
      <c r="S6407" s="1"/>
    </row>
    <row r="6408" spans="19:19" ht="15.75">
      <c r="S6408" s="1"/>
    </row>
    <row r="6409" spans="19:19" ht="15.75">
      <c r="S6409" s="1"/>
    </row>
    <row r="6410" spans="19:19" ht="15.75">
      <c r="S6410" s="1"/>
    </row>
    <row r="6411" spans="19:19" ht="15.75">
      <c r="S6411" s="1"/>
    </row>
    <row r="6412" spans="19:19" ht="15.75">
      <c r="S6412" s="1"/>
    </row>
    <row r="6413" spans="19:19" ht="15.75">
      <c r="S6413" s="1"/>
    </row>
    <row r="6414" spans="19:19" ht="15.75">
      <c r="S6414" s="1"/>
    </row>
    <row r="6415" spans="19:19" ht="15.75">
      <c r="S6415" s="1"/>
    </row>
    <row r="6416" spans="19:19" ht="15.75">
      <c r="S6416" s="1"/>
    </row>
    <row r="6417" spans="19:19" ht="15.75">
      <c r="S6417" s="1"/>
    </row>
    <row r="6418" spans="19:19" ht="15.75">
      <c r="S6418" s="1"/>
    </row>
    <row r="6419" spans="19:19" ht="15.75">
      <c r="S6419" s="1"/>
    </row>
    <row r="6420" spans="19:19" ht="15.75">
      <c r="S6420" s="1"/>
    </row>
    <row r="6421" spans="19:19" ht="15.75">
      <c r="S6421" s="1"/>
    </row>
    <row r="6422" spans="19:19" ht="15.75">
      <c r="S6422" s="1"/>
    </row>
    <row r="6423" spans="19:19" ht="15.75">
      <c r="S6423" s="1"/>
    </row>
    <row r="6424" spans="19:19" ht="15.75">
      <c r="S6424" s="1"/>
    </row>
    <row r="6425" spans="19:19" ht="15.75">
      <c r="S6425" s="1"/>
    </row>
    <row r="6426" spans="19:19" ht="15.75">
      <c r="S6426" s="1"/>
    </row>
    <row r="6427" spans="19:19" ht="15.75">
      <c r="S6427" s="1"/>
    </row>
    <row r="6428" spans="19:19" ht="15.75">
      <c r="S6428" s="1"/>
    </row>
    <row r="6429" spans="19:19" ht="15.75">
      <c r="S6429" s="1"/>
    </row>
    <row r="6430" spans="19:19" ht="15.75">
      <c r="S6430" s="1"/>
    </row>
    <row r="6431" spans="19:19" ht="15.75">
      <c r="S6431" s="1"/>
    </row>
    <row r="6432" spans="19:19" ht="15.75">
      <c r="S6432" s="1"/>
    </row>
    <row r="6433" spans="19:19" ht="15.75">
      <c r="S6433" s="1"/>
    </row>
    <row r="6434" spans="19:19" ht="15.75">
      <c r="S6434" s="1"/>
    </row>
    <row r="6435" spans="19:19" ht="15.75">
      <c r="S6435" s="1"/>
    </row>
    <row r="6436" spans="19:19" ht="15.75">
      <c r="S6436" s="1"/>
    </row>
    <row r="6437" spans="19:19" ht="15.75">
      <c r="S6437" s="1"/>
    </row>
    <row r="6438" spans="19:19" ht="15.75">
      <c r="S6438" s="1"/>
    </row>
    <row r="6439" spans="19:19" ht="15.75">
      <c r="S6439" s="1"/>
    </row>
    <row r="6440" spans="19:19" ht="15.75">
      <c r="S6440" s="1"/>
    </row>
    <row r="6441" spans="19:19" ht="15.75">
      <c r="S6441" s="1"/>
    </row>
    <row r="6442" spans="19:19" ht="15.75">
      <c r="S6442" s="1"/>
    </row>
    <row r="6443" spans="19:19" ht="15.75">
      <c r="S6443" s="1"/>
    </row>
    <row r="6444" spans="19:19" ht="15.75">
      <c r="S6444" s="1"/>
    </row>
    <row r="6445" spans="19:19" ht="15.75">
      <c r="S6445" s="1"/>
    </row>
    <row r="6446" spans="19:19" ht="15.75">
      <c r="S6446" s="1"/>
    </row>
    <row r="6447" spans="19:19" ht="15.75">
      <c r="S6447" s="1"/>
    </row>
    <row r="6448" spans="19:19" ht="15.75">
      <c r="S6448" s="1"/>
    </row>
    <row r="6449" spans="19:19" ht="15.75">
      <c r="S6449" s="1"/>
    </row>
    <row r="6450" spans="19:19" ht="15.75">
      <c r="S6450" s="1"/>
    </row>
    <row r="6451" spans="19:19" ht="15.75">
      <c r="S6451" s="1"/>
    </row>
    <row r="6452" spans="19:19" ht="15.75">
      <c r="S6452" s="1"/>
    </row>
    <row r="6453" spans="19:19" ht="15.75">
      <c r="S6453" s="1"/>
    </row>
    <row r="6454" spans="19:19" ht="15.75">
      <c r="S6454" s="1"/>
    </row>
    <row r="6455" spans="19:19" ht="15.75">
      <c r="S6455" s="1"/>
    </row>
    <row r="6456" spans="19:19" ht="15.75">
      <c r="S6456" s="1"/>
    </row>
    <row r="6457" spans="19:19" ht="15.75">
      <c r="S6457" s="1"/>
    </row>
    <row r="6458" spans="19:19" ht="15.75">
      <c r="S6458" s="1"/>
    </row>
    <row r="6459" spans="19:19" ht="15.75">
      <c r="S6459" s="1"/>
    </row>
    <row r="6460" spans="19:19" ht="15.75">
      <c r="S6460" s="1"/>
    </row>
    <row r="6461" spans="19:19" ht="15.75">
      <c r="S6461" s="1"/>
    </row>
    <row r="6462" spans="19:19" ht="15.75">
      <c r="S6462" s="1"/>
    </row>
    <row r="6463" spans="19:19" ht="15.75">
      <c r="S6463" s="1"/>
    </row>
    <row r="6464" spans="19:19" ht="15.75">
      <c r="S6464" s="1"/>
    </row>
    <row r="6465" spans="19:19" ht="15.75">
      <c r="S6465" s="1"/>
    </row>
    <row r="6466" spans="19:19" ht="15.75">
      <c r="S6466" s="1"/>
    </row>
    <row r="6467" spans="19:19" ht="15.75">
      <c r="S6467" s="1"/>
    </row>
    <row r="6468" spans="19:19" ht="15.75">
      <c r="S6468" s="1"/>
    </row>
    <row r="6469" spans="19:19" ht="15.75">
      <c r="S6469" s="1"/>
    </row>
    <row r="6470" spans="19:19" ht="15.75">
      <c r="S6470" s="1"/>
    </row>
    <row r="6471" spans="19:19" ht="15.75">
      <c r="S6471" s="1"/>
    </row>
    <row r="6472" spans="19:19" ht="15.75">
      <c r="S6472" s="1"/>
    </row>
    <row r="6473" spans="19:19" ht="15.75">
      <c r="S6473" s="1"/>
    </row>
    <row r="6474" spans="19:19" ht="15.75">
      <c r="S6474" s="1"/>
    </row>
    <row r="6475" spans="19:19" ht="15.75">
      <c r="S6475" s="1"/>
    </row>
    <row r="6476" spans="19:19" ht="15.75">
      <c r="S6476" s="1"/>
    </row>
    <row r="6477" spans="19:19" ht="15.75">
      <c r="S6477" s="1"/>
    </row>
    <row r="6478" spans="19:19" ht="15.75">
      <c r="S6478" s="1"/>
    </row>
    <row r="6479" spans="19:19" ht="15.75">
      <c r="S6479" s="1"/>
    </row>
    <row r="6480" spans="19:19" ht="15.75">
      <c r="S6480" s="1"/>
    </row>
    <row r="6481" spans="19:19" ht="15.75">
      <c r="S6481" s="1"/>
    </row>
    <row r="6482" spans="19:19" ht="15.75">
      <c r="S6482" s="1"/>
    </row>
    <row r="6483" spans="19:19" ht="15.75">
      <c r="S6483" s="1"/>
    </row>
    <row r="6484" spans="19:19" ht="15.75">
      <c r="S6484" s="1"/>
    </row>
    <row r="6485" spans="19:19" ht="15.75">
      <c r="S6485" s="1"/>
    </row>
    <row r="6486" spans="19:19" ht="15.75">
      <c r="S6486" s="1"/>
    </row>
    <row r="6487" spans="19:19" ht="15.75">
      <c r="S6487" s="1"/>
    </row>
    <row r="6488" spans="19:19" ht="15.75">
      <c r="S6488" s="1"/>
    </row>
    <row r="6489" spans="19:19" ht="15.75">
      <c r="S6489" s="1"/>
    </row>
    <row r="6490" spans="19:19" ht="15.75">
      <c r="S6490" s="1"/>
    </row>
    <row r="6491" spans="19:19" ht="15.75">
      <c r="S6491" s="1"/>
    </row>
    <row r="6492" spans="19:19" ht="15.75">
      <c r="S6492" s="1"/>
    </row>
    <row r="6493" spans="19:19" ht="15.75">
      <c r="S6493" s="1"/>
    </row>
    <row r="6494" spans="19:19" ht="15.75">
      <c r="S6494" s="1"/>
    </row>
    <row r="6495" spans="19:19" ht="15.75">
      <c r="S6495" s="1"/>
    </row>
    <row r="6496" spans="19:19" ht="15.75">
      <c r="S6496" s="1"/>
    </row>
    <row r="6497" spans="19:19" ht="15.75">
      <c r="S6497" s="1"/>
    </row>
    <row r="6498" spans="19:19" ht="15.75">
      <c r="S6498" s="1"/>
    </row>
    <row r="6499" spans="19:19" ht="15.75">
      <c r="S6499" s="1"/>
    </row>
    <row r="6500" spans="19:19" ht="15.75">
      <c r="S6500" s="1"/>
    </row>
    <row r="6501" spans="19:19" ht="15.75">
      <c r="S6501" s="1"/>
    </row>
    <row r="6502" spans="19:19" ht="15.75">
      <c r="S6502" s="1"/>
    </row>
    <row r="6503" spans="19:19" ht="15.75">
      <c r="S6503" s="1"/>
    </row>
    <row r="6504" spans="19:19" ht="15.75">
      <c r="S6504" s="1"/>
    </row>
    <row r="6505" spans="19:19" ht="15.75">
      <c r="S6505" s="1"/>
    </row>
    <row r="6506" spans="19:19" ht="15.75">
      <c r="S6506" s="1"/>
    </row>
    <row r="6507" spans="19:19" ht="15.75">
      <c r="S6507" s="1"/>
    </row>
    <row r="6508" spans="19:19" ht="15.75">
      <c r="S6508" s="1"/>
    </row>
    <row r="6509" spans="19:19" ht="15.75">
      <c r="S6509" s="1"/>
    </row>
    <row r="6510" spans="19:19" ht="15.75">
      <c r="S6510" s="1"/>
    </row>
    <row r="6511" spans="19:19" ht="15.75">
      <c r="S6511" s="1"/>
    </row>
    <row r="6512" spans="19:19" ht="15.75">
      <c r="S6512" s="1"/>
    </row>
    <row r="6513" spans="19:19" ht="15.75">
      <c r="S6513" s="1"/>
    </row>
    <row r="6514" spans="19:19" ht="15.75">
      <c r="S6514" s="1"/>
    </row>
    <row r="6515" spans="19:19" ht="15.75">
      <c r="S6515" s="1"/>
    </row>
    <row r="6516" spans="19:19" ht="15.75">
      <c r="S6516" s="1"/>
    </row>
    <row r="6517" spans="19:19" ht="15.75">
      <c r="S6517" s="1"/>
    </row>
    <row r="6518" spans="19:19" ht="15.75">
      <c r="S6518" s="1"/>
    </row>
    <row r="6519" spans="19:19" ht="15.75">
      <c r="S6519" s="1"/>
    </row>
    <row r="6520" spans="19:19" ht="15.75">
      <c r="S6520" s="1"/>
    </row>
    <row r="6521" spans="19:19" ht="15.75">
      <c r="S6521" s="1"/>
    </row>
    <row r="6522" spans="19:19" ht="15.75">
      <c r="S6522" s="1"/>
    </row>
    <row r="6523" spans="19:19" ht="15.75">
      <c r="S6523" s="1"/>
    </row>
    <row r="6524" spans="19:19" ht="15.75">
      <c r="S6524" s="1"/>
    </row>
    <row r="6525" spans="19:19" ht="15.75">
      <c r="S6525" s="1"/>
    </row>
    <row r="6526" spans="19:19" ht="15.75">
      <c r="S6526" s="1"/>
    </row>
    <row r="6527" spans="19:19" ht="15.75">
      <c r="S6527" s="1"/>
    </row>
    <row r="6528" spans="19:19" ht="15.75">
      <c r="S6528" s="1"/>
    </row>
    <row r="6529" spans="19:19" ht="15.75">
      <c r="S6529" s="1"/>
    </row>
    <row r="6530" spans="19:19" ht="15.75">
      <c r="S6530" s="1"/>
    </row>
    <row r="6531" spans="19:19" ht="15.75">
      <c r="S6531" s="1"/>
    </row>
    <row r="6532" spans="19:19" ht="15.75">
      <c r="S6532" s="1"/>
    </row>
    <row r="6533" spans="19:19" ht="15.75">
      <c r="S6533" s="1"/>
    </row>
    <row r="6534" spans="19:19" ht="15.75">
      <c r="S6534" s="1"/>
    </row>
    <row r="6535" spans="19:19" ht="15.75">
      <c r="S6535" s="1"/>
    </row>
    <row r="6536" spans="19:19" ht="15.75">
      <c r="S6536" s="1"/>
    </row>
    <row r="6537" spans="19:19" ht="15.75">
      <c r="S6537" s="1"/>
    </row>
    <row r="6538" spans="19:19" ht="15.75">
      <c r="S6538" s="1"/>
    </row>
    <row r="6539" spans="19:19" ht="15.75">
      <c r="S6539" s="1"/>
    </row>
    <row r="6540" spans="19:19" ht="15.75">
      <c r="S6540" s="1"/>
    </row>
    <row r="6541" spans="19:19" ht="15.75">
      <c r="S6541" s="1"/>
    </row>
    <row r="6542" spans="19:19" ht="15.75">
      <c r="S6542" s="1"/>
    </row>
    <row r="6543" spans="19:19" ht="15.75">
      <c r="S6543" s="1"/>
    </row>
    <row r="6544" spans="19:19" ht="15.75">
      <c r="S6544" s="1"/>
    </row>
    <row r="6545" spans="19:19" ht="15.75">
      <c r="S6545" s="1"/>
    </row>
    <row r="6546" spans="19:19" ht="15.75">
      <c r="S6546" s="1"/>
    </row>
    <row r="6547" spans="19:19" ht="15.75">
      <c r="S6547" s="1"/>
    </row>
    <row r="6548" spans="19:19" ht="15.75">
      <c r="S6548" s="1"/>
    </row>
    <row r="6549" spans="19:19" ht="15.75">
      <c r="S6549" s="1"/>
    </row>
    <row r="6550" spans="19:19" ht="15.75">
      <c r="S6550" s="1"/>
    </row>
    <row r="6551" spans="19:19" ht="15.75">
      <c r="S6551" s="1"/>
    </row>
    <row r="6552" spans="19:19" ht="15.75">
      <c r="S6552" s="1"/>
    </row>
    <row r="6553" spans="19:19" ht="15.75">
      <c r="S6553" s="1"/>
    </row>
    <row r="6554" spans="19:19" ht="15.75">
      <c r="S6554" s="1"/>
    </row>
    <row r="6555" spans="19:19" ht="15.75">
      <c r="S6555" s="1"/>
    </row>
    <row r="6556" spans="19:19" ht="15.75">
      <c r="S6556" s="1"/>
    </row>
    <row r="6557" spans="19:19" ht="15.75">
      <c r="S6557" s="1"/>
    </row>
    <row r="6558" spans="19:19" ht="15.75">
      <c r="S6558" s="1"/>
    </row>
    <row r="6559" spans="19:19" ht="15.75">
      <c r="S6559" s="1"/>
    </row>
    <row r="6560" spans="19:19" ht="15.75">
      <c r="S6560" s="1"/>
    </row>
    <row r="6561" spans="19:19" ht="15.75">
      <c r="S6561" s="1"/>
    </row>
    <row r="6562" spans="19:19" ht="15.75">
      <c r="S6562" s="1"/>
    </row>
    <row r="6563" spans="19:19" ht="15.75">
      <c r="S6563" s="1"/>
    </row>
    <row r="6564" spans="19:19" ht="15.75">
      <c r="S6564" s="1"/>
    </row>
    <row r="6565" spans="19:19" ht="15.75">
      <c r="S6565" s="1"/>
    </row>
    <row r="6566" spans="19:19" ht="15.75">
      <c r="S6566" s="1"/>
    </row>
    <row r="6567" spans="19:19" ht="15.75">
      <c r="S6567" s="1"/>
    </row>
    <row r="6568" spans="19:19" ht="15.75">
      <c r="S6568" s="1"/>
    </row>
    <row r="6569" spans="19:19" ht="15.75">
      <c r="S6569" s="1"/>
    </row>
    <row r="6570" spans="19:19" ht="15.75">
      <c r="S6570" s="1"/>
    </row>
    <row r="6571" spans="19:19" ht="15.75">
      <c r="S6571" s="1"/>
    </row>
    <row r="6572" spans="19:19" ht="15.75">
      <c r="S6572" s="1"/>
    </row>
    <row r="6573" spans="19:19" ht="15.75">
      <c r="S6573" s="1"/>
    </row>
    <row r="6574" spans="19:19" ht="15.75">
      <c r="S6574" s="1"/>
    </row>
    <row r="6575" spans="19:19" ht="15.75">
      <c r="S6575" s="1"/>
    </row>
    <row r="6576" spans="19:19" ht="15.75">
      <c r="S6576" s="1"/>
    </row>
    <row r="6577" spans="19:19" ht="15.75">
      <c r="S6577" s="1"/>
    </row>
    <row r="6578" spans="19:19" ht="15.75">
      <c r="S6578" s="1"/>
    </row>
    <row r="6579" spans="19:19" ht="15.75">
      <c r="S6579" s="1"/>
    </row>
    <row r="6580" spans="19:19" ht="15.75">
      <c r="S6580" s="1"/>
    </row>
    <row r="6581" spans="19:19" ht="15.75">
      <c r="S6581" s="1"/>
    </row>
    <row r="6582" spans="19:19" ht="15.75">
      <c r="S6582" s="1"/>
    </row>
    <row r="6583" spans="19:19" ht="15.75">
      <c r="S6583" s="1"/>
    </row>
    <row r="6584" spans="19:19" ht="15.75">
      <c r="S6584" s="1"/>
    </row>
    <row r="6585" spans="19:19" ht="15.75">
      <c r="S6585" s="1"/>
    </row>
    <row r="6586" spans="19:19" ht="15.75">
      <c r="S6586" s="1"/>
    </row>
    <row r="6587" spans="19:19" ht="15.75">
      <c r="S6587" s="1"/>
    </row>
    <row r="6588" spans="19:19" ht="15.75">
      <c r="S6588" s="1"/>
    </row>
    <row r="6589" spans="19:19" ht="15.75">
      <c r="S6589" s="1"/>
    </row>
    <row r="6590" spans="19:19" ht="15.75">
      <c r="S6590" s="1"/>
    </row>
    <row r="6591" spans="19:19" ht="15.75">
      <c r="S6591" s="1"/>
    </row>
    <row r="6592" spans="19:19" ht="15.75">
      <c r="S6592" s="1"/>
    </row>
    <row r="6593" spans="19:19" ht="15.75">
      <c r="S6593" s="1"/>
    </row>
    <row r="6594" spans="19:19" ht="15.75">
      <c r="S6594" s="1"/>
    </row>
    <row r="6595" spans="19:19" ht="15.75">
      <c r="S6595" s="1"/>
    </row>
    <row r="6596" spans="19:19" ht="15.75">
      <c r="S6596" s="1"/>
    </row>
    <row r="6597" spans="19:19" ht="15.75">
      <c r="S6597" s="1"/>
    </row>
    <row r="6598" spans="19:19" ht="15.75">
      <c r="S6598" s="1"/>
    </row>
    <row r="6599" spans="19:19" ht="15.75">
      <c r="S6599" s="1"/>
    </row>
    <row r="6600" spans="19:19" ht="15.75">
      <c r="S6600" s="1"/>
    </row>
    <row r="6601" spans="19:19" ht="15.75">
      <c r="S6601" s="1"/>
    </row>
    <row r="6602" spans="19:19" ht="15.75">
      <c r="S6602" s="1"/>
    </row>
    <row r="6603" spans="19:19" ht="15.75">
      <c r="S6603" s="1"/>
    </row>
    <row r="6604" spans="19:19" ht="15.75">
      <c r="S6604" s="1"/>
    </row>
    <row r="6605" spans="19:19" ht="15.75">
      <c r="S6605" s="1"/>
    </row>
    <row r="6606" spans="19:19" ht="15.75">
      <c r="S6606" s="1"/>
    </row>
    <row r="6607" spans="19:19" ht="15.75">
      <c r="S6607" s="1"/>
    </row>
    <row r="6608" spans="19:19" ht="15.75">
      <c r="S6608" s="1"/>
    </row>
    <row r="6609" spans="19:19" ht="15.75">
      <c r="S6609" s="1"/>
    </row>
    <row r="6610" spans="19:19" ht="15.75">
      <c r="S6610" s="1"/>
    </row>
    <row r="6611" spans="19:19" ht="15.75">
      <c r="S6611" s="1"/>
    </row>
    <row r="6612" spans="19:19" ht="15.75">
      <c r="S6612" s="1"/>
    </row>
    <row r="6613" spans="19:19" ht="15.75">
      <c r="S6613" s="1"/>
    </row>
    <row r="6614" spans="19:19" ht="15.75">
      <c r="S6614" s="1"/>
    </row>
    <row r="6615" spans="19:19" ht="15.75">
      <c r="S6615" s="1"/>
    </row>
    <row r="6616" spans="19:19" ht="15.75">
      <c r="S6616" s="1"/>
    </row>
    <row r="6617" spans="19:19" ht="15.75">
      <c r="S6617" s="1"/>
    </row>
    <row r="6618" spans="19:19" ht="15.75">
      <c r="S6618" s="1"/>
    </row>
    <row r="6619" spans="19:19" ht="15.75">
      <c r="S6619" s="1"/>
    </row>
    <row r="6620" spans="19:19" ht="15.75">
      <c r="S6620" s="1"/>
    </row>
    <row r="6621" spans="19:19" ht="15.75">
      <c r="S6621" s="1"/>
    </row>
    <row r="6622" spans="19:19" ht="15.75">
      <c r="S6622" s="1"/>
    </row>
    <row r="6623" spans="19:19" ht="15.75">
      <c r="S6623" s="1"/>
    </row>
    <row r="6624" spans="19:19" ht="15.75">
      <c r="S6624" s="1"/>
    </row>
    <row r="6625" spans="19:19" ht="15.75">
      <c r="S6625" s="1"/>
    </row>
    <row r="6626" spans="19:19" ht="15.75">
      <c r="S6626" s="1"/>
    </row>
    <row r="6627" spans="19:19" ht="15.75">
      <c r="S6627" s="1"/>
    </row>
    <row r="6628" spans="19:19" ht="15.75">
      <c r="S6628" s="1"/>
    </row>
    <row r="6629" spans="19:19" ht="15.75">
      <c r="S6629" s="1"/>
    </row>
    <row r="6630" spans="19:19" ht="15.75">
      <c r="S6630" s="1"/>
    </row>
    <row r="6631" spans="19:19" ht="15.75">
      <c r="S6631" s="1"/>
    </row>
    <row r="6632" spans="19:19" ht="15.75">
      <c r="S6632" s="1"/>
    </row>
    <row r="6633" spans="19:19" ht="15.75">
      <c r="S6633" s="1"/>
    </row>
    <row r="6634" spans="19:19" ht="15.75">
      <c r="S6634" s="1"/>
    </row>
    <row r="6635" spans="19:19" ht="15.75">
      <c r="S6635" s="1"/>
    </row>
    <row r="6636" spans="19:19" ht="15.75">
      <c r="S6636" s="1"/>
    </row>
    <row r="6637" spans="19:19" ht="15.75">
      <c r="S6637" s="1"/>
    </row>
    <row r="6638" spans="19:19" ht="15.75">
      <c r="S6638" s="1"/>
    </row>
    <row r="6639" spans="19:19" ht="15.75">
      <c r="S6639" s="1"/>
    </row>
    <row r="6640" spans="19:19" ht="15.75">
      <c r="S6640" s="1"/>
    </row>
    <row r="6641" spans="19:19" ht="15.75">
      <c r="S6641" s="1"/>
    </row>
    <row r="6642" spans="19:19" ht="15.75">
      <c r="S6642" s="1"/>
    </row>
    <row r="6643" spans="19:19" ht="15.75">
      <c r="S6643" s="1"/>
    </row>
    <row r="6644" spans="19:19" ht="15.75">
      <c r="S6644" s="1"/>
    </row>
    <row r="6645" spans="19:19" ht="15.75">
      <c r="S6645" s="1"/>
    </row>
    <row r="6646" spans="19:19" ht="15.75">
      <c r="S6646" s="1"/>
    </row>
    <row r="6647" spans="19:19" ht="15.75">
      <c r="S6647" s="1"/>
    </row>
    <row r="6648" spans="19:19" ht="15.75">
      <c r="S6648" s="1"/>
    </row>
    <row r="6649" spans="19:19" ht="15.75">
      <c r="S6649" s="1"/>
    </row>
    <row r="6650" spans="19:19" ht="15.75">
      <c r="S6650" s="1"/>
    </row>
    <row r="6651" spans="19:19" ht="15.75">
      <c r="S6651" s="1"/>
    </row>
    <row r="6652" spans="19:19" ht="15.75">
      <c r="S6652" s="1"/>
    </row>
    <row r="6653" spans="19:19" ht="15.75">
      <c r="S6653" s="1"/>
    </row>
    <row r="6654" spans="19:19" ht="15.75">
      <c r="S6654" s="1"/>
    </row>
    <row r="6655" spans="19:19" ht="15.75">
      <c r="S6655" s="1"/>
    </row>
    <row r="6656" spans="19:19" ht="15.75">
      <c r="S6656" s="1"/>
    </row>
    <row r="6657" spans="19:19" ht="15.75">
      <c r="S6657" s="1"/>
    </row>
    <row r="6658" spans="19:19" ht="15.75">
      <c r="S6658" s="1"/>
    </row>
    <row r="6659" spans="19:19" ht="15.75">
      <c r="S6659" s="1"/>
    </row>
    <row r="6660" spans="19:19" ht="15.75">
      <c r="S6660" s="1"/>
    </row>
    <row r="6661" spans="19:19" ht="15.75">
      <c r="S6661" s="1"/>
    </row>
    <row r="6662" spans="19:19" ht="15.75">
      <c r="S6662" s="1"/>
    </row>
    <row r="6663" spans="19:19" ht="15.75">
      <c r="S6663" s="1"/>
    </row>
    <row r="6664" spans="19:19" ht="15.75">
      <c r="S6664" s="1"/>
    </row>
    <row r="6665" spans="19:19" ht="15.75">
      <c r="S6665" s="1"/>
    </row>
    <row r="6666" spans="19:19" ht="15.75">
      <c r="S6666" s="1"/>
    </row>
    <row r="6667" spans="19:19" ht="15.75">
      <c r="S6667" s="1"/>
    </row>
    <row r="6668" spans="19:19" ht="15.75">
      <c r="S6668" s="1"/>
    </row>
    <row r="6669" spans="19:19" ht="15.75">
      <c r="S6669" s="1"/>
    </row>
    <row r="6670" spans="19:19" ht="15.75">
      <c r="S6670" s="1"/>
    </row>
    <row r="6671" spans="19:19" ht="15.75">
      <c r="S6671" s="1"/>
    </row>
    <row r="6672" spans="19:19" ht="15.75">
      <c r="S6672" s="1"/>
    </row>
    <row r="6673" spans="19:19" ht="15.75">
      <c r="S6673" s="1"/>
    </row>
    <row r="6674" spans="19:19" ht="15.75">
      <c r="S6674" s="1"/>
    </row>
    <row r="6675" spans="19:19" ht="15.75">
      <c r="S6675" s="1"/>
    </row>
    <row r="6676" spans="19:19" ht="15.75">
      <c r="S6676" s="1"/>
    </row>
    <row r="6677" spans="19:19" ht="15.75">
      <c r="S6677" s="1"/>
    </row>
    <row r="6678" spans="19:19" ht="15.75">
      <c r="S6678" s="1"/>
    </row>
    <row r="6679" spans="19:19" ht="15.75">
      <c r="S6679" s="1"/>
    </row>
    <row r="6680" spans="19:19" ht="15.75">
      <c r="S6680" s="1"/>
    </row>
    <row r="6681" spans="19:19" ht="15.75">
      <c r="S6681" s="1"/>
    </row>
    <row r="6682" spans="19:19" ht="15.75">
      <c r="S6682" s="1"/>
    </row>
    <row r="6683" spans="19:19" ht="15.75">
      <c r="S6683" s="1"/>
    </row>
    <row r="6684" spans="19:19" ht="15.75">
      <c r="S6684" s="1"/>
    </row>
    <row r="6685" spans="19:19" ht="15.75">
      <c r="S6685" s="1"/>
    </row>
    <row r="6686" spans="19:19" ht="15.75">
      <c r="S6686" s="1"/>
    </row>
    <row r="6687" spans="19:19" ht="15.75">
      <c r="S6687" s="1"/>
    </row>
    <row r="6688" spans="19:19" ht="15.75">
      <c r="S6688" s="1"/>
    </row>
    <row r="6689" spans="19:19" ht="15.75">
      <c r="S6689" s="1"/>
    </row>
    <row r="6690" spans="19:19" ht="15.75">
      <c r="S6690" s="1"/>
    </row>
    <row r="6691" spans="19:19" ht="15.75">
      <c r="S6691" s="1"/>
    </row>
    <row r="6692" spans="19:19" ht="15.75">
      <c r="S6692" s="1"/>
    </row>
    <row r="6693" spans="19:19" ht="15.75">
      <c r="S6693" s="1"/>
    </row>
    <row r="6694" spans="19:19" ht="15.75">
      <c r="S6694" s="1"/>
    </row>
    <row r="6695" spans="19:19" ht="15.75">
      <c r="S6695" s="1"/>
    </row>
    <row r="6696" spans="19:19" ht="15.75">
      <c r="S6696" s="1"/>
    </row>
    <row r="6697" spans="19:19" ht="15.75">
      <c r="S6697" s="1"/>
    </row>
    <row r="6698" spans="19:19" ht="15.75">
      <c r="S6698" s="1"/>
    </row>
    <row r="6699" spans="19:19" ht="15.75">
      <c r="S6699" s="1"/>
    </row>
    <row r="6700" spans="19:19" ht="15.75">
      <c r="S6700" s="1"/>
    </row>
    <row r="6701" spans="19:19" ht="15.75">
      <c r="S6701" s="1"/>
    </row>
    <row r="6702" spans="19:19" ht="15.75">
      <c r="S6702" s="1"/>
    </row>
    <row r="6703" spans="19:19" ht="15.75">
      <c r="S6703" s="1"/>
    </row>
    <row r="6704" spans="19:19" ht="15.75">
      <c r="S6704" s="1"/>
    </row>
    <row r="6705" spans="19:19" ht="15.75">
      <c r="S6705" s="1"/>
    </row>
    <row r="6706" spans="19:19" ht="15.75">
      <c r="S6706" s="1"/>
    </row>
    <row r="6707" spans="19:19" ht="15.75">
      <c r="S6707" s="1"/>
    </row>
    <row r="6708" spans="19:19" ht="15.75">
      <c r="S6708" s="1"/>
    </row>
    <row r="6709" spans="19:19" ht="15.75">
      <c r="S6709" s="1"/>
    </row>
    <row r="6710" spans="19:19" ht="15.75">
      <c r="S6710" s="1"/>
    </row>
    <row r="6711" spans="19:19" ht="15.75">
      <c r="S6711" s="1"/>
    </row>
    <row r="6712" spans="19:19" ht="15.75">
      <c r="S6712" s="1"/>
    </row>
    <row r="6713" spans="19:19" ht="15.75">
      <c r="S6713" s="1"/>
    </row>
    <row r="6714" spans="19:19" ht="15.75">
      <c r="S6714" s="1"/>
    </row>
    <row r="6715" spans="19:19" ht="15.75">
      <c r="S6715" s="1"/>
    </row>
    <row r="6716" spans="19:19" ht="15.75">
      <c r="S6716" s="1"/>
    </row>
    <row r="6717" spans="19:19" ht="15.75">
      <c r="S6717" s="1"/>
    </row>
    <row r="6718" spans="19:19" ht="15.75">
      <c r="S6718" s="1"/>
    </row>
    <row r="6719" spans="19:19" ht="15.75">
      <c r="S6719" s="1"/>
    </row>
    <row r="6720" spans="19:19" ht="15.75">
      <c r="S6720" s="1"/>
    </row>
    <row r="6721" spans="19:19" ht="15.75">
      <c r="S6721" s="1"/>
    </row>
    <row r="6722" spans="19:19" ht="15.75">
      <c r="S6722" s="1"/>
    </row>
    <row r="6723" spans="19:19" ht="15.75">
      <c r="S6723" s="1"/>
    </row>
    <row r="6724" spans="19:19" ht="15.75">
      <c r="S6724" s="1"/>
    </row>
    <row r="6725" spans="19:19" ht="15.75">
      <c r="S6725" s="1"/>
    </row>
    <row r="6726" spans="19:19" ht="15.75">
      <c r="S6726" s="1"/>
    </row>
    <row r="6727" spans="19:19" ht="15.75">
      <c r="S6727" s="1"/>
    </row>
    <row r="6728" spans="19:19" ht="15.75">
      <c r="S6728" s="1"/>
    </row>
    <row r="6729" spans="19:19" ht="15.75">
      <c r="S6729" s="1"/>
    </row>
    <row r="6730" spans="19:19" ht="15.75">
      <c r="S6730" s="1"/>
    </row>
    <row r="6731" spans="19:19" ht="15.75">
      <c r="S6731" s="1"/>
    </row>
    <row r="6732" spans="19:19" ht="15.75">
      <c r="S6732" s="1"/>
    </row>
    <row r="6733" spans="19:19" ht="15.75">
      <c r="S6733" s="1"/>
    </row>
    <row r="6734" spans="19:19" ht="15.75">
      <c r="S6734" s="1"/>
    </row>
    <row r="6735" spans="19:19" ht="15.75">
      <c r="S6735" s="1"/>
    </row>
    <row r="6736" spans="19:19" ht="15.75">
      <c r="S6736" s="1"/>
    </row>
    <row r="6737" spans="19:19" ht="15.75">
      <c r="S6737" s="1"/>
    </row>
    <row r="6738" spans="19:19" ht="15.75">
      <c r="S6738" s="1"/>
    </row>
    <row r="6739" spans="19:19" ht="15.75">
      <c r="S6739" s="1"/>
    </row>
    <row r="6740" spans="19:19" ht="15.75">
      <c r="S6740" s="1"/>
    </row>
    <row r="6741" spans="19:19" ht="15.75">
      <c r="S6741" s="1"/>
    </row>
    <row r="6742" spans="19:19" ht="15.75">
      <c r="S6742" s="1"/>
    </row>
    <row r="6743" spans="19:19" ht="15.75">
      <c r="S6743" s="1"/>
    </row>
    <row r="6744" spans="19:19" ht="15.75">
      <c r="S6744" s="1"/>
    </row>
    <row r="6745" spans="19:19" ht="15.75">
      <c r="S6745" s="1"/>
    </row>
    <row r="6746" spans="19:19" ht="15.75">
      <c r="S6746" s="1"/>
    </row>
    <row r="6747" spans="19:19" ht="15.75">
      <c r="S6747" s="1"/>
    </row>
    <row r="6748" spans="19:19" ht="15.75">
      <c r="S6748" s="1"/>
    </row>
    <row r="6749" spans="19:19" ht="15.75">
      <c r="S6749" s="1"/>
    </row>
    <row r="6750" spans="19:19" ht="15.75">
      <c r="S6750" s="1"/>
    </row>
    <row r="6751" spans="19:19" ht="15.75">
      <c r="S6751" s="1"/>
    </row>
    <row r="6752" spans="19:19" ht="15.75">
      <c r="S6752" s="1"/>
    </row>
    <row r="6753" spans="19:19" ht="15.75">
      <c r="S6753" s="1"/>
    </row>
    <row r="6754" spans="19:19" ht="15.75">
      <c r="S6754" s="1"/>
    </row>
    <row r="6755" spans="19:19" ht="15.75">
      <c r="S6755" s="1"/>
    </row>
    <row r="6756" spans="19:19" ht="15.75">
      <c r="S6756" s="1"/>
    </row>
    <row r="6757" spans="19:19" ht="15.75">
      <c r="S6757" s="1"/>
    </row>
    <row r="6758" spans="19:19" ht="15.75">
      <c r="S6758" s="1"/>
    </row>
    <row r="6759" spans="19:19" ht="15.75">
      <c r="S6759" s="1"/>
    </row>
    <row r="6760" spans="19:19" ht="15.75">
      <c r="S6760" s="1"/>
    </row>
    <row r="6761" spans="19:19" ht="15.75">
      <c r="S6761" s="1"/>
    </row>
    <row r="6762" spans="19:19" ht="15.75">
      <c r="S6762" s="1"/>
    </row>
    <row r="6763" spans="19:19" ht="15.75">
      <c r="S6763" s="1"/>
    </row>
    <row r="6764" spans="19:19" ht="15.75">
      <c r="S6764" s="1"/>
    </row>
    <row r="6765" spans="19:19" ht="15.75">
      <c r="S6765" s="1"/>
    </row>
    <row r="6766" spans="19:19" ht="15.75">
      <c r="S6766" s="1"/>
    </row>
    <row r="6767" spans="19:19" ht="15.75">
      <c r="S6767" s="1"/>
    </row>
    <row r="6768" spans="19:19" ht="15.75">
      <c r="S6768" s="1"/>
    </row>
    <row r="6769" spans="19:19" ht="15.75">
      <c r="S6769" s="1"/>
    </row>
    <row r="6770" spans="19:19" ht="15.75">
      <c r="S6770" s="1"/>
    </row>
    <row r="6771" spans="19:19" ht="15.75">
      <c r="S6771" s="1"/>
    </row>
    <row r="6772" spans="19:19" ht="15.75">
      <c r="S6772" s="1"/>
    </row>
    <row r="6773" spans="19:19" ht="15.75">
      <c r="S6773" s="1"/>
    </row>
    <row r="6774" spans="19:19" ht="15.75">
      <c r="S6774" s="1"/>
    </row>
    <row r="6775" spans="19:19" ht="15.75">
      <c r="S6775" s="1"/>
    </row>
    <row r="6776" spans="19:19" ht="15.75">
      <c r="S6776" s="1"/>
    </row>
    <row r="6777" spans="19:19" ht="15.75">
      <c r="S6777" s="1"/>
    </row>
    <row r="6778" spans="19:19" ht="15.75">
      <c r="S6778" s="1"/>
    </row>
    <row r="6779" spans="19:19" ht="15.75">
      <c r="S6779" s="1"/>
    </row>
    <row r="6780" spans="19:19" ht="15.75">
      <c r="S6780" s="1"/>
    </row>
    <row r="6781" spans="19:19" ht="15.75">
      <c r="S6781" s="1"/>
    </row>
    <row r="6782" spans="19:19" ht="15.75">
      <c r="S6782" s="1"/>
    </row>
    <row r="6783" spans="19:19" ht="15.75">
      <c r="S6783" s="1"/>
    </row>
    <row r="6784" spans="19:19" ht="15.75">
      <c r="S6784" s="1"/>
    </row>
    <row r="6785" spans="19:19" ht="15.75">
      <c r="S6785" s="1"/>
    </row>
    <row r="6786" spans="19:19" ht="15.75">
      <c r="S6786" s="1"/>
    </row>
    <row r="6787" spans="19:19" ht="15.75">
      <c r="S6787" s="1"/>
    </row>
    <row r="6788" spans="19:19" ht="15.75">
      <c r="S6788" s="1"/>
    </row>
    <row r="6789" spans="19:19" ht="15.75">
      <c r="S6789" s="1"/>
    </row>
    <row r="6790" spans="19:19" ht="15.75">
      <c r="S6790" s="1"/>
    </row>
    <row r="6791" spans="19:19" ht="15.75">
      <c r="S6791" s="1"/>
    </row>
    <row r="6792" spans="19:19" ht="15.75">
      <c r="S6792" s="1"/>
    </row>
    <row r="6793" spans="19:19" ht="15.75">
      <c r="S6793" s="1"/>
    </row>
    <row r="6794" spans="19:19" ht="15.75">
      <c r="S6794" s="1"/>
    </row>
    <row r="6795" spans="19:19" ht="15.75">
      <c r="S6795" s="1"/>
    </row>
    <row r="6796" spans="19:19" ht="15.75">
      <c r="S6796" s="1"/>
    </row>
    <row r="6797" spans="19:19" ht="15.75">
      <c r="S6797" s="1"/>
    </row>
    <row r="6798" spans="19:19" ht="15.75">
      <c r="S6798" s="1"/>
    </row>
    <row r="6799" spans="19:19" ht="15.75">
      <c r="S6799" s="1"/>
    </row>
    <row r="6800" spans="19:19" ht="15.75">
      <c r="S6800" s="1"/>
    </row>
    <row r="6801" spans="19:19" ht="15.75">
      <c r="S6801" s="1"/>
    </row>
    <row r="6802" spans="19:19" ht="15.75">
      <c r="S6802" s="1"/>
    </row>
    <row r="6803" spans="19:19" ht="15.75">
      <c r="S6803" s="1"/>
    </row>
    <row r="6804" spans="19:19" ht="15.75">
      <c r="S6804" s="1"/>
    </row>
    <row r="6805" spans="19:19" ht="15.75">
      <c r="S6805" s="1"/>
    </row>
    <row r="6806" spans="19:19" ht="15.75">
      <c r="S6806" s="1"/>
    </row>
    <row r="6807" spans="19:19" ht="15.75">
      <c r="S6807" s="1"/>
    </row>
    <row r="6808" spans="19:19" ht="15.75">
      <c r="S6808" s="1"/>
    </row>
    <row r="6809" spans="19:19" ht="15.75">
      <c r="S6809" s="1"/>
    </row>
    <row r="6810" spans="19:19" ht="15.75">
      <c r="S6810" s="1"/>
    </row>
    <row r="6811" spans="19:19" ht="15.75">
      <c r="S6811" s="1"/>
    </row>
    <row r="6812" spans="19:19" ht="15.75">
      <c r="S6812" s="1"/>
    </row>
    <row r="6813" spans="19:19" ht="15.75">
      <c r="S6813" s="1"/>
    </row>
    <row r="6814" spans="19:19" ht="15.75">
      <c r="S6814" s="1"/>
    </row>
    <row r="6815" spans="19:19" ht="15.75">
      <c r="S6815" s="1"/>
    </row>
    <row r="6816" spans="19:19" ht="15.75">
      <c r="S6816" s="1"/>
    </row>
    <row r="6817" spans="19:19" ht="15.75">
      <c r="S6817" s="1"/>
    </row>
    <row r="6818" spans="19:19" ht="15.75">
      <c r="S6818" s="1"/>
    </row>
    <row r="6819" spans="19:19" ht="15.75">
      <c r="S6819" s="1"/>
    </row>
    <row r="6820" spans="19:19" ht="15.75">
      <c r="S6820" s="1"/>
    </row>
    <row r="6821" spans="19:19" ht="15.75">
      <c r="S6821" s="1"/>
    </row>
    <row r="6822" spans="19:19" ht="15.75">
      <c r="S6822" s="1"/>
    </row>
    <row r="6823" spans="19:19" ht="15.75">
      <c r="S6823" s="1"/>
    </row>
    <row r="6824" spans="19:19" ht="15.75">
      <c r="S6824" s="1"/>
    </row>
    <row r="6825" spans="19:19" ht="15.75">
      <c r="S6825" s="1"/>
    </row>
    <row r="6826" spans="19:19" ht="15.75">
      <c r="S6826" s="1"/>
    </row>
    <row r="6827" spans="19:19" ht="15.75">
      <c r="S6827" s="1"/>
    </row>
    <row r="6828" spans="19:19" ht="15.75">
      <c r="S6828" s="1"/>
    </row>
    <row r="6829" spans="19:19" ht="15.75">
      <c r="S6829" s="1"/>
    </row>
    <row r="6830" spans="19:19" ht="15.75">
      <c r="S6830" s="1"/>
    </row>
    <row r="6831" spans="19:19" ht="15.75">
      <c r="S6831" s="1"/>
    </row>
    <row r="6832" spans="19:19" ht="15.75">
      <c r="S6832" s="1"/>
    </row>
    <row r="6833" spans="19:19" ht="15.75">
      <c r="S6833" s="1"/>
    </row>
    <row r="6834" spans="19:19" ht="15.75">
      <c r="S6834" s="1"/>
    </row>
    <row r="6835" spans="19:19" ht="15.75">
      <c r="S6835" s="1"/>
    </row>
    <row r="6836" spans="19:19" ht="15.75">
      <c r="S6836" s="1"/>
    </row>
    <row r="6837" spans="19:19" ht="15.75">
      <c r="S6837" s="1"/>
    </row>
    <row r="6838" spans="19:19" ht="15.75">
      <c r="S6838" s="1"/>
    </row>
    <row r="6839" spans="19:19" ht="15.75">
      <c r="S6839" s="1"/>
    </row>
    <row r="6840" spans="19:19" ht="15.75">
      <c r="S6840" s="1"/>
    </row>
    <row r="6841" spans="19:19" ht="15.75">
      <c r="S6841" s="1"/>
    </row>
    <row r="6842" spans="19:19" ht="15.75">
      <c r="S6842" s="1"/>
    </row>
    <row r="6843" spans="19:19" ht="15.75">
      <c r="S6843" s="1"/>
    </row>
    <row r="6844" spans="19:19" ht="15.75">
      <c r="S6844" s="1"/>
    </row>
    <row r="6845" spans="19:19" ht="15.75">
      <c r="S6845" s="1"/>
    </row>
    <row r="6846" spans="19:19" ht="15.75">
      <c r="S6846" s="1"/>
    </row>
    <row r="6847" spans="19:19" ht="15.75">
      <c r="S6847" s="1"/>
    </row>
    <row r="6848" spans="19:19" ht="15.75">
      <c r="S6848" s="1"/>
    </row>
    <row r="6849" spans="19:19" ht="15.75">
      <c r="S6849" s="1"/>
    </row>
    <row r="6850" spans="19:19" ht="15.75">
      <c r="S6850" s="1"/>
    </row>
    <row r="6851" spans="19:19" ht="15.75">
      <c r="S6851" s="1"/>
    </row>
    <row r="6852" spans="19:19" ht="15.75">
      <c r="S6852" s="1"/>
    </row>
    <row r="6853" spans="19:19" ht="15.75">
      <c r="S6853" s="1"/>
    </row>
    <row r="6854" spans="19:19" ht="15.75">
      <c r="S6854" s="1"/>
    </row>
    <row r="6855" spans="19:19" ht="15.75">
      <c r="S6855" s="1"/>
    </row>
    <row r="6856" spans="19:19" ht="15.75">
      <c r="S6856" s="1"/>
    </row>
    <row r="6857" spans="19:19" ht="15.75">
      <c r="S6857" s="1"/>
    </row>
    <row r="6858" spans="19:19" ht="15.75">
      <c r="S6858" s="1"/>
    </row>
    <row r="6859" spans="19:19" ht="15.75">
      <c r="S6859" s="1"/>
    </row>
    <row r="6860" spans="19:19" ht="15.75">
      <c r="S6860" s="1"/>
    </row>
    <row r="6861" spans="19:19" ht="15.75">
      <c r="S6861" s="1"/>
    </row>
    <row r="6862" spans="19:19" ht="15.75">
      <c r="S6862" s="1"/>
    </row>
    <row r="6863" spans="19:19" ht="15.75">
      <c r="S6863" s="1"/>
    </row>
    <row r="6864" spans="19:19" ht="15.75">
      <c r="S6864" s="1"/>
    </row>
    <row r="6865" spans="19:19" ht="15.75">
      <c r="S6865" s="1"/>
    </row>
    <row r="6866" spans="19:19" ht="15.75">
      <c r="S6866" s="1"/>
    </row>
    <row r="6867" spans="19:19" ht="15.75">
      <c r="S6867" s="1"/>
    </row>
    <row r="6868" spans="19:19" ht="15.75">
      <c r="S6868" s="1"/>
    </row>
    <row r="6869" spans="19:19" ht="15.75">
      <c r="S6869" s="1"/>
    </row>
    <row r="6870" spans="19:19" ht="15.75">
      <c r="S6870" s="1"/>
    </row>
    <row r="6871" spans="19:19" ht="15.75">
      <c r="S6871" s="1"/>
    </row>
    <row r="6872" spans="19:19" ht="15.75">
      <c r="S6872" s="1"/>
    </row>
    <row r="6873" spans="19:19" ht="15.75">
      <c r="S6873" s="1"/>
    </row>
    <row r="6874" spans="19:19" ht="15.75">
      <c r="S6874" s="1"/>
    </row>
    <row r="6875" spans="19:19" ht="15.75">
      <c r="S6875" s="1"/>
    </row>
    <row r="6876" spans="19:19" ht="15.75">
      <c r="S6876" s="1"/>
    </row>
    <row r="6877" spans="19:19" ht="15.75">
      <c r="S6877" s="1"/>
    </row>
    <row r="6878" spans="19:19" ht="15.75">
      <c r="S6878" s="1"/>
    </row>
    <row r="6879" spans="19:19" ht="15.75">
      <c r="S6879" s="1"/>
    </row>
    <row r="6880" spans="19:19" ht="15.75">
      <c r="S6880" s="1"/>
    </row>
    <row r="6881" spans="19:19" ht="15.75">
      <c r="S6881" s="1"/>
    </row>
    <row r="6882" spans="19:19" ht="15.75">
      <c r="S6882" s="1"/>
    </row>
    <row r="6883" spans="19:19" ht="15.75">
      <c r="S6883" s="1"/>
    </row>
    <row r="6884" spans="19:19" ht="15.75">
      <c r="S6884" s="1"/>
    </row>
    <row r="6885" spans="19:19" ht="15.75">
      <c r="S6885" s="1"/>
    </row>
    <row r="6886" spans="19:19" ht="15.75">
      <c r="S6886" s="1"/>
    </row>
    <row r="6887" spans="19:19" ht="15.75">
      <c r="S6887" s="1"/>
    </row>
    <row r="6888" spans="19:19" ht="15.75">
      <c r="S6888" s="1"/>
    </row>
    <row r="6889" spans="19:19" ht="15.75">
      <c r="S6889" s="1"/>
    </row>
    <row r="6890" spans="19:19" ht="15.75">
      <c r="S6890" s="1"/>
    </row>
    <row r="6891" spans="19:19" ht="15.75">
      <c r="S6891" s="1"/>
    </row>
    <row r="6892" spans="19:19" ht="15.75">
      <c r="S6892" s="1"/>
    </row>
    <row r="6893" spans="19:19" ht="15.75">
      <c r="S6893" s="1"/>
    </row>
    <row r="6894" spans="19:19" ht="15.75">
      <c r="S6894" s="1"/>
    </row>
    <row r="6895" spans="19:19" ht="15.75">
      <c r="S6895" s="1"/>
    </row>
    <row r="6896" spans="19:19" ht="15.75">
      <c r="S6896" s="1"/>
    </row>
    <row r="6897" spans="19:19" ht="15.75">
      <c r="S6897" s="1"/>
    </row>
    <row r="6898" spans="19:19" ht="15.75">
      <c r="S6898" s="1"/>
    </row>
    <row r="6899" spans="19:19" ht="15.75">
      <c r="S6899" s="1"/>
    </row>
    <row r="6900" spans="19:19" ht="15.75">
      <c r="S6900" s="1"/>
    </row>
    <row r="6901" spans="19:19" ht="15.75">
      <c r="S6901" s="1"/>
    </row>
    <row r="6902" spans="19:19" ht="15.75">
      <c r="S6902" s="1"/>
    </row>
    <row r="6903" spans="19:19" ht="15.75">
      <c r="S6903" s="1"/>
    </row>
    <row r="6904" spans="19:19" ht="15.75">
      <c r="S6904" s="1"/>
    </row>
    <row r="6905" spans="19:19" ht="15.75">
      <c r="S6905" s="1"/>
    </row>
    <row r="6906" spans="19:19" ht="15.75">
      <c r="S6906" s="1"/>
    </row>
    <row r="6907" spans="19:19" ht="15.75">
      <c r="S6907" s="1"/>
    </row>
    <row r="6908" spans="19:19" ht="15.75">
      <c r="S6908" s="1"/>
    </row>
    <row r="6909" spans="19:19" ht="15.75">
      <c r="S6909" s="1"/>
    </row>
    <row r="6910" spans="19:19" ht="15.75">
      <c r="S6910" s="1"/>
    </row>
    <row r="6911" spans="19:19" ht="15.75">
      <c r="S6911" s="1"/>
    </row>
    <row r="6912" spans="19:19" ht="15.75">
      <c r="S6912" s="1"/>
    </row>
    <row r="6913" spans="19:19" ht="15.75">
      <c r="S6913" s="1"/>
    </row>
    <row r="6914" spans="19:19" ht="15.75">
      <c r="S6914" s="1"/>
    </row>
    <row r="6915" spans="19:19" ht="15.75">
      <c r="S6915" s="1"/>
    </row>
    <row r="6916" spans="19:19" ht="15.75">
      <c r="S6916" s="1"/>
    </row>
    <row r="6917" spans="19:19" ht="15.75">
      <c r="S6917" s="1"/>
    </row>
    <row r="6918" spans="19:19" ht="15.75">
      <c r="S6918" s="1"/>
    </row>
    <row r="6919" spans="19:19" ht="15.75">
      <c r="S6919" s="1"/>
    </row>
    <row r="6920" spans="19:19" ht="15.75">
      <c r="S6920" s="1"/>
    </row>
    <row r="6921" spans="19:19" ht="15.75">
      <c r="S6921" s="1"/>
    </row>
    <row r="6922" spans="19:19" ht="15.75">
      <c r="S6922" s="1"/>
    </row>
    <row r="6923" spans="19:19" ht="15.75">
      <c r="S6923" s="1"/>
    </row>
    <row r="6924" spans="19:19" ht="15.75">
      <c r="S6924" s="1"/>
    </row>
    <row r="6925" spans="19:19" ht="15.75">
      <c r="S6925" s="1"/>
    </row>
    <row r="6926" spans="19:19" ht="15.75">
      <c r="S6926" s="1"/>
    </row>
    <row r="6927" spans="19:19" ht="15.75">
      <c r="S6927" s="1"/>
    </row>
    <row r="6928" spans="19:19" ht="15.75">
      <c r="S6928" s="1"/>
    </row>
    <row r="6929" spans="19:19" ht="15.75">
      <c r="S6929" s="1"/>
    </row>
    <row r="6930" spans="19:19" ht="15.75">
      <c r="S6930" s="1"/>
    </row>
    <row r="6931" spans="19:19" ht="15.75">
      <c r="S6931" s="1"/>
    </row>
    <row r="6932" spans="19:19" ht="15.75">
      <c r="S6932" s="1"/>
    </row>
    <row r="6933" spans="19:19" ht="15.75">
      <c r="S6933" s="1"/>
    </row>
    <row r="6934" spans="19:19" ht="15.75">
      <c r="S6934" s="1"/>
    </row>
    <row r="6935" spans="19:19" ht="15.75">
      <c r="S6935" s="1"/>
    </row>
    <row r="6936" spans="19:19" ht="15.75">
      <c r="S6936" s="1"/>
    </row>
    <row r="6937" spans="19:19" ht="15.75">
      <c r="S6937" s="1"/>
    </row>
    <row r="6938" spans="19:19" ht="15.75">
      <c r="S6938" s="1"/>
    </row>
    <row r="6939" spans="19:19" ht="15.75">
      <c r="S6939" s="1"/>
    </row>
    <row r="6940" spans="19:19" ht="15.75">
      <c r="S6940" s="1"/>
    </row>
    <row r="6941" spans="19:19" ht="15.75">
      <c r="S6941" s="1"/>
    </row>
    <row r="6942" spans="19:19" ht="15.75">
      <c r="S6942" s="1"/>
    </row>
    <row r="6943" spans="19:19" ht="15.75">
      <c r="S6943" s="1"/>
    </row>
    <row r="6944" spans="19:19" ht="15.75">
      <c r="S6944" s="1"/>
    </row>
    <row r="6945" spans="19:19" ht="15.75">
      <c r="S6945" s="1"/>
    </row>
    <row r="6946" spans="19:19" ht="15.75">
      <c r="S6946" s="1"/>
    </row>
    <row r="6947" spans="19:19" ht="15.75">
      <c r="S6947" s="1"/>
    </row>
    <row r="6948" spans="19:19" ht="15.75">
      <c r="S6948" s="1"/>
    </row>
    <row r="6949" spans="19:19" ht="15.75">
      <c r="S6949" s="1"/>
    </row>
    <row r="6950" spans="19:19" ht="15.75">
      <c r="S6950" s="1"/>
    </row>
    <row r="6951" spans="19:19" ht="15.75">
      <c r="S6951" s="1"/>
    </row>
    <row r="6952" spans="19:19" ht="15.75">
      <c r="S6952" s="1"/>
    </row>
    <row r="6953" spans="19:19" ht="15.75">
      <c r="S6953" s="1"/>
    </row>
    <row r="6954" spans="19:19" ht="15.75">
      <c r="S6954" s="1"/>
    </row>
    <row r="6955" spans="19:19" ht="15.75">
      <c r="S6955" s="1"/>
    </row>
    <row r="6956" spans="19:19" ht="15.75">
      <c r="S6956" s="1"/>
    </row>
    <row r="6957" spans="19:19" ht="15.75">
      <c r="S6957" s="1"/>
    </row>
    <row r="6958" spans="19:19" ht="15.75">
      <c r="S6958" s="1"/>
    </row>
    <row r="6959" spans="19:19" ht="15.75">
      <c r="S6959" s="1"/>
    </row>
    <row r="6960" spans="19:19" ht="15.75">
      <c r="S6960" s="1"/>
    </row>
    <row r="6961" spans="19:19" ht="15.75">
      <c r="S6961" s="1"/>
    </row>
    <row r="6962" spans="19:19" ht="15.75">
      <c r="S6962" s="1"/>
    </row>
    <row r="6963" spans="19:19" ht="15.75">
      <c r="S6963" s="1"/>
    </row>
    <row r="6964" spans="19:19" ht="15.75">
      <c r="S6964" s="1"/>
    </row>
    <row r="6965" spans="19:19" ht="15.75">
      <c r="S6965" s="1"/>
    </row>
    <row r="6966" spans="19:19" ht="15.75">
      <c r="S6966" s="1"/>
    </row>
    <row r="6967" spans="19:19" ht="15.75">
      <c r="S6967" s="1"/>
    </row>
    <row r="6968" spans="19:19" ht="15.75">
      <c r="S6968" s="1"/>
    </row>
    <row r="6969" spans="19:19" ht="15.75">
      <c r="S6969" s="1"/>
    </row>
    <row r="6970" spans="19:19" ht="15.75">
      <c r="S6970" s="1"/>
    </row>
    <row r="6971" spans="19:19" ht="15.75">
      <c r="S6971" s="1"/>
    </row>
    <row r="6972" spans="19:19" ht="15.75">
      <c r="S6972" s="1"/>
    </row>
    <row r="6973" spans="19:19" ht="15.75">
      <c r="S6973" s="1"/>
    </row>
    <row r="6974" spans="19:19" ht="15.75">
      <c r="S6974" s="1"/>
    </row>
    <row r="6975" spans="19:19" ht="15.75">
      <c r="S6975" s="1"/>
    </row>
    <row r="6976" spans="19:19" ht="15.75">
      <c r="S6976" s="1"/>
    </row>
    <row r="6977" spans="19:19" ht="15.75">
      <c r="S6977" s="1"/>
    </row>
    <row r="6978" spans="19:19" ht="15.75">
      <c r="S6978" s="1"/>
    </row>
    <row r="6979" spans="19:19" ht="15.75">
      <c r="S6979" s="1"/>
    </row>
    <row r="6980" spans="19:19" ht="15.75">
      <c r="S6980" s="1"/>
    </row>
    <row r="6981" spans="19:19" ht="15.75">
      <c r="S6981" s="1"/>
    </row>
    <row r="6982" spans="19:19" ht="15.75">
      <c r="S6982" s="1"/>
    </row>
    <row r="6983" spans="19:19" ht="15.75">
      <c r="S6983" s="1"/>
    </row>
    <row r="6984" spans="19:19" ht="15.75">
      <c r="S6984" s="1"/>
    </row>
    <row r="6985" spans="19:19" ht="15.75">
      <c r="S6985" s="1"/>
    </row>
    <row r="6986" spans="19:19" ht="15.75">
      <c r="S6986" s="1"/>
    </row>
    <row r="6987" spans="19:19" ht="15.75">
      <c r="S6987" s="1"/>
    </row>
    <row r="6988" spans="19:19" ht="15.75">
      <c r="S6988" s="1"/>
    </row>
    <row r="6989" spans="19:19" ht="15.75">
      <c r="S6989" s="1"/>
    </row>
    <row r="6990" spans="19:19" ht="15.75">
      <c r="S6990" s="1"/>
    </row>
    <row r="6991" spans="19:19" ht="15.75">
      <c r="S6991" s="1"/>
    </row>
    <row r="6992" spans="19:19" ht="15.75">
      <c r="S6992" s="1"/>
    </row>
    <row r="6993" spans="19:19" ht="15.75">
      <c r="S6993" s="1"/>
    </row>
    <row r="6994" spans="19:19" ht="15.75">
      <c r="S6994" s="1"/>
    </row>
    <row r="6995" spans="19:19" ht="15.75">
      <c r="S6995" s="1"/>
    </row>
    <row r="6996" spans="19:19" ht="15.75">
      <c r="S6996" s="1"/>
    </row>
    <row r="6997" spans="19:19" ht="15.75">
      <c r="S6997" s="1"/>
    </row>
    <row r="6998" spans="19:19" ht="15.75">
      <c r="S6998" s="1"/>
    </row>
    <row r="6999" spans="19:19" ht="15.75">
      <c r="S6999" s="1"/>
    </row>
    <row r="7000" spans="19:19" ht="15.75">
      <c r="S7000" s="1"/>
    </row>
    <row r="7001" spans="19:19" ht="15.75">
      <c r="S7001" s="1"/>
    </row>
    <row r="7002" spans="19:19" ht="15.75">
      <c r="S7002" s="1"/>
    </row>
    <row r="7003" spans="19:19" ht="15.75">
      <c r="S7003" s="1"/>
    </row>
    <row r="7004" spans="19:19" ht="15.75">
      <c r="S7004" s="1"/>
    </row>
    <row r="7005" spans="19:19" ht="15.75">
      <c r="S7005" s="1"/>
    </row>
    <row r="7006" spans="19:19" ht="15.75">
      <c r="S7006" s="1"/>
    </row>
    <row r="7007" spans="19:19" ht="15.75">
      <c r="S7007" s="1"/>
    </row>
    <row r="7008" spans="19:19" ht="15.75">
      <c r="S7008" s="1"/>
    </row>
    <row r="7009" spans="19:19" ht="15.75">
      <c r="S7009" s="1"/>
    </row>
    <row r="7010" spans="19:19" ht="15.75">
      <c r="S7010" s="1"/>
    </row>
    <row r="7011" spans="19:19" ht="15.75">
      <c r="S7011" s="1"/>
    </row>
    <row r="7012" spans="19:19" ht="15.75">
      <c r="S7012" s="1"/>
    </row>
    <row r="7013" spans="19:19" ht="15.75">
      <c r="S7013" s="1"/>
    </row>
    <row r="7014" spans="19:19" ht="15.75">
      <c r="S7014" s="1"/>
    </row>
    <row r="7015" spans="19:19" ht="15.75">
      <c r="S7015" s="1"/>
    </row>
    <row r="7016" spans="19:19" ht="15.75">
      <c r="S7016" s="1"/>
    </row>
    <row r="7017" spans="19:19" ht="15.75">
      <c r="S7017" s="1"/>
    </row>
    <row r="7018" spans="19:19" ht="15.75">
      <c r="S7018" s="1"/>
    </row>
    <row r="7019" spans="19:19" ht="15.75">
      <c r="S7019" s="1"/>
    </row>
    <row r="7020" spans="19:19" ht="15.75">
      <c r="S7020" s="1"/>
    </row>
    <row r="7021" spans="19:19" ht="15.75">
      <c r="S7021" s="1"/>
    </row>
    <row r="7022" spans="19:19" ht="15.75">
      <c r="S7022" s="1"/>
    </row>
    <row r="7023" spans="19:19" ht="15.75">
      <c r="S7023" s="1"/>
    </row>
    <row r="7024" spans="19:19" ht="15.75">
      <c r="S7024" s="1"/>
    </row>
    <row r="7025" spans="19:19" ht="15.75">
      <c r="S7025" s="1"/>
    </row>
    <row r="7026" spans="19:19" ht="15.75">
      <c r="S7026" s="1"/>
    </row>
    <row r="7027" spans="19:19" ht="15.75">
      <c r="S7027" s="1"/>
    </row>
    <row r="7028" spans="19:19" ht="15.75">
      <c r="S7028" s="1"/>
    </row>
    <row r="7029" spans="19:19" ht="15.75">
      <c r="S7029" s="1"/>
    </row>
    <row r="7030" spans="19:19" ht="15.75">
      <c r="S7030" s="1"/>
    </row>
    <row r="7031" spans="19:19" ht="15.75">
      <c r="S7031" s="1"/>
    </row>
    <row r="7032" spans="19:19" ht="15.75">
      <c r="S7032" s="1"/>
    </row>
    <row r="7033" spans="19:19" ht="15.75">
      <c r="S7033" s="1"/>
    </row>
    <row r="7034" spans="19:19" ht="15.75">
      <c r="S7034" s="1"/>
    </row>
    <row r="7035" spans="19:19" ht="15.75">
      <c r="S7035" s="1"/>
    </row>
    <row r="7036" spans="19:19" ht="15.75">
      <c r="S7036" s="1"/>
    </row>
    <row r="7037" spans="19:19" ht="15.75">
      <c r="S7037" s="1"/>
    </row>
    <row r="7038" spans="19:19" ht="15.75">
      <c r="S7038" s="1"/>
    </row>
    <row r="7039" spans="19:19" ht="15.75">
      <c r="S7039" s="1"/>
    </row>
    <row r="7040" spans="19:19" ht="15.75">
      <c r="S7040" s="1"/>
    </row>
    <row r="7041" spans="19:19" ht="15.75">
      <c r="S7041" s="1"/>
    </row>
    <row r="7042" spans="19:19" ht="15.75">
      <c r="S7042" s="1"/>
    </row>
    <row r="7043" spans="19:19" ht="15.75">
      <c r="S7043" s="1"/>
    </row>
    <row r="7044" spans="19:19" ht="15.75">
      <c r="S7044" s="1"/>
    </row>
    <row r="7045" spans="19:19" ht="15.75">
      <c r="S7045" s="1"/>
    </row>
    <row r="7046" spans="19:19" ht="15.75">
      <c r="S7046" s="1"/>
    </row>
    <row r="7047" spans="19:19" ht="15.75">
      <c r="S7047" s="1"/>
    </row>
    <row r="7048" spans="19:19" ht="15.75">
      <c r="S7048" s="1"/>
    </row>
    <row r="7049" spans="19:19" ht="15.75">
      <c r="S7049" s="1"/>
    </row>
    <row r="7050" spans="19:19" ht="15.75">
      <c r="S7050" s="1"/>
    </row>
    <row r="7051" spans="19:19" ht="15.75">
      <c r="S7051" s="1"/>
    </row>
    <row r="7052" spans="19:19" ht="15.75">
      <c r="S7052" s="1"/>
    </row>
    <row r="7053" spans="19:19" ht="15.75">
      <c r="S7053" s="1"/>
    </row>
    <row r="7054" spans="19:19" ht="15.75">
      <c r="S7054" s="1"/>
    </row>
    <row r="7055" spans="19:19" ht="15.75">
      <c r="S7055" s="1"/>
    </row>
    <row r="7056" spans="19:19" ht="15.75">
      <c r="S7056" s="1"/>
    </row>
    <row r="7057" spans="19:19" ht="15.75">
      <c r="S7057" s="1"/>
    </row>
    <row r="7058" spans="19:19" ht="15.75">
      <c r="S7058" s="1"/>
    </row>
    <row r="7059" spans="19:19" ht="15.75">
      <c r="S7059" s="1"/>
    </row>
    <row r="7060" spans="19:19" ht="15.75">
      <c r="S7060" s="1"/>
    </row>
    <row r="7061" spans="19:19" ht="15.75">
      <c r="S7061" s="1"/>
    </row>
    <row r="7062" spans="19:19" ht="15.75">
      <c r="S7062" s="1"/>
    </row>
    <row r="7063" spans="19:19" ht="15.75">
      <c r="S7063" s="1"/>
    </row>
    <row r="7064" spans="19:19" ht="15.75">
      <c r="S7064" s="1"/>
    </row>
    <row r="7065" spans="19:19" ht="15.75">
      <c r="S7065" s="1"/>
    </row>
    <row r="7066" spans="19:19" ht="15.75">
      <c r="S7066" s="1"/>
    </row>
    <row r="7067" spans="19:19" ht="15.75">
      <c r="S7067" s="1"/>
    </row>
    <row r="7068" spans="19:19" ht="15.75">
      <c r="S7068" s="1"/>
    </row>
    <row r="7069" spans="19:19" ht="15.75">
      <c r="S7069" s="1"/>
    </row>
    <row r="7070" spans="19:19" ht="15.75">
      <c r="S7070" s="1"/>
    </row>
    <row r="7071" spans="19:19" ht="15.75">
      <c r="S7071" s="1"/>
    </row>
    <row r="7072" spans="19:19" ht="15.75">
      <c r="S7072" s="1"/>
    </row>
    <row r="7073" spans="19:19" ht="15.75">
      <c r="S7073" s="1"/>
    </row>
    <row r="7074" spans="19:19" ht="15.75">
      <c r="S7074" s="1"/>
    </row>
    <row r="7075" spans="19:19" ht="15.75">
      <c r="S7075" s="1"/>
    </row>
    <row r="7076" spans="19:19" ht="15.75">
      <c r="S7076" s="1"/>
    </row>
    <row r="7077" spans="19:19" ht="15.75">
      <c r="S7077" s="1"/>
    </row>
    <row r="7078" spans="19:19" ht="15.75">
      <c r="S7078" s="1"/>
    </row>
    <row r="7079" spans="19:19" ht="15.75">
      <c r="S7079" s="1"/>
    </row>
    <row r="7080" spans="19:19" ht="15.75">
      <c r="S7080" s="1"/>
    </row>
    <row r="7081" spans="19:19" ht="15.75">
      <c r="S7081" s="1"/>
    </row>
    <row r="7082" spans="19:19" ht="15.75">
      <c r="S7082" s="1"/>
    </row>
    <row r="7083" spans="19:19" ht="15.75">
      <c r="S7083" s="1"/>
    </row>
    <row r="7084" spans="19:19" ht="15.75">
      <c r="S7084" s="1"/>
    </row>
    <row r="7085" spans="19:19" ht="15.75">
      <c r="S7085" s="1"/>
    </row>
    <row r="7086" spans="19:19" ht="15.75">
      <c r="S7086" s="1"/>
    </row>
    <row r="7087" spans="19:19" ht="15.75">
      <c r="S7087" s="1"/>
    </row>
    <row r="7088" spans="19:19" ht="15.75">
      <c r="S7088" s="1"/>
    </row>
    <row r="7089" spans="19:19" ht="15.75">
      <c r="S7089" s="1"/>
    </row>
    <row r="7090" spans="19:19" ht="15.75">
      <c r="S7090" s="1"/>
    </row>
    <row r="7091" spans="19:19" ht="15.75">
      <c r="S7091" s="1"/>
    </row>
    <row r="7092" spans="19:19" ht="15.75">
      <c r="S7092" s="1"/>
    </row>
    <row r="7093" spans="19:19" ht="15.75">
      <c r="S7093" s="1"/>
    </row>
    <row r="7094" spans="19:19" ht="15.75">
      <c r="S7094" s="1"/>
    </row>
    <row r="7095" spans="19:19" ht="15.75">
      <c r="S7095" s="1"/>
    </row>
    <row r="7096" spans="19:19" ht="15.75">
      <c r="S7096" s="1"/>
    </row>
    <row r="7097" spans="19:19" ht="15.75">
      <c r="S7097" s="1"/>
    </row>
    <row r="7098" spans="19:19" ht="15.75">
      <c r="S7098" s="1"/>
    </row>
    <row r="7099" spans="19:19" ht="15.75">
      <c r="S7099" s="1"/>
    </row>
    <row r="7100" spans="19:19" ht="15.75">
      <c r="S7100" s="1"/>
    </row>
    <row r="7101" spans="19:19" ht="15.75">
      <c r="S7101" s="1"/>
    </row>
    <row r="7102" spans="19:19" ht="15.75">
      <c r="S7102" s="1"/>
    </row>
    <row r="7103" spans="19:19" ht="15.75">
      <c r="S7103" s="1"/>
    </row>
    <row r="7104" spans="19:19" ht="15.75">
      <c r="S7104" s="1"/>
    </row>
    <row r="7105" spans="19:19" ht="15.75">
      <c r="S7105" s="1"/>
    </row>
    <row r="7106" spans="19:19" ht="15.75">
      <c r="S7106" s="1"/>
    </row>
    <row r="7107" spans="19:19" ht="15.75">
      <c r="S7107" s="1"/>
    </row>
    <row r="7108" spans="19:19" ht="15.75">
      <c r="S7108" s="1"/>
    </row>
    <row r="7109" spans="19:19" ht="15.75">
      <c r="S7109" s="1"/>
    </row>
    <row r="7110" spans="19:19" ht="15.75">
      <c r="S7110" s="1"/>
    </row>
    <row r="7111" spans="19:19" ht="15.75">
      <c r="S7111" s="1"/>
    </row>
    <row r="7112" spans="19:19" ht="15.75">
      <c r="S7112" s="1"/>
    </row>
    <row r="7113" spans="19:19" ht="15.75">
      <c r="S7113" s="1"/>
    </row>
    <row r="7114" spans="19:19" ht="15.75">
      <c r="S7114" s="1"/>
    </row>
    <row r="7115" spans="19:19" ht="15.75">
      <c r="S7115" s="1"/>
    </row>
    <row r="7116" spans="19:19" ht="15.75">
      <c r="S7116" s="1"/>
    </row>
    <row r="7117" spans="19:19" ht="15.75">
      <c r="S7117" s="1"/>
    </row>
    <row r="7118" spans="19:19" ht="15.75">
      <c r="S7118" s="1"/>
    </row>
    <row r="7119" spans="19:19" ht="15.75">
      <c r="S7119" s="1"/>
    </row>
    <row r="7120" spans="19:19" ht="15.75">
      <c r="S7120" s="1"/>
    </row>
    <row r="7121" spans="19:19" ht="15.75">
      <c r="S7121" s="1"/>
    </row>
    <row r="7122" spans="19:19" ht="15.75">
      <c r="S7122" s="1"/>
    </row>
    <row r="7123" spans="19:19" ht="15.75">
      <c r="S7123" s="1"/>
    </row>
    <row r="7124" spans="19:19" ht="15.75">
      <c r="S7124" s="1"/>
    </row>
    <row r="7125" spans="19:19" ht="15.75">
      <c r="S7125" s="1"/>
    </row>
    <row r="7126" spans="19:19" ht="15.75">
      <c r="S7126" s="1"/>
    </row>
    <row r="7127" spans="19:19" ht="15.75">
      <c r="S7127" s="1"/>
    </row>
    <row r="7128" spans="19:19" ht="15.75">
      <c r="S7128" s="1"/>
    </row>
    <row r="7129" spans="19:19" ht="15.75">
      <c r="S7129" s="1"/>
    </row>
    <row r="7130" spans="19:19" ht="15.75">
      <c r="S7130" s="1"/>
    </row>
    <row r="7131" spans="19:19" ht="15.75">
      <c r="S7131" s="1"/>
    </row>
    <row r="7132" spans="19:19" ht="15.75">
      <c r="S7132" s="1"/>
    </row>
    <row r="7133" spans="19:19" ht="15.75">
      <c r="S7133" s="1"/>
    </row>
    <row r="7134" spans="19:19" ht="15.75">
      <c r="S7134" s="1"/>
    </row>
    <row r="7135" spans="19:19" ht="15.75">
      <c r="S7135" s="1"/>
    </row>
    <row r="7136" spans="19:19" ht="15.75">
      <c r="S7136" s="1"/>
    </row>
    <row r="7137" spans="19:19" ht="15.75">
      <c r="S7137" s="1"/>
    </row>
    <row r="7138" spans="19:19" ht="15.75">
      <c r="S7138" s="1"/>
    </row>
    <row r="7139" spans="19:19" ht="15.75">
      <c r="S7139" s="1"/>
    </row>
    <row r="7140" spans="19:19" ht="15.75">
      <c r="S7140" s="1"/>
    </row>
    <row r="7141" spans="19:19" ht="15.75">
      <c r="S7141" s="1"/>
    </row>
    <row r="7142" spans="19:19" ht="15.75">
      <c r="S7142" s="1"/>
    </row>
    <row r="7143" spans="19:19" ht="15.75">
      <c r="S7143" s="1"/>
    </row>
    <row r="7144" spans="19:19" ht="15.75">
      <c r="S7144" s="1"/>
    </row>
    <row r="7145" spans="19:19" ht="15.75">
      <c r="S7145" s="1"/>
    </row>
    <row r="7146" spans="19:19" ht="15.75">
      <c r="S7146" s="1"/>
    </row>
    <row r="7147" spans="19:19" ht="15.75">
      <c r="S7147" s="1"/>
    </row>
    <row r="7148" spans="19:19" ht="15.75">
      <c r="S7148" s="1"/>
    </row>
    <row r="7149" spans="19:19" ht="15.75">
      <c r="S7149" s="1"/>
    </row>
    <row r="7150" spans="19:19" ht="15.75">
      <c r="S7150" s="1"/>
    </row>
    <row r="7151" spans="19:19" ht="15.75">
      <c r="S7151" s="1"/>
    </row>
    <row r="7152" spans="19:19" ht="15.75">
      <c r="S7152" s="1"/>
    </row>
    <row r="7153" spans="19:19" ht="15.75">
      <c r="S7153" s="1"/>
    </row>
    <row r="7154" spans="19:19" ht="15.75">
      <c r="S7154" s="1"/>
    </row>
    <row r="7155" spans="19:19" ht="15.75">
      <c r="S7155" s="1"/>
    </row>
    <row r="7156" spans="19:19" ht="15.75">
      <c r="S7156" s="1"/>
    </row>
    <row r="7157" spans="19:19" ht="15.75">
      <c r="S7157" s="1"/>
    </row>
    <row r="7158" spans="19:19" ht="15.75">
      <c r="S7158" s="1"/>
    </row>
    <row r="7159" spans="19:19" ht="15.75">
      <c r="S7159" s="1"/>
    </row>
    <row r="7160" spans="19:19" ht="15.75">
      <c r="S7160" s="1"/>
    </row>
    <row r="7161" spans="19:19" ht="15.75">
      <c r="S7161" s="1"/>
    </row>
    <row r="7162" spans="19:19" ht="15.75">
      <c r="S7162" s="1"/>
    </row>
    <row r="7163" spans="19:19" ht="15.75">
      <c r="S7163" s="1"/>
    </row>
    <row r="7164" spans="19:19" ht="15.75">
      <c r="S7164" s="1"/>
    </row>
    <row r="7165" spans="19:19" ht="15.75">
      <c r="S7165" s="1"/>
    </row>
    <row r="7166" spans="19:19" ht="15.75">
      <c r="S7166" s="1"/>
    </row>
    <row r="7167" spans="19:19" ht="15.75">
      <c r="S7167" s="1"/>
    </row>
    <row r="7168" spans="19:19" ht="15.75">
      <c r="S7168" s="1"/>
    </row>
    <row r="7169" spans="19:19" ht="15.75">
      <c r="S7169" s="1"/>
    </row>
    <row r="7170" spans="19:19" ht="15.75">
      <c r="S7170" s="1"/>
    </row>
    <row r="7171" spans="19:19" ht="15.75">
      <c r="S7171" s="1"/>
    </row>
    <row r="7172" spans="19:19" ht="15.75">
      <c r="S7172" s="1"/>
    </row>
    <row r="7173" spans="19:19" ht="15.75">
      <c r="S7173" s="1"/>
    </row>
    <row r="7174" spans="19:19" ht="15.75">
      <c r="S7174" s="1"/>
    </row>
    <row r="7175" spans="19:19" ht="15.75">
      <c r="S7175" s="1"/>
    </row>
    <row r="7176" spans="19:19" ht="15.75">
      <c r="S7176" s="1"/>
    </row>
    <row r="7177" spans="19:19" ht="15.75">
      <c r="S7177" s="1"/>
    </row>
    <row r="7178" spans="19:19" ht="15.75">
      <c r="S7178" s="1"/>
    </row>
    <row r="7179" spans="19:19" ht="15.75">
      <c r="S7179" s="1"/>
    </row>
    <row r="7180" spans="19:19" ht="15.75">
      <c r="S7180" s="1"/>
    </row>
    <row r="7181" spans="19:19" ht="15.75">
      <c r="S7181" s="1"/>
    </row>
    <row r="7182" spans="19:19" ht="15.75">
      <c r="S7182" s="1"/>
    </row>
    <row r="7183" spans="19:19" ht="15.75">
      <c r="S7183" s="1"/>
    </row>
    <row r="7184" spans="19:19" ht="15.75">
      <c r="S7184" s="1"/>
    </row>
    <row r="7185" spans="19:19" ht="15.75">
      <c r="S7185" s="1"/>
    </row>
    <row r="7186" spans="19:19" ht="15.75">
      <c r="S7186" s="1"/>
    </row>
    <row r="7187" spans="19:19" ht="15.75">
      <c r="S7187" s="1"/>
    </row>
    <row r="7188" spans="19:19" ht="15.75">
      <c r="S7188" s="1"/>
    </row>
    <row r="7189" spans="19:19" ht="15.75">
      <c r="S7189" s="1"/>
    </row>
    <row r="7190" spans="19:19" ht="15.75">
      <c r="S7190" s="1"/>
    </row>
    <row r="7191" spans="19:19" ht="15.75">
      <c r="S7191" s="1"/>
    </row>
    <row r="7192" spans="19:19" ht="15.75">
      <c r="S7192" s="1"/>
    </row>
    <row r="7193" spans="19:19" ht="15.75">
      <c r="S7193" s="1"/>
    </row>
    <row r="7194" spans="19:19" ht="15.75">
      <c r="S7194" s="1"/>
    </row>
    <row r="7195" spans="19:19" ht="15.75">
      <c r="S7195" s="1"/>
    </row>
    <row r="7196" spans="19:19" ht="15.75">
      <c r="S7196" s="1"/>
    </row>
    <row r="7197" spans="19:19" ht="15.75">
      <c r="S7197" s="1"/>
    </row>
    <row r="7198" spans="19:19" ht="15.75">
      <c r="S7198" s="1"/>
    </row>
    <row r="7199" spans="19:19" ht="15.75">
      <c r="S7199" s="1"/>
    </row>
    <row r="7200" spans="19:19" ht="15.75">
      <c r="S7200" s="1"/>
    </row>
    <row r="7201" spans="19:19" ht="15.75">
      <c r="S7201" s="1"/>
    </row>
    <row r="7202" spans="19:19" ht="15.75">
      <c r="S7202" s="1"/>
    </row>
    <row r="7203" spans="19:19" ht="15.75">
      <c r="S7203" s="1"/>
    </row>
    <row r="7204" spans="19:19" ht="15.75">
      <c r="S7204" s="1"/>
    </row>
    <row r="7205" spans="19:19" ht="15.75">
      <c r="S7205" s="1"/>
    </row>
    <row r="7206" spans="19:19" ht="15.75">
      <c r="S7206" s="1"/>
    </row>
    <row r="7207" spans="19:19" ht="15.75">
      <c r="S7207" s="1"/>
    </row>
    <row r="7208" spans="19:19" ht="15.75">
      <c r="S7208" s="1"/>
    </row>
    <row r="7209" spans="19:19" ht="15.75">
      <c r="S7209" s="1"/>
    </row>
    <row r="7210" spans="19:19" ht="15.75">
      <c r="S7210" s="1"/>
    </row>
    <row r="7211" spans="19:19" ht="15.75">
      <c r="S7211" s="1"/>
    </row>
    <row r="7212" spans="19:19" ht="15.75">
      <c r="S7212" s="1"/>
    </row>
    <row r="7213" spans="19:19" ht="15.75">
      <c r="S7213" s="1"/>
    </row>
    <row r="7214" spans="19:19" ht="15.75">
      <c r="S7214" s="1"/>
    </row>
    <row r="7215" spans="19:19" ht="15.75">
      <c r="S7215" s="1"/>
    </row>
    <row r="7216" spans="19:19" ht="15.75">
      <c r="S7216" s="1"/>
    </row>
    <row r="7217" spans="19:19" ht="15.75">
      <c r="S7217" s="1"/>
    </row>
    <row r="7218" spans="19:19" ht="15.75">
      <c r="S7218" s="1"/>
    </row>
    <row r="7219" spans="19:19" ht="15.75">
      <c r="S7219" s="1"/>
    </row>
    <row r="7220" spans="19:19" ht="15.75">
      <c r="S7220" s="1"/>
    </row>
    <row r="7221" spans="19:19" ht="15.75">
      <c r="S7221" s="1"/>
    </row>
    <row r="7222" spans="19:19" ht="15.75">
      <c r="S7222" s="1"/>
    </row>
    <row r="7223" spans="19:19" ht="15.75">
      <c r="S7223" s="1"/>
    </row>
    <row r="7224" spans="19:19" ht="15.75">
      <c r="S7224" s="1"/>
    </row>
    <row r="7225" spans="19:19" ht="15.75">
      <c r="S7225" s="1"/>
    </row>
    <row r="7226" spans="19:19" ht="15.75">
      <c r="S7226" s="1"/>
    </row>
    <row r="7227" spans="19:19" ht="15.75">
      <c r="S7227" s="1"/>
    </row>
    <row r="7228" spans="19:19" ht="15.75">
      <c r="S7228" s="1"/>
    </row>
    <row r="7229" spans="19:19" ht="15.75">
      <c r="S7229" s="1"/>
    </row>
    <row r="7230" spans="19:19" ht="15.75">
      <c r="S7230" s="1"/>
    </row>
    <row r="7231" spans="19:19" ht="15.75">
      <c r="S7231" s="1"/>
    </row>
    <row r="7232" spans="19:19" ht="15.75">
      <c r="S7232" s="1"/>
    </row>
    <row r="7233" spans="19:19" ht="15.75">
      <c r="S7233" s="1"/>
    </row>
    <row r="7234" spans="19:19" ht="15.75">
      <c r="S7234" s="1"/>
    </row>
    <row r="7235" spans="19:19" ht="15.75">
      <c r="S7235" s="1"/>
    </row>
    <row r="7236" spans="19:19" ht="15.75">
      <c r="S7236" s="1"/>
    </row>
    <row r="7237" spans="19:19" ht="15.75">
      <c r="S7237" s="1"/>
    </row>
    <row r="7238" spans="19:19" ht="15.75">
      <c r="S7238" s="1"/>
    </row>
    <row r="7239" spans="19:19" ht="15.75">
      <c r="S7239" s="1"/>
    </row>
    <row r="7240" spans="19:19" ht="15.75">
      <c r="S7240" s="1"/>
    </row>
    <row r="7241" spans="19:19" ht="15.75">
      <c r="S7241" s="1"/>
    </row>
    <row r="7242" spans="19:19" ht="15.75">
      <c r="S7242" s="1"/>
    </row>
    <row r="7243" spans="19:19" ht="15.75">
      <c r="S7243" s="1"/>
    </row>
    <row r="7244" spans="19:19" ht="15.75">
      <c r="S7244" s="1"/>
    </row>
    <row r="7245" spans="19:19" ht="15.75">
      <c r="S7245" s="1"/>
    </row>
    <row r="7246" spans="19:19" ht="15.75">
      <c r="S7246" s="1"/>
    </row>
    <row r="7247" spans="19:19" ht="15.75">
      <c r="S7247" s="1"/>
    </row>
    <row r="7248" spans="19:19" ht="15.75">
      <c r="S7248" s="1"/>
    </row>
    <row r="7249" spans="19:19" ht="15.75">
      <c r="S7249" s="1"/>
    </row>
    <row r="7250" spans="19:19" ht="15.75">
      <c r="S7250" s="1"/>
    </row>
    <row r="7251" spans="19:19" ht="15.75">
      <c r="S7251" s="1"/>
    </row>
    <row r="7252" spans="19:19" ht="15.75">
      <c r="S7252" s="1"/>
    </row>
    <row r="7253" spans="19:19" ht="15.75">
      <c r="S7253" s="1"/>
    </row>
    <row r="7254" spans="19:19" ht="15.75">
      <c r="S7254" s="1"/>
    </row>
    <row r="7255" spans="19:19" ht="15.75">
      <c r="S7255" s="1"/>
    </row>
    <row r="7256" spans="19:19" ht="15.75">
      <c r="S7256" s="1"/>
    </row>
    <row r="7257" spans="19:19" ht="15.75">
      <c r="S7257" s="1"/>
    </row>
    <row r="7258" spans="19:19" ht="15.75">
      <c r="S7258" s="1"/>
    </row>
    <row r="7259" spans="19:19" ht="15.75">
      <c r="S7259" s="1"/>
    </row>
    <row r="7260" spans="19:19" ht="15.75">
      <c r="S7260" s="1"/>
    </row>
    <row r="7261" spans="19:19" ht="15.75">
      <c r="S7261" s="1"/>
    </row>
    <row r="7262" spans="19:19" ht="15.75">
      <c r="S7262" s="1"/>
    </row>
    <row r="7263" spans="19:19" ht="15.75">
      <c r="S7263" s="1"/>
    </row>
    <row r="7264" spans="19:19" ht="15.75">
      <c r="S7264" s="1"/>
    </row>
    <row r="7265" spans="19:19" ht="15.75">
      <c r="S7265" s="1"/>
    </row>
    <row r="7266" spans="19:19" ht="15.75">
      <c r="S7266" s="1"/>
    </row>
    <row r="7267" spans="19:19" ht="15.75">
      <c r="S7267" s="1"/>
    </row>
    <row r="7268" spans="19:19" ht="15.75">
      <c r="S7268" s="1"/>
    </row>
    <row r="7269" spans="19:19" ht="15.75">
      <c r="S7269" s="1"/>
    </row>
    <row r="7270" spans="19:19" ht="15.75">
      <c r="S7270" s="1"/>
    </row>
    <row r="7271" spans="19:19" ht="15.75">
      <c r="S7271" s="1"/>
    </row>
    <row r="7272" spans="19:19" ht="15.75">
      <c r="S7272" s="1"/>
    </row>
    <row r="7273" spans="19:19" ht="15.75">
      <c r="S7273" s="1"/>
    </row>
    <row r="7274" spans="19:19" ht="15.75">
      <c r="S7274" s="1"/>
    </row>
    <row r="7275" spans="19:19" ht="15.75">
      <c r="S7275" s="1"/>
    </row>
    <row r="7276" spans="19:19" ht="15.75">
      <c r="S7276" s="1"/>
    </row>
    <row r="7277" spans="19:19" ht="15.75">
      <c r="S7277" s="1"/>
    </row>
    <row r="7278" spans="19:19" ht="15.75">
      <c r="S7278" s="1"/>
    </row>
    <row r="7279" spans="19:19" ht="15.75">
      <c r="S7279" s="1"/>
    </row>
    <row r="7280" spans="19:19" ht="15.75">
      <c r="S7280" s="1"/>
    </row>
    <row r="7281" spans="19:19" ht="15.75">
      <c r="S7281" s="1"/>
    </row>
    <row r="7282" spans="19:19" ht="15.75">
      <c r="S7282" s="1"/>
    </row>
    <row r="7283" spans="19:19" ht="15.75">
      <c r="S7283" s="1"/>
    </row>
    <row r="7284" spans="19:19" ht="15.75">
      <c r="S7284" s="1"/>
    </row>
    <row r="7285" spans="19:19" ht="15.75">
      <c r="S7285" s="1"/>
    </row>
    <row r="7286" spans="19:19" ht="15.75">
      <c r="S7286" s="1"/>
    </row>
    <row r="7287" spans="19:19" ht="15.75">
      <c r="S7287" s="1"/>
    </row>
    <row r="7288" spans="19:19" ht="15.75">
      <c r="S7288" s="1"/>
    </row>
    <row r="7289" spans="19:19" ht="15.75">
      <c r="S7289" s="1"/>
    </row>
    <row r="7290" spans="19:19" ht="15.75">
      <c r="S7290" s="1"/>
    </row>
    <row r="7291" spans="19:19" ht="15.75">
      <c r="S7291" s="1"/>
    </row>
    <row r="7292" spans="19:19" ht="15.75">
      <c r="S7292" s="1"/>
    </row>
    <row r="7293" spans="19:19" ht="15.75">
      <c r="S7293" s="1"/>
    </row>
    <row r="7294" spans="19:19" ht="15.75">
      <c r="S7294" s="1"/>
    </row>
    <row r="7295" spans="19:19" ht="15.75">
      <c r="S7295" s="1"/>
    </row>
    <row r="7296" spans="19:19" ht="15.75">
      <c r="S7296" s="1"/>
    </row>
    <row r="7297" spans="19:19" ht="15.75">
      <c r="S7297" s="1"/>
    </row>
    <row r="7298" spans="19:19" ht="15.75">
      <c r="S7298" s="1"/>
    </row>
    <row r="7299" spans="19:19" ht="15.75">
      <c r="S7299" s="1"/>
    </row>
    <row r="7300" spans="19:19" ht="15.75">
      <c r="S7300" s="1"/>
    </row>
    <row r="7301" spans="19:19" ht="15.75">
      <c r="S7301" s="1"/>
    </row>
    <row r="7302" spans="19:19" ht="15.75">
      <c r="S7302" s="1"/>
    </row>
    <row r="7303" spans="19:19" ht="15.75">
      <c r="S7303" s="1"/>
    </row>
    <row r="7304" spans="19:19" ht="15.75">
      <c r="S7304" s="1"/>
    </row>
    <row r="7305" spans="19:19" ht="15.75">
      <c r="S7305" s="1"/>
    </row>
    <row r="7306" spans="19:19" ht="15.75">
      <c r="S7306" s="1"/>
    </row>
    <row r="7307" spans="19:19" ht="15.75">
      <c r="S7307" s="1"/>
    </row>
    <row r="7308" spans="19:19" ht="15.75">
      <c r="S7308" s="1"/>
    </row>
    <row r="7309" spans="19:19" ht="15.75">
      <c r="S7309" s="1"/>
    </row>
    <row r="7310" spans="19:19" ht="15.75">
      <c r="S7310" s="1"/>
    </row>
    <row r="7311" spans="19:19" ht="15.75">
      <c r="S7311" s="1"/>
    </row>
    <row r="7312" spans="19:19" ht="15.75">
      <c r="S7312" s="1"/>
    </row>
    <row r="7313" spans="19:19" ht="15.75">
      <c r="S7313" s="1"/>
    </row>
    <row r="7314" spans="19:19" ht="15.75">
      <c r="S7314" s="1"/>
    </row>
    <row r="7315" spans="19:19" ht="15.75">
      <c r="S7315" s="1"/>
    </row>
    <row r="7316" spans="19:19" ht="15.75">
      <c r="S7316" s="1"/>
    </row>
    <row r="7317" spans="19:19" ht="15.75">
      <c r="S7317" s="1"/>
    </row>
    <row r="7318" spans="19:19" ht="15.75">
      <c r="S7318" s="1"/>
    </row>
    <row r="7319" spans="19:19" ht="15.75">
      <c r="S7319" s="1"/>
    </row>
    <row r="7320" spans="19:19" ht="15.75">
      <c r="S7320" s="1"/>
    </row>
    <row r="7321" spans="19:19" ht="15.75">
      <c r="S7321" s="1"/>
    </row>
    <row r="7322" spans="19:19" ht="15.75">
      <c r="S7322" s="1"/>
    </row>
    <row r="7323" spans="19:19" ht="15.75">
      <c r="S7323" s="1"/>
    </row>
    <row r="7324" spans="19:19" ht="15.75">
      <c r="S7324" s="1"/>
    </row>
    <row r="7325" spans="19:19" ht="15.75">
      <c r="S7325" s="1"/>
    </row>
    <row r="7326" spans="19:19" ht="15.75">
      <c r="S7326" s="1"/>
    </row>
    <row r="7327" spans="19:19" ht="15.75">
      <c r="S7327" s="1"/>
    </row>
    <row r="7328" spans="19:19" ht="15.75">
      <c r="S7328" s="1"/>
    </row>
    <row r="7329" spans="19:19" ht="15.75">
      <c r="S7329" s="1"/>
    </row>
    <row r="7330" spans="19:19" ht="15.75">
      <c r="S7330" s="1"/>
    </row>
    <row r="7331" spans="19:19" ht="15.75">
      <c r="S7331" s="1"/>
    </row>
    <row r="7332" spans="19:19" ht="15.75">
      <c r="S7332" s="1"/>
    </row>
    <row r="7333" spans="19:19" ht="15.75">
      <c r="S7333" s="1"/>
    </row>
    <row r="7334" spans="19:19" ht="15.75">
      <c r="S7334" s="1"/>
    </row>
    <row r="7335" spans="19:19" ht="15.75">
      <c r="S7335" s="1"/>
    </row>
    <row r="7336" spans="19:19" ht="15.75">
      <c r="S7336" s="1"/>
    </row>
    <row r="7337" spans="19:19" ht="15.75">
      <c r="S7337" s="1"/>
    </row>
    <row r="7338" spans="19:19" ht="15.75">
      <c r="S7338" s="1"/>
    </row>
    <row r="7339" spans="19:19" ht="15.75">
      <c r="S7339" s="1"/>
    </row>
    <row r="7340" spans="19:19" ht="15.75">
      <c r="S7340" s="1"/>
    </row>
    <row r="7341" spans="19:19" ht="15.75">
      <c r="S7341" s="1"/>
    </row>
    <row r="7342" spans="19:19" ht="15.75">
      <c r="S7342" s="1"/>
    </row>
    <row r="7343" spans="19:19" ht="15.75">
      <c r="S7343" s="1"/>
    </row>
    <row r="7344" spans="19:19" ht="15.75">
      <c r="S7344" s="1"/>
    </row>
    <row r="7345" spans="19:19" ht="15.75">
      <c r="S7345" s="1"/>
    </row>
    <row r="7346" spans="19:19" ht="15.75">
      <c r="S7346" s="1"/>
    </row>
    <row r="7347" spans="19:19" ht="15.75">
      <c r="S7347" s="1"/>
    </row>
    <row r="7348" spans="19:19" ht="15.75">
      <c r="S7348" s="1"/>
    </row>
    <row r="7349" spans="19:19" ht="15.75">
      <c r="S7349" s="1"/>
    </row>
    <row r="7350" spans="19:19" ht="15.75">
      <c r="S7350" s="1"/>
    </row>
    <row r="7351" spans="19:19" ht="15.75">
      <c r="S7351" s="1"/>
    </row>
    <row r="7352" spans="19:19" ht="15.75">
      <c r="S7352" s="1"/>
    </row>
    <row r="7353" spans="19:19" ht="15.75">
      <c r="S7353" s="1"/>
    </row>
    <row r="7354" spans="19:19" ht="15.75">
      <c r="S7354" s="1"/>
    </row>
    <row r="7355" spans="19:19" ht="15.75">
      <c r="S7355" s="1"/>
    </row>
    <row r="7356" spans="19:19" ht="15.75">
      <c r="S7356" s="1"/>
    </row>
    <row r="7357" spans="19:19" ht="15.75">
      <c r="S7357" s="1"/>
    </row>
    <row r="7358" spans="19:19" ht="15.75">
      <c r="S7358" s="1"/>
    </row>
    <row r="7359" spans="19:19" ht="15.75">
      <c r="S7359" s="1"/>
    </row>
    <row r="7360" spans="19:19" ht="15.75">
      <c r="S7360" s="1"/>
    </row>
    <row r="7361" spans="19:19" ht="15.75">
      <c r="S7361" s="1"/>
    </row>
    <row r="7362" spans="19:19" ht="15.75">
      <c r="S7362" s="1"/>
    </row>
    <row r="7363" spans="19:19" ht="15.75">
      <c r="S7363" s="1"/>
    </row>
    <row r="7364" spans="19:19" ht="15.75">
      <c r="S7364" s="1"/>
    </row>
    <row r="7365" spans="19:19" ht="15.75">
      <c r="S7365" s="1"/>
    </row>
    <row r="7366" spans="19:19" ht="15.75">
      <c r="S7366" s="1"/>
    </row>
    <row r="7367" spans="19:19" ht="15.75">
      <c r="S7367" s="1"/>
    </row>
    <row r="7368" spans="19:19" ht="15.75">
      <c r="S7368" s="1"/>
    </row>
    <row r="7369" spans="19:19" ht="15.75">
      <c r="S7369" s="1"/>
    </row>
    <row r="7370" spans="19:19" ht="15.75">
      <c r="S7370" s="1"/>
    </row>
    <row r="7371" spans="19:19" ht="15.75">
      <c r="S7371" s="1"/>
    </row>
    <row r="7372" spans="19:19" ht="15.75">
      <c r="S7372" s="1"/>
    </row>
    <row r="7373" spans="19:19" ht="15.75">
      <c r="S7373" s="1"/>
    </row>
    <row r="7374" spans="19:19" ht="15.75">
      <c r="S7374" s="1"/>
    </row>
    <row r="7375" spans="19:19" ht="15.75">
      <c r="S7375" s="1"/>
    </row>
    <row r="7376" spans="19:19" ht="15.75">
      <c r="S7376" s="1"/>
    </row>
    <row r="7377" spans="19:19" ht="15.75">
      <c r="S7377" s="1"/>
    </row>
    <row r="7378" spans="19:19" ht="15.75">
      <c r="S7378" s="1"/>
    </row>
    <row r="7379" spans="19:19" ht="15.75">
      <c r="S7379" s="1"/>
    </row>
    <row r="7380" spans="19:19" ht="15.75">
      <c r="S7380" s="1"/>
    </row>
    <row r="7381" spans="19:19" ht="15.75">
      <c r="S7381" s="1"/>
    </row>
    <row r="7382" spans="19:19" ht="15.75">
      <c r="S7382" s="1"/>
    </row>
    <row r="7383" spans="19:19" ht="15.75">
      <c r="S7383" s="1"/>
    </row>
    <row r="7384" spans="19:19" ht="15.75">
      <c r="S7384" s="1"/>
    </row>
    <row r="7385" spans="19:19" ht="15.75">
      <c r="S7385" s="1"/>
    </row>
    <row r="7386" spans="19:19" ht="15.75">
      <c r="S7386" s="1"/>
    </row>
    <row r="7387" spans="19:19" ht="15.75">
      <c r="S7387" s="1"/>
    </row>
    <row r="7388" spans="19:19" ht="15.75">
      <c r="S7388" s="1"/>
    </row>
    <row r="7389" spans="19:19" ht="15.75">
      <c r="S7389" s="1"/>
    </row>
    <row r="7390" spans="19:19" ht="15.75">
      <c r="S7390" s="1"/>
    </row>
    <row r="7391" spans="19:19" ht="15.75">
      <c r="S7391" s="1"/>
    </row>
    <row r="7392" spans="19:19" ht="15.75">
      <c r="S7392" s="1"/>
    </row>
    <row r="7393" spans="19:19" ht="15.75">
      <c r="S7393" s="1"/>
    </row>
    <row r="7394" spans="19:19" ht="15.75">
      <c r="S7394" s="1"/>
    </row>
    <row r="7395" spans="19:19" ht="15.75">
      <c r="S7395" s="1"/>
    </row>
    <row r="7396" spans="19:19" ht="15.75">
      <c r="S7396" s="1"/>
    </row>
    <row r="7397" spans="19:19" ht="15.75">
      <c r="S7397" s="1"/>
    </row>
    <row r="7398" spans="19:19" ht="15.75">
      <c r="S7398" s="1"/>
    </row>
    <row r="7399" spans="19:19" ht="15.75">
      <c r="S7399" s="1"/>
    </row>
    <row r="7400" spans="19:19" ht="15.75">
      <c r="S7400" s="1"/>
    </row>
    <row r="7401" spans="19:19" ht="15.75">
      <c r="S7401" s="1"/>
    </row>
    <row r="7402" spans="19:19" ht="15.75">
      <c r="S7402" s="1"/>
    </row>
    <row r="7403" spans="19:19" ht="15.75">
      <c r="S7403" s="1"/>
    </row>
    <row r="7404" spans="19:19" ht="15.75">
      <c r="S7404" s="1"/>
    </row>
    <row r="7405" spans="19:19" ht="15.75">
      <c r="S7405" s="1"/>
    </row>
    <row r="7406" spans="19:19" ht="15.75">
      <c r="S7406" s="1"/>
    </row>
    <row r="7407" spans="19:19" ht="15.75">
      <c r="S7407" s="1"/>
    </row>
    <row r="7408" spans="19:19" ht="15.75">
      <c r="S7408" s="1"/>
    </row>
    <row r="7409" spans="19:19" ht="15.75">
      <c r="S7409" s="1"/>
    </row>
    <row r="7410" spans="19:19" ht="15.75">
      <c r="S7410" s="1"/>
    </row>
    <row r="7411" spans="19:19" ht="15.75">
      <c r="S7411" s="1"/>
    </row>
    <row r="7412" spans="19:19" ht="15.75">
      <c r="S7412" s="1"/>
    </row>
    <row r="7413" spans="19:19" ht="15.75">
      <c r="S7413" s="1"/>
    </row>
    <row r="7414" spans="19:19" ht="15.75">
      <c r="S7414" s="1"/>
    </row>
    <row r="7415" spans="19:19" ht="15.75">
      <c r="S7415" s="1"/>
    </row>
    <row r="7416" spans="19:19" ht="15.75">
      <c r="S7416" s="1"/>
    </row>
    <row r="7417" spans="19:19" ht="15.75">
      <c r="S7417" s="1"/>
    </row>
    <row r="7418" spans="19:19" ht="15.75">
      <c r="S7418" s="1"/>
    </row>
    <row r="7419" spans="19:19" ht="15.75">
      <c r="S7419" s="1"/>
    </row>
    <row r="7420" spans="19:19" ht="15.75">
      <c r="S7420" s="1"/>
    </row>
    <row r="7421" spans="19:19" ht="15.75">
      <c r="S7421" s="1"/>
    </row>
    <row r="7422" spans="19:19" ht="15.75">
      <c r="S7422" s="1"/>
    </row>
    <row r="7423" spans="19:19" ht="15.75">
      <c r="S7423" s="1"/>
    </row>
    <row r="7424" spans="19:19" ht="15.75">
      <c r="S7424" s="1"/>
    </row>
    <row r="7425" spans="19:19" ht="15.75">
      <c r="S7425" s="1"/>
    </row>
    <row r="7426" spans="19:19" ht="15.75">
      <c r="S7426" s="1"/>
    </row>
    <row r="7427" spans="19:19" ht="15.75">
      <c r="S7427" s="1"/>
    </row>
    <row r="7428" spans="19:19" ht="15.75">
      <c r="S7428" s="1"/>
    </row>
    <row r="7429" spans="19:19" ht="15.75">
      <c r="S7429" s="1"/>
    </row>
    <row r="7430" spans="19:19" ht="15.75">
      <c r="S7430" s="1"/>
    </row>
    <row r="7431" spans="19:19" ht="15.75">
      <c r="S7431" s="1"/>
    </row>
    <row r="7432" spans="19:19" ht="15.75">
      <c r="S7432" s="1"/>
    </row>
    <row r="7433" spans="19:19" ht="15.75">
      <c r="S7433" s="1"/>
    </row>
    <row r="7434" spans="19:19" ht="15.75">
      <c r="S7434" s="1"/>
    </row>
    <row r="7435" spans="19:19" ht="15.75">
      <c r="S7435" s="1"/>
    </row>
    <row r="7436" spans="19:19" ht="15.75">
      <c r="S7436" s="1"/>
    </row>
    <row r="7437" spans="19:19" ht="15.75">
      <c r="S7437" s="1"/>
    </row>
    <row r="7438" spans="19:19" ht="15.75">
      <c r="S7438" s="1"/>
    </row>
    <row r="7439" spans="19:19" ht="15.75">
      <c r="S7439" s="1"/>
    </row>
    <row r="7440" spans="19:19" ht="15.75">
      <c r="S7440" s="1"/>
    </row>
    <row r="7441" spans="19:19" ht="15.75">
      <c r="S7441" s="1"/>
    </row>
    <row r="7442" spans="19:19" ht="15.75">
      <c r="S7442" s="1"/>
    </row>
    <row r="7443" spans="19:19" ht="15.75">
      <c r="S7443" s="1"/>
    </row>
    <row r="7444" spans="19:19" ht="15.75">
      <c r="S7444" s="1"/>
    </row>
    <row r="7445" spans="19:19" ht="15.75">
      <c r="S7445" s="1"/>
    </row>
    <row r="7446" spans="19:19" ht="15.75">
      <c r="S7446" s="1"/>
    </row>
    <row r="7447" spans="19:19" ht="15.75">
      <c r="S7447" s="1"/>
    </row>
    <row r="7448" spans="19:19" ht="15.75">
      <c r="S7448" s="1"/>
    </row>
    <row r="7449" spans="19:19" ht="15.75">
      <c r="S7449" s="1"/>
    </row>
    <row r="7450" spans="19:19" ht="15.75">
      <c r="S7450" s="1"/>
    </row>
    <row r="7451" spans="19:19" ht="15.75">
      <c r="S7451" s="1"/>
    </row>
    <row r="7452" spans="19:19" ht="15.75">
      <c r="S7452" s="1"/>
    </row>
    <row r="7453" spans="19:19" ht="15.75">
      <c r="S7453" s="1"/>
    </row>
    <row r="7454" spans="19:19" ht="15.75">
      <c r="S7454" s="1"/>
    </row>
    <row r="7455" spans="19:19" ht="15.75">
      <c r="S7455" s="1"/>
    </row>
    <row r="7456" spans="19:19" ht="15.75">
      <c r="S7456" s="1"/>
    </row>
    <row r="7457" spans="19:19" ht="15.75">
      <c r="S7457" s="1"/>
    </row>
    <row r="7458" spans="19:19" ht="15.75">
      <c r="S7458" s="1"/>
    </row>
    <row r="7459" spans="19:19" ht="15.75">
      <c r="S7459" s="1"/>
    </row>
    <row r="7460" spans="19:19" ht="15.75">
      <c r="S7460" s="1"/>
    </row>
    <row r="7461" spans="19:19" ht="15.75">
      <c r="S7461" s="1"/>
    </row>
    <row r="7462" spans="19:19" ht="15.75">
      <c r="S7462" s="1"/>
    </row>
    <row r="7463" spans="19:19" ht="15.75">
      <c r="S7463" s="1"/>
    </row>
    <row r="7464" spans="19:19" ht="15.75">
      <c r="S7464" s="1"/>
    </row>
    <row r="7465" spans="19:19" ht="15.75">
      <c r="S7465" s="1"/>
    </row>
    <row r="7466" spans="19:19" ht="15.75">
      <c r="S7466" s="1"/>
    </row>
    <row r="7467" spans="19:19" ht="15.75">
      <c r="S7467" s="1"/>
    </row>
    <row r="7468" spans="19:19" ht="15.75">
      <c r="S7468" s="1"/>
    </row>
    <row r="7469" spans="19:19" ht="15.75">
      <c r="S7469" s="1"/>
    </row>
    <row r="7470" spans="19:19" ht="15.75">
      <c r="S7470" s="1"/>
    </row>
    <row r="7471" spans="19:19" ht="15.75">
      <c r="S7471" s="1"/>
    </row>
    <row r="7472" spans="19:19" ht="15.75">
      <c r="S7472" s="1"/>
    </row>
    <row r="7473" spans="19:19" ht="15.75">
      <c r="S7473" s="1"/>
    </row>
    <row r="7474" spans="19:19" ht="15.75">
      <c r="S7474" s="1"/>
    </row>
    <row r="7475" spans="19:19" ht="15.75">
      <c r="S7475" s="1"/>
    </row>
    <row r="7476" spans="19:19" ht="15.75">
      <c r="S7476" s="1"/>
    </row>
    <row r="7477" spans="19:19" ht="15.75">
      <c r="S7477" s="1"/>
    </row>
    <row r="7478" spans="19:19" ht="15.75">
      <c r="S7478" s="1"/>
    </row>
    <row r="7479" spans="19:19" ht="15.75">
      <c r="S7479" s="1"/>
    </row>
    <row r="7480" spans="19:19" ht="15.75">
      <c r="S7480" s="1"/>
    </row>
    <row r="7481" spans="19:19" ht="15.75">
      <c r="S7481" s="1"/>
    </row>
    <row r="7482" spans="19:19" ht="15.75">
      <c r="S7482" s="1"/>
    </row>
    <row r="7483" spans="19:19" ht="15.75">
      <c r="S7483" s="1"/>
    </row>
    <row r="7484" spans="19:19" ht="15.75">
      <c r="S7484" s="1"/>
    </row>
    <row r="7485" spans="19:19" ht="15.75">
      <c r="S7485" s="1"/>
    </row>
    <row r="7486" spans="19:19" ht="15.75">
      <c r="S7486" s="1"/>
    </row>
    <row r="7487" spans="19:19" ht="15.75">
      <c r="S7487" s="1"/>
    </row>
    <row r="7488" spans="19:19" ht="15.75">
      <c r="S7488" s="1"/>
    </row>
    <row r="7489" spans="19:19" ht="15.75">
      <c r="S7489" s="1"/>
    </row>
    <row r="7490" spans="19:19" ht="15.75">
      <c r="S7490" s="1"/>
    </row>
    <row r="7491" spans="19:19" ht="15.75">
      <c r="S7491" s="1"/>
    </row>
    <row r="7492" spans="19:19" ht="15.75">
      <c r="S7492" s="1"/>
    </row>
    <row r="7493" spans="19:19" ht="15.75">
      <c r="S7493" s="1"/>
    </row>
    <row r="7494" spans="19:19" ht="15.75">
      <c r="S7494" s="1"/>
    </row>
    <row r="7495" spans="19:19" ht="15.75">
      <c r="S7495" s="1"/>
    </row>
    <row r="7496" spans="19:19" ht="15.75">
      <c r="S7496" s="1"/>
    </row>
    <row r="7497" spans="19:19" ht="15.75">
      <c r="S7497" s="1"/>
    </row>
    <row r="7498" spans="19:19" ht="15.75">
      <c r="S7498" s="1"/>
    </row>
    <row r="7499" spans="19:19" ht="15.75">
      <c r="S7499" s="1"/>
    </row>
    <row r="7500" spans="19:19" ht="15.75">
      <c r="S7500" s="1"/>
    </row>
    <row r="7501" spans="19:19" ht="15.75">
      <c r="S7501" s="1"/>
    </row>
    <row r="7502" spans="19:19" ht="15.75">
      <c r="S7502" s="1"/>
    </row>
    <row r="7503" spans="19:19" ht="15.75">
      <c r="S7503" s="1"/>
    </row>
    <row r="7504" spans="19:19" ht="15.75">
      <c r="S7504" s="1"/>
    </row>
    <row r="7505" spans="19:19" ht="15.75">
      <c r="S7505" s="1"/>
    </row>
    <row r="7506" spans="19:19" ht="15.75">
      <c r="S7506" s="1"/>
    </row>
    <row r="7507" spans="19:19" ht="15.75">
      <c r="S7507" s="1"/>
    </row>
    <row r="7508" spans="19:19" ht="15.75">
      <c r="S7508" s="1"/>
    </row>
    <row r="7509" spans="19:19" ht="15.75">
      <c r="S7509" s="1"/>
    </row>
    <row r="7510" spans="19:19" ht="15.75">
      <c r="S7510" s="1"/>
    </row>
    <row r="7511" spans="19:19" ht="15.75">
      <c r="S7511" s="1"/>
    </row>
    <row r="7512" spans="19:19" ht="15.75">
      <c r="S7512" s="1"/>
    </row>
    <row r="7513" spans="19:19" ht="15.75">
      <c r="S7513" s="1"/>
    </row>
    <row r="7514" spans="19:19" ht="15.75">
      <c r="S7514" s="1"/>
    </row>
    <row r="7515" spans="19:19" ht="15.75">
      <c r="S7515" s="1"/>
    </row>
    <row r="7516" spans="19:19" ht="15.75">
      <c r="S7516" s="1"/>
    </row>
    <row r="7517" spans="19:19" ht="15.75">
      <c r="S7517" s="1"/>
    </row>
    <row r="7518" spans="19:19" ht="15.75">
      <c r="S7518" s="1"/>
    </row>
    <row r="7519" spans="19:19" ht="15.75">
      <c r="S7519" s="1"/>
    </row>
    <row r="7520" spans="19:19" ht="15.75">
      <c r="S7520" s="1"/>
    </row>
    <row r="7521" spans="19:19" ht="15.75">
      <c r="S7521" s="1"/>
    </row>
    <row r="7522" spans="19:19" ht="15.75">
      <c r="S7522" s="1"/>
    </row>
    <row r="7523" spans="19:19" ht="15.75">
      <c r="S7523" s="1"/>
    </row>
    <row r="7524" spans="19:19" ht="15.75">
      <c r="S7524" s="1"/>
    </row>
    <row r="7525" spans="19:19" ht="15.75">
      <c r="S7525" s="1"/>
    </row>
    <row r="7526" spans="19:19" ht="15.75">
      <c r="S7526" s="1"/>
    </row>
    <row r="7527" spans="19:19" ht="15.75">
      <c r="S7527" s="1"/>
    </row>
    <row r="7528" spans="19:19" ht="15.75">
      <c r="S7528" s="1"/>
    </row>
    <row r="7529" spans="19:19" ht="15.75">
      <c r="S7529" s="1"/>
    </row>
    <row r="7530" spans="19:19" ht="15.75">
      <c r="S7530" s="1"/>
    </row>
    <row r="7531" spans="19:19" ht="15.75">
      <c r="S7531" s="1"/>
    </row>
    <row r="7532" spans="19:19" ht="15.75">
      <c r="S7532" s="1"/>
    </row>
    <row r="7533" spans="19:19" ht="15.75">
      <c r="S7533" s="1"/>
    </row>
    <row r="7534" spans="19:19" ht="15.75">
      <c r="S7534" s="1"/>
    </row>
    <row r="7535" spans="19:19" ht="15.75">
      <c r="S7535" s="1"/>
    </row>
    <row r="7536" spans="19:19" ht="15.75">
      <c r="S7536" s="1"/>
    </row>
    <row r="7537" spans="19:19" ht="15.75">
      <c r="S7537" s="1"/>
    </row>
    <row r="7538" spans="19:19" ht="15.75">
      <c r="S7538" s="1"/>
    </row>
    <row r="7539" spans="19:19" ht="15.75">
      <c r="S7539" s="1"/>
    </row>
    <row r="7540" spans="19:19" ht="15.75">
      <c r="S7540" s="1"/>
    </row>
    <row r="7541" spans="19:19" ht="15.75">
      <c r="S7541" s="1"/>
    </row>
    <row r="7542" spans="19:19" ht="15.75">
      <c r="S7542" s="1"/>
    </row>
    <row r="7543" spans="19:19" ht="15.75">
      <c r="S7543" s="1"/>
    </row>
    <row r="7544" spans="19:19" ht="15.75">
      <c r="S7544" s="1"/>
    </row>
    <row r="7545" spans="19:19" ht="15.75">
      <c r="S7545" s="1"/>
    </row>
    <row r="7546" spans="19:19" ht="15.75">
      <c r="S7546" s="1"/>
    </row>
    <row r="7547" spans="19:19" ht="15.75">
      <c r="S7547" s="1"/>
    </row>
    <row r="7548" spans="19:19" ht="15.75">
      <c r="S7548" s="1"/>
    </row>
    <row r="7549" spans="19:19" ht="15.75">
      <c r="S7549" s="1"/>
    </row>
    <row r="7550" spans="19:19" ht="15.75">
      <c r="S7550" s="1"/>
    </row>
    <row r="7551" spans="19:19" ht="15.75">
      <c r="S7551" s="1"/>
    </row>
    <row r="7552" spans="19:19" ht="15.75">
      <c r="S7552" s="1"/>
    </row>
    <row r="7553" spans="19:19" ht="15.75">
      <c r="S7553" s="1"/>
    </row>
    <row r="7554" spans="19:19" ht="15.75">
      <c r="S7554" s="1"/>
    </row>
    <row r="7555" spans="19:19" ht="15.75">
      <c r="S7555" s="1"/>
    </row>
    <row r="7556" spans="19:19" ht="15.75">
      <c r="S7556" s="1"/>
    </row>
    <row r="7557" spans="19:19" ht="15.75">
      <c r="S7557" s="1"/>
    </row>
    <row r="7558" spans="19:19" ht="15.75">
      <c r="S7558" s="1"/>
    </row>
    <row r="7559" spans="19:19" ht="15.75">
      <c r="S7559" s="1"/>
    </row>
    <row r="7560" spans="19:19" ht="15.75">
      <c r="S7560" s="1"/>
    </row>
    <row r="7561" spans="19:19" ht="15.75">
      <c r="S7561" s="1"/>
    </row>
    <row r="7562" spans="19:19" ht="15.75">
      <c r="S7562" s="1"/>
    </row>
    <row r="7563" spans="19:19" ht="15.75">
      <c r="S7563" s="1"/>
    </row>
    <row r="7564" spans="19:19" ht="15.75">
      <c r="S7564" s="1"/>
    </row>
    <row r="7565" spans="19:19" ht="15.75">
      <c r="S7565" s="1"/>
    </row>
    <row r="7566" spans="19:19" ht="15.75">
      <c r="S7566" s="1"/>
    </row>
    <row r="7567" spans="19:19" ht="15.75">
      <c r="S7567" s="1"/>
    </row>
    <row r="7568" spans="19:19" ht="15.75">
      <c r="S7568" s="1"/>
    </row>
    <row r="7569" spans="19:19" ht="15.75">
      <c r="S7569" s="1"/>
    </row>
    <row r="7570" spans="19:19" ht="15.75">
      <c r="S7570" s="1"/>
    </row>
    <row r="7571" spans="19:19" ht="15.75">
      <c r="S7571" s="1"/>
    </row>
    <row r="7572" spans="19:19" ht="15.75">
      <c r="S7572" s="1"/>
    </row>
    <row r="7573" spans="19:19" ht="15.75">
      <c r="S7573" s="1"/>
    </row>
    <row r="7574" spans="19:19" ht="15.75">
      <c r="S7574" s="1"/>
    </row>
    <row r="7575" spans="19:19" ht="15.75">
      <c r="S7575" s="1"/>
    </row>
    <row r="7576" spans="19:19" ht="15.75">
      <c r="S7576" s="1"/>
    </row>
    <row r="7577" spans="19:19" ht="15.75">
      <c r="S7577" s="1"/>
    </row>
    <row r="7578" spans="19:19" ht="15.75">
      <c r="S7578" s="1"/>
    </row>
    <row r="7579" spans="19:19" ht="15.75">
      <c r="S7579" s="1"/>
    </row>
    <row r="7580" spans="19:19" ht="15.75">
      <c r="S7580" s="1"/>
    </row>
    <row r="7581" spans="19:19" ht="15.75">
      <c r="S7581" s="1"/>
    </row>
    <row r="7582" spans="19:19" ht="15.75">
      <c r="S7582" s="1"/>
    </row>
    <row r="7583" spans="19:19" ht="15.75">
      <c r="S7583" s="1"/>
    </row>
    <row r="7584" spans="19:19" ht="15.75">
      <c r="S7584" s="1"/>
    </row>
    <row r="7585" spans="19:19" ht="15.75">
      <c r="S7585" s="1"/>
    </row>
    <row r="7586" spans="19:19" ht="15.75">
      <c r="S7586" s="1"/>
    </row>
    <row r="7587" spans="19:19" ht="15.75">
      <c r="S7587" s="1"/>
    </row>
    <row r="7588" spans="19:19" ht="15.75">
      <c r="S7588" s="1"/>
    </row>
    <row r="7589" spans="19:19" ht="15.75">
      <c r="S7589" s="1"/>
    </row>
    <row r="7590" spans="19:19" ht="15.75">
      <c r="S7590" s="1"/>
    </row>
    <row r="7591" spans="19:19" ht="15.75">
      <c r="S7591" s="1"/>
    </row>
    <row r="7592" spans="19:19" ht="15.75">
      <c r="S7592" s="1"/>
    </row>
    <row r="7593" spans="19:19" ht="15.75">
      <c r="S7593" s="1"/>
    </row>
    <row r="7594" spans="19:19" ht="15.75">
      <c r="S7594" s="1"/>
    </row>
    <row r="7595" spans="19:19" ht="15.75">
      <c r="S7595" s="1"/>
    </row>
    <row r="7596" spans="19:19" ht="15.75">
      <c r="S7596" s="1"/>
    </row>
    <row r="7597" spans="19:19" ht="15.75">
      <c r="S7597" s="1"/>
    </row>
    <row r="7598" spans="19:19" ht="15.75">
      <c r="S7598" s="1"/>
    </row>
    <row r="7599" spans="19:19" ht="15.75">
      <c r="S7599" s="1"/>
    </row>
    <row r="7600" spans="19:19" ht="15.75">
      <c r="S7600" s="1"/>
    </row>
    <row r="7601" spans="19:19" ht="15.75">
      <c r="S7601" s="1"/>
    </row>
    <row r="7602" spans="19:19" ht="15.75">
      <c r="S7602" s="1"/>
    </row>
    <row r="7603" spans="19:19" ht="15.75">
      <c r="S7603" s="1"/>
    </row>
    <row r="7604" spans="19:19" ht="15.75">
      <c r="S7604" s="1"/>
    </row>
    <row r="7605" spans="19:19" ht="15.75">
      <c r="S7605" s="1"/>
    </row>
    <row r="7606" spans="19:19" ht="15.75">
      <c r="S7606" s="1"/>
    </row>
    <row r="7607" spans="19:19" ht="15.75">
      <c r="S7607" s="1"/>
    </row>
    <row r="7608" spans="19:19" ht="15.75">
      <c r="S7608" s="1"/>
    </row>
    <row r="7609" spans="19:19" ht="15.75">
      <c r="S7609" s="1"/>
    </row>
    <row r="7610" spans="19:19" ht="15.75">
      <c r="S7610" s="1"/>
    </row>
    <row r="7611" spans="19:19" ht="15.75">
      <c r="S7611" s="1"/>
    </row>
    <row r="7612" spans="19:19" ht="15.75">
      <c r="S7612" s="1"/>
    </row>
    <row r="7613" spans="19:19" ht="15.75">
      <c r="S7613" s="1"/>
    </row>
    <row r="7614" spans="19:19" ht="15.75">
      <c r="S7614" s="1"/>
    </row>
    <row r="7615" spans="19:19" ht="15.75">
      <c r="S7615" s="1"/>
    </row>
    <row r="7616" spans="19:19" ht="15.75">
      <c r="S7616" s="1"/>
    </row>
    <row r="7617" spans="19:19" ht="15.75">
      <c r="S7617" s="1"/>
    </row>
    <row r="7618" spans="19:19" ht="15.75">
      <c r="S7618" s="1"/>
    </row>
    <row r="7619" spans="19:19" ht="15.75">
      <c r="S7619" s="1"/>
    </row>
    <row r="7620" spans="19:19" ht="15.75">
      <c r="S7620" s="1"/>
    </row>
    <row r="7621" spans="19:19" ht="15.75">
      <c r="S7621" s="1"/>
    </row>
    <row r="7622" spans="19:19" ht="15.75">
      <c r="S7622" s="1"/>
    </row>
    <row r="7623" spans="19:19" ht="15.75">
      <c r="S7623" s="1"/>
    </row>
    <row r="7624" spans="19:19" ht="15.75">
      <c r="S7624" s="1"/>
    </row>
    <row r="7625" spans="19:19" ht="15.75">
      <c r="S7625" s="1"/>
    </row>
    <row r="7626" spans="19:19" ht="15.75">
      <c r="S7626" s="1"/>
    </row>
    <row r="7627" spans="19:19" ht="15.75">
      <c r="S7627" s="1"/>
    </row>
    <row r="7628" spans="19:19" ht="15.75">
      <c r="S7628" s="1"/>
    </row>
    <row r="7629" spans="19:19" ht="15.75">
      <c r="S7629" s="1"/>
    </row>
    <row r="7630" spans="19:19" ht="15.75">
      <c r="S7630" s="1"/>
    </row>
    <row r="7631" spans="19:19" ht="15.75">
      <c r="S7631" s="1"/>
    </row>
    <row r="7632" spans="19:19" ht="15.75">
      <c r="S7632" s="1"/>
    </row>
    <row r="7633" spans="19:19" ht="15.75">
      <c r="S7633" s="1"/>
    </row>
    <row r="7634" spans="19:19" ht="15.75">
      <c r="S7634" s="1"/>
    </row>
    <row r="7635" spans="19:19" ht="15.75">
      <c r="S7635" s="1"/>
    </row>
    <row r="7636" spans="19:19" ht="15.75">
      <c r="S7636" s="1"/>
    </row>
    <row r="7637" spans="19:19" ht="15.75">
      <c r="S7637" s="1"/>
    </row>
    <row r="7638" spans="19:19" ht="15.75">
      <c r="S7638" s="1"/>
    </row>
    <row r="7639" spans="19:19" ht="15.75">
      <c r="S7639" s="1"/>
    </row>
    <row r="7640" spans="19:19" ht="15.75">
      <c r="S7640" s="1"/>
    </row>
    <row r="7641" spans="19:19" ht="15.75">
      <c r="S7641" s="1"/>
    </row>
    <row r="7642" spans="19:19" ht="15.75">
      <c r="S7642" s="1"/>
    </row>
    <row r="7643" spans="19:19" ht="15.75">
      <c r="S7643" s="1"/>
    </row>
    <row r="7644" spans="19:19" ht="15.75">
      <c r="S7644" s="1"/>
    </row>
    <row r="7645" spans="19:19" ht="15.75">
      <c r="S7645" s="1"/>
    </row>
    <row r="7646" spans="19:19" ht="15.75">
      <c r="S7646" s="1"/>
    </row>
    <row r="7647" spans="19:19" ht="15.75">
      <c r="S7647" s="1"/>
    </row>
    <row r="7648" spans="19:19" ht="15.75">
      <c r="S7648" s="1"/>
    </row>
    <row r="7649" spans="19:19" ht="15.75">
      <c r="S7649" s="1"/>
    </row>
    <row r="7650" spans="19:19" ht="15.75">
      <c r="S7650" s="1"/>
    </row>
    <row r="7651" spans="19:19" ht="15.75">
      <c r="S7651" s="1"/>
    </row>
    <row r="7652" spans="19:19" ht="15.75">
      <c r="S7652" s="1"/>
    </row>
    <row r="7653" spans="19:19" ht="15.75">
      <c r="S7653" s="1"/>
    </row>
    <row r="7654" spans="19:19" ht="15.75">
      <c r="S7654" s="1"/>
    </row>
    <row r="7655" spans="19:19" ht="15.75">
      <c r="S7655" s="1"/>
    </row>
    <row r="7656" spans="19:19" ht="15.75">
      <c r="S7656" s="1"/>
    </row>
    <row r="7657" spans="19:19" ht="15.75">
      <c r="S7657" s="1"/>
    </row>
    <row r="7658" spans="19:19" ht="15.75">
      <c r="S7658" s="1"/>
    </row>
    <row r="7659" spans="19:19" ht="15.75">
      <c r="S7659" s="1"/>
    </row>
    <row r="7660" spans="19:19" ht="15.75">
      <c r="S7660" s="1"/>
    </row>
    <row r="7661" spans="19:19" ht="15.75">
      <c r="S7661" s="1"/>
    </row>
    <row r="7662" spans="19:19" ht="15.75">
      <c r="S7662" s="1"/>
    </row>
    <row r="7663" spans="19:19" ht="15.75">
      <c r="S7663" s="1"/>
    </row>
    <row r="7664" spans="19:19" ht="15.75">
      <c r="S7664" s="1"/>
    </row>
    <row r="7665" spans="19:19" ht="15.75">
      <c r="S7665" s="1"/>
    </row>
    <row r="7666" spans="19:19" ht="15.75">
      <c r="S7666" s="1"/>
    </row>
    <row r="7667" spans="19:19" ht="15.75">
      <c r="S7667" s="1"/>
    </row>
    <row r="7668" spans="19:19" ht="15.75">
      <c r="S7668" s="1"/>
    </row>
    <row r="7669" spans="19:19" ht="15.75">
      <c r="S7669" s="1"/>
    </row>
    <row r="7670" spans="19:19" ht="15.75">
      <c r="S7670" s="1"/>
    </row>
    <row r="7671" spans="19:19" ht="15.75">
      <c r="S7671" s="1"/>
    </row>
    <row r="7672" spans="19:19" ht="15.75">
      <c r="S7672" s="1"/>
    </row>
    <row r="7673" spans="19:19" ht="15.75">
      <c r="S7673" s="1"/>
    </row>
    <row r="7674" spans="19:19" ht="15.75">
      <c r="S7674" s="1"/>
    </row>
    <row r="7675" spans="19:19" ht="15.75">
      <c r="S7675" s="1"/>
    </row>
    <row r="7676" spans="19:19" ht="15.75">
      <c r="S7676" s="1"/>
    </row>
    <row r="7677" spans="19:19" ht="15.75">
      <c r="S7677" s="1"/>
    </row>
    <row r="7678" spans="19:19" ht="15.75">
      <c r="S7678" s="1"/>
    </row>
    <row r="7679" spans="19:19" ht="15.75">
      <c r="S7679" s="1"/>
    </row>
    <row r="7680" spans="19:19" ht="15.75">
      <c r="S7680" s="1"/>
    </row>
    <row r="7681" spans="19:19" ht="15.75">
      <c r="S7681" s="1"/>
    </row>
    <row r="7682" spans="19:19" ht="15.75">
      <c r="S7682" s="1"/>
    </row>
    <row r="7683" spans="19:19" ht="15.75">
      <c r="S7683" s="1"/>
    </row>
    <row r="7684" spans="19:19" ht="15.75">
      <c r="S7684" s="1"/>
    </row>
    <row r="7685" spans="19:19" ht="15.75">
      <c r="S7685" s="1"/>
    </row>
    <row r="7686" spans="19:19" ht="15.75">
      <c r="S7686" s="1"/>
    </row>
    <row r="7687" spans="19:19" ht="15.75">
      <c r="S7687" s="1"/>
    </row>
    <row r="7688" spans="19:19" ht="15.75">
      <c r="S7688" s="1"/>
    </row>
    <row r="7689" spans="19:19" ht="15.75">
      <c r="S7689" s="1"/>
    </row>
    <row r="7690" spans="19:19" ht="15.75">
      <c r="S7690" s="1"/>
    </row>
    <row r="7691" spans="19:19" ht="15.75">
      <c r="S7691" s="1"/>
    </row>
    <row r="7692" spans="19:19" ht="15.75">
      <c r="S7692" s="1"/>
    </row>
    <row r="7693" spans="19:19" ht="15.75">
      <c r="S7693" s="1"/>
    </row>
    <row r="7694" spans="19:19" ht="15.75">
      <c r="S7694" s="1"/>
    </row>
    <row r="7695" spans="19:19" ht="15.75">
      <c r="S7695" s="1"/>
    </row>
    <row r="7696" spans="19:19" ht="15.75">
      <c r="S7696" s="1"/>
    </row>
    <row r="7697" spans="19:19" ht="15.75">
      <c r="S7697" s="1"/>
    </row>
    <row r="7698" spans="19:19" ht="15.75">
      <c r="S7698" s="1"/>
    </row>
    <row r="7699" spans="19:19" ht="15.75">
      <c r="S7699" s="1"/>
    </row>
    <row r="7700" spans="19:19" ht="15.75">
      <c r="S7700" s="1"/>
    </row>
    <row r="7701" spans="19:19" ht="15.75">
      <c r="S7701" s="1"/>
    </row>
    <row r="7702" spans="19:19" ht="15.75">
      <c r="S7702" s="1"/>
    </row>
    <row r="7703" spans="19:19" ht="15.75">
      <c r="S7703" s="1"/>
    </row>
    <row r="7704" spans="19:19" ht="15.75">
      <c r="S7704" s="1"/>
    </row>
    <row r="7705" spans="19:19" ht="15.75">
      <c r="S7705" s="1"/>
    </row>
    <row r="7706" spans="19:19" ht="15.75">
      <c r="S7706" s="1"/>
    </row>
    <row r="7707" spans="19:19" ht="15.75">
      <c r="S7707" s="1"/>
    </row>
    <row r="7708" spans="19:19" ht="15.75">
      <c r="S7708" s="1"/>
    </row>
    <row r="7709" spans="19:19" ht="15.75">
      <c r="S7709" s="1"/>
    </row>
    <row r="7710" spans="19:19" ht="15.75">
      <c r="S7710" s="1"/>
    </row>
    <row r="7711" spans="19:19" ht="15.75">
      <c r="S7711" s="1"/>
    </row>
    <row r="7712" spans="19:19" ht="15.75">
      <c r="S7712" s="1"/>
    </row>
    <row r="7713" spans="19:19" ht="15.75">
      <c r="S7713" s="1"/>
    </row>
    <row r="7714" spans="19:19" ht="15.75">
      <c r="S7714" s="1"/>
    </row>
    <row r="7715" spans="19:19" ht="15.75">
      <c r="S7715" s="1"/>
    </row>
    <row r="7716" spans="19:19" ht="15.75">
      <c r="S7716" s="1"/>
    </row>
    <row r="7717" spans="19:19" ht="15.75">
      <c r="S7717" s="1"/>
    </row>
    <row r="7718" spans="19:19" ht="15.75">
      <c r="S7718" s="1"/>
    </row>
    <row r="7719" spans="19:19" ht="15.75">
      <c r="S7719" s="1"/>
    </row>
    <row r="7720" spans="19:19" ht="15.75">
      <c r="S7720" s="1"/>
    </row>
    <row r="7721" spans="19:19" ht="15.75">
      <c r="S7721" s="1"/>
    </row>
    <row r="7722" spans="19:19" ht="15.75">
      <c r="S7722" s="1"/>
    </row>
    <row r="7723" spans="19:19" ht="15.75">
      <c r="S7723" s="1"/>
    </row>
    <row r="7724" spans="19:19" ht="15.75">
      <c r="S7724" s="1"/>
    </row>
    <row r="7725" spans="19:19" ht="15.75">
      <c r="S7725" s="1"/>
    </row>
    <row r="7726" spans="19:19" ht="15.75">
      <c r="S7726" s="1"/>
    </row>
    <row r="7727" spans="19:19" ht="15.75">
      <c r="S7727" s="1"/>
    </row>
    <row r="7728" spans="19:19" ht="15.75">
      <c r="S7728" s="1"/>
    </row>
    <row r="7729" spans="19:19" ht="15.75">
      <c r="S7729" s="1"/>
    </row>
    <row r="7730" spans="19:19" ht="15.75">
      <c r="S7730" s="1"/>
    </row>
    <row r="7731" spans="19:19" ht="15.75">
      <c r="S7731" s="1"/>
    </row>
    <row r="7732" spans="19:19" ht="15.75">
      <c r="S7732" s="1"/>
    </row>
    <row r="7733" spans="19:19" ht="15.75">
      <c r="S7733" s="1"/>
    </row>
    <row r="7734" spans="19:19" ht="15.75">
      <c r="S7734" s="1"/>
    </row>
    <row r="7735" spans="19:19" ht="15.75">
      <c r="S7735" s="1"/>
    </row>
    <row r="7736" spans="19:19" ht="15.75">
      <c r="S7736" s="1"/>
    </row>
    <row r="7737" spans="19:19" ht="15.75">
      <c r="S7737" s="1"/>
    </row>
    <row r="7738" spans="19:19" ht="15.75">
      <c r="S7738" s="1"/>
    </row>
    <row r="7739" spans="19:19" ht="15.75">
      <c r="S7739" s="1"/>
    </row>
    <row r="7740" spans="19:19" ht="15.75">
      <c r="S7740" s="1"/>
    </row>
    <row r="7741" spans="19:19" ht="15.75">
      <c r="S7741" s="1"/>
    </row>
    <row r="7742" spans="19:19" ht="15.75">
      <c r="S7742" s="1"/>
    </row>
    <row r="7743" spans="19:19" ht="15.75">
      <c r="S7743" s="1"/>
    </row>
    <row r="7744" spans="19:19" ht="15.75">
      <c r="S7744" s="1"/>
    </row>
    <row r="7745" spans="19:19" ht="15.75">
      <c r="S7745" s="1"/>
    </row>
    <row r="7746" spans="19:19" ht="15.75">
      <c r="S7746" s="1"/>
    </row>
    <row r="7747" spans="19:19" ht="15.75">
      <c r="S7747" s="1"/>
    </row>
    <row r="7748" spans="19:19" ht="15.75">
      <c r="S7748" s="1"/>
    </row>
    <row r="7749" spans="19:19" ht="15.75">
      <c r="S7749" s="1"/>
    </row>
    <row r="7750" spans="19:19" ht="15.75">
      <c r="S7750" s="1"/>
    </row>
    <row r="7751" spans="19:19" ht="15.75">
      <c r="S7751" s="1"/>
    </row>
    <row r="7752" spans="19:19" ht="15.75">
      <c r="S7752" s="1"/>
    </row>
    <row r="7753" spans="19:19" ht="15.75">
      <c r="S7753" s="1"/>
    </row>
    <row r="7754" spans="19:19" ht="15.75">
      <c r="S7754" s="1"/>
    </row>
    <row r="7755" spans="19:19" ht="15.75">
      <c r="S7755" s="1"/>
    </row>
    <row r="7756" spans="19:19" ht="15.75">
      <c r="S7756" s="1"/>
    </row>
    <row r="7757" spans="19:19" ht="15.75">
      <c r="S7757" s="1"/>
    </row>
    <row r="7758" spans="19:19" ht="15.75">
      <c r="S7758" s="1"/>
    </row>
    <row r="7759" spans="19:19" ht="15.75">
      <c r="S7759" s="1"/>
    </row>
    <row r="7760" spans="19:19" ht="15.75">
      <c r="S7760" s="1"/>
    </row>
    <row r="7761" spans="19:19" ht="15.75">
      <c r="S7761" s="1"/>
    </row>
    <row r="7762" spans="19:19" ht="15.75">
      <c r="S7762" s="1"/>
    </row>
    <row r="7763" spans="19:19" ht="15.75">
      <c r="S7763" s="1"/>
    </row>
    <row r="7764" spans="19:19" ht="15.75">
      <c r="S7764" s="1"/>
    </row>
    <row r="7765" spans="19:19" ht="15.75">
      <c r="S7765" s="1"/>
    </row>
    <row r="7766" spans="19:19" ht="15.75">
      <c r="S7766" s="1"/>
    </row>
    <row r="7767" spans="19:19" ht="15.75">
      <c r="S7767" s="1"/>
    </row>
    <row r="7768" spans="19:19" ht="15.75">
      <c r="S7768" s="1"/>
    </row>
    <row r="7769" spans="19:19" ht="15.75">
      <c r="S7769" s="1"/>
    </row>
    <row r="7770" spans="19:19" ht="15.75">
      <c r="S7770" s="1"/>
    </row>
    <row r="7771" spans="19:19" ht="15.75">
      <c r="S7771" s="1"/>
    </row>
    <row r="7772" spans="19:19" ht="15.75">
      <c r="S7772" s="1"/>
    </row>
    <row r="7773" spans="19:19" ht="15.75">
      <c r="S7773" s="1"/>
    </row>
    <row r="7774" spans="19:19" ht="15.75">
      <c r="S7774" s="1"/>
    </row>
    <row r="7775" spans="19:19" ht="15.75">
      <c r="S7775" s="1"/>
    </row>
    <row r="7776" spans="19:19" ht="15.75">
      <c r="S7776" s="1"/>
    </row>
    <row r="7777" spans="19:19" ht="15.75">
      <c r="S7777" s="1"/>
    </row>
    <row r="7778" spans="19:19" ht="15.75">
      <c r="S7778" s="1"/>
    </row>
    <row r="7779" spans="19:19" ht="15.75">
      <c r="S7779" s="1"/>
    </row>
    <row r="7780" spans="19:19" ht="15.75">
      <c r="S7780" s="1"/>
    </row>
    <row r="7781" spans="19:19" ht="15.75">
      <c r="S7781" s="1"/>
    </row>
    <row r="7782" spans="19:19" ht="15.75">
      <c r="S7782" s="1"/>
    </row>
    <row r="7783" spans="19:19" ht="15.75">
      <c r="S7783" s="1"/>
    </row>
    <row r="7784" spans="19:19" ht="15.75">
      <c r="S7784" s="1"/>
    </row>
    <row r="7785" spans="19:19" ht="15.75">
      <c r="S7785" s="1"/>
    </row>
    <row r="7786" spans="19:19" ht="15.75">
      <c r="S7786" s="1"/>
    </row>
    <row r="7787" spans="19:19" ht="15.75">
      <c r="S7787" s="1"/>
    </row>
    <row r="7788" spans="19:19" ht="15.75">
      <c r="S7788" s="1"/>
    </row>
    <row r="7789" spans="19:19" ht="15.75">
      <c r="S7789" s="1"/>
    </row>
    <row r="7790" spans="19:19" ht="15.75">
      <c r="S7790" s="1"/>
    </row>
    <row r="7791" spans="19:19" ht="15.75">
      <c r="S7791" s="1"/>
    </row>
    <row r="7792" spans="19:19" ht="15.75">
      <c r="S7792" s="1"/>
    </row>
    <row r="7793" spans="19:19" ht="15.75">
      <c r="S7793" s="1"/>
    </row>
    <row r="7794" spans="19:19" ht="15.75">
      <c r="S7794" s="1"/>
    </row>
    <row r="7795" spans="19:19" ht="15.75">
      <c r="S7795" s="1"/>
    </row>
    <row r="7796" spans="19:19" ht="15.75">
      <c r="S7796" s="1"/>
    </row>
    <row r="7797" spans="19:19" ht="15.75">
      <c r="S7797" s="1"/>
    </row>
    <row r="7798" spans="19:19" ht="15.75">
      <c r="S7798" s="1"/>
    </row>
    <row r="7799" spans="19:19" ht="15.75">
      <c r="S7799" s="1"/>
    </row>
    <row r="7800" spans="19:19" ht="15.75">
      <c r="S7800" s="1"/>
    </row>
    <row r="7801" spans="19:19" ht="15.75">
      <c r="S7801" s="1"/>
    </row>
    <row r="7802" spans="19:19" ht="15.75">
      <c r="S7802" s="1"/>
    </row>
    <row r="7803" spans="19:19" ht="15.75">
      <c r="S7803" s="1"/>
    </row>
    <row r="7804" spans="19:19" ht="15.75">
      <c r="S7804" s="1"/>
    </row>
    <row r="7805" spans="19:19" ht="15.75">
      <c r="S7805" s="1"/>
    </row>
    <row r="7806" spans="19:19" ht="15.75">
      <c r="S7806" s="1"/>
    </row>
    <row r="7807" spans="19:19" ht="15.75">
      <c r="S7807" s="1"/>
    </row>
    <row r="7808" spans="19:19" ht="15.75">
      <c r="S7808" s="1"/>
    </row>
    <row r="7809" spans="19:19" ht="15.75">
      <c r="S7809" s="1"/>
    </row>
    <row r="7810" spans="19:19" ht="15.75">
      <c r="S7810" s="1"/>
    </row>
    <row r="7811" spans="19:19" ht="15.75">
      <c r="S7811" s="1"/>
    </row>
    <row r="7812" spans="19:19" ht="15.75">
      <c r="S7812" s="1"/>
    </row>
    <row r="7813" spans="19:19" ht="15.75">
      <c r="S7813" s="1"/>
    </row>
    <row r="7814" spans="19:19" ht="15.75">
      <c r="S7814" s="1"/>
    </row>
    <row r="7815" spans="19:19" ht="15.75">
      <c r="S7815" s="1"/>
    </row>
    <row r="7816" spans="19:19" ht="15.75">
      <c r="S7816" s="1"/>
    </row>
    <row r="7817" spans="19:19" ht="15.75">
      <c r="S7817" s="1"/>
    </row>
    <row r="7818" spans="19:19" ht="15.75">
      <c r="S7818" s="1"/>
    </row>
    <row r="7819" spans="19:19" ht="15.75">
      <c r="S7819" s="1"/>
    </row>
    <row r="7820" spans="19:19" ht="15.75">
      <c r="S7820" s="1"/>
    </row>
    <row r="7821" spans="19:19" ht="15.75">
      <c r="S7821" s="1"/>
    </row>
    <row r="7822" spans="19:19" ht="15.75">
      <c r="S7822" s="1"/>
    </row>
    <row r="7823" spans="19:19" ht="15.75">
      <c r="S7823" s="1"/>
    </row>
    <row r="7824" spans="19:19" ht="15.75">
      <c r="S7824" s="1"/>
    </row>
    <row r="7825" spans="19:19" ht="15.75">
      <c r="S7825" s="1"/>
    </row>
    <row r="7826" spans="19:19" ht="15.75">
      <c r="S7826" s="1"/>
    </row>
    <row r="7827" spans="19:19" ht="15.75">
      <c r="S7827" s="1"/>
    </row>
    <row r="7828" spans="19:19" ht="15.75">
      <c r="S7828" s="1"/>
    </row>
    <row r="7829" spans="19:19" ht="15.75">
      <c r="S7829" s="1"/>
    </row>
    <row r="7830" spans="19:19" ht="15.75">
      <c r="S7830" s="1"/>
    </row>
    <row r="7831" spans="19:19" ht="15.75">
      <c r="S7831" s="1"/>
    </row>
    <row r="7832" spans="19:19" ht="15.75">
      <c r="S7832" s="1"/>
    </row>
    <row r="7833" spans="19:19" ht="15.75">
      <c r="S7833" s="1"/>
    </row>
    <row r="7834" spans="19:19" ht="15.75">
      <c r="S7834" s="1"/>
    </row>
    <row r="7835" spans="19:19" ht="15.75">
      <c r="S7835" s="1"/>
    </row>
    <row r="7836" spans="19:19" ht="15.75">
      <c r="S7836" s="1"/>
    </row>
    <row r="7837" spans="19:19" ht="15.75">
      <c r="S7837" s="1"/>
    </row>
    <row r="7838" spans="19:19" ht="15.75">
      <c r="S7838" s="1"/>
    </row>
    <row r="7839" spans="19:19" ht="15.75">
      <c r="S7839" s="1"/>
    </row>
    <row r="7840" spans="19:19" ht="15.75">
      <c r="S7840" s="1"/>
    </row>
    <row r="7841" spans="19:19" ht="15.75">
      <c r="S7841" s="1"/>
    </row>
    <row r="7842" spans="19:19" ht="15.75">
      <c r="S7842" s="1"/>
    </row>
    <row r="7843" spans="19:19" ht="15.75">
      <c r="S7843" s="1"/>
    </row>
    <row r="7844" spans="19:19" ht="15.75">
      <c r="S7844" s="1"/>
    </row>
    <row r="7845" spans="19:19" ht="15.75">
      <c r="S7845" s="1"/>
    </row>
    <row r="7846" spans="19:19" ht="15.75">
      <c r="S7846" s="1"/>
    </row>
    <row r="7847" spans="19:19" ht="15.75">
      <c r="S7847" s="1"/>
    </row>
    <row r="7848" spans="19:19" ht="15.75">
      <c r="S7848" s="1"/>
    </row>
    <row r="7849" spans="19:19" ht="15.75">
      <c r="S7849" s="1"/>
    </row>
    <row r="7850" spans="19:19" ht="15.75">
      <c r="S7850" s="1"/>
    </row>
    <row r="7851" spans="19:19" ht="15.75">
      <c r="S7851" s="1"/>
    </row>
    <row r="7852" spans="19:19" ht="15.75">
      <c r="S7852" s="1"/>
    </row>
    <row r="7853" spans="19:19" ht="15.75">
      <c r="S7853" s="1"/>
    </row>
    <row r="7854" spans="19:19" ht="15.75">
      <c r="S7854" s="1"/>
    </row>
    <row r="7855" spans="19:19" ht="15.75">
      <c r="S7855" s="1"/>
    </row>
    <row r="7856" spans="19:19" ht="15.75">
      <c r="S7856" s="1"/>
    </row>
    <row r="7857" spans="19:19" ht="15.75">
      <c r="S7857" s="1"/>
    </row>
    <row r="7858" spans="19:19" ht="15.75">
      <c r="S7858" s="1"/>
    </row>
    <row r="7859" spans="19:19" ht="15.75">
      <c r="S7859" s="1"/>
    </row>
    <row r="7860" spans="19:19" ht="15.75">
      <c r="S7860" s="1"/>
    </row>
    <row r="7861" spans="19:19" ht="15.75">
      <c r="S7861" s="1"/>
    </row>
    <row r="7862" spans="19:19" ht="15.75">
      <c r="S7862" s="1"/>
    </row>
    <row r="7863" spans="19:19" ht="15.75">
      <c r="S7863" s="1"/>
    </row>
    <row r="7864" spans="19:19" ht="15.75">
      <c r="S7864" s="1"/>
    </row>
    <row r="7865" spans="19:19" ht="15.75">
      <c r="S7865" s="1"/>
    </row>
    <row r="7866" spans="19:19" ht="15.75">
      <c r="S7866" s="1"/>
    </row>
    <row r="7867" spans="19:19" ht="15.75">
      <c r="S7867" s="1"/>
    </row>
    <row r="7868" spans="19:19" ht="15.75">
      <c r="S7868" s="1"/>
    </row>
    <row r="7869" spans="19:19" ht="15.75">
      <c r="S7869" s="1"/>
    </row>
    <row r="7870" spans="19:19" ht="15.75">
      <c r="S7870" s="1"/>
    </row>
    <row r="7871" spans="19:19" ht="15.75">
      <c r="S7871" s="1"/>
    </row>
    <row r="7872" spans="19:19" ht="15.75">
      <c r="S7872" s="1"/>
    </row>
    <row r="7873" spans="19:19" ht="15.75">
      <c r="S7873" s="1"/>
    </row>
    <row r="7874" spans="19:19" ht="15.75">
      <c r="S7874" s="1"/>
    </row>
    <row r="7875" spans="19:19" ht="15.75">
      <c r="S7875" s="1"/>
    </row>
    <row r="7876" spans="19:19" ht="15.75">
      <c r="S7876" s="1"/>
    </row>
    <row r="7877" spans="19:19" ht="15.75">
      <c r="S7877" s="1"/>
    </row>
    <row r="7878" spans="19:19" ht="15.75">
      <c r="S7878" s="1"/>
    </row>
    <row r="7879" spans="19:19" ht="15.75">
      <c r="S7879" s="1"/>
    </row>
    <row r="7880" spans="19:19" ht="15.75">
      <c r="S7880" s="1"/>
    </row>
    <row r="7881" spans="19:19" ht="15.75">
      <c r="S7881" s="1"/>
    </row>
    <row r="7882" spans="19:19" ht="15.75">
      <c r="S7882" s="1"/>
    </row>
    <row r="7883" spans="19:19" ht="15.75">
      <c r="S7883" s="1"/>
    </row>
    <row r="7884" spans="19:19" ht="15.75">
      <c r="S7884" s="1"/>
    </row>
    <row r="7885" spans="19:19" ht="15.75">
      <c r="S7885" s="1"/>
    </row>
    <row r="7886" spans="19:19" ht="15.75">
      <c r="S7886" s="1"/>
    </row>
    <row r="7887" spans="19:19" ht="15.75">
      <c r="S7887" s="1"/>
    </row>
    <row r="7888" spans="19:19" ht="15.75">
      <c r="S7888" s="1"/>
    </row>
    <row r="7889" spans="19:19" ht="15.75">
      <c r="S7889" s="1"/>
    </row>
    <row r="7890" spans="19:19" ht="15.75">
      <c r="S7890" s="1"/>
    </row>
    <row r="7891" spans="19:19" ht="15.75">
      <c r="S7891" s="1"/>
    </row>
    <row r="7892" spans="19:19" ht="15.75">
      <c r="S7892" s="1"/>
    </row>
    <row r="7893" spans="19:19" ht="15.75">
      <c r="S7893" s="1"/>
    </row>
    <row r="7894" spans="19:19" ht="15.75">
      <c r="S7894" s="1"/>
    </row>
    <row r="7895" spans="19:19" ht="15.75">
      <c r="S7895" s="1"/>
    </row>
    <row r="7896" spans="19:19" ht="15.75">
      <c r="S7896" s="1"/>
    </row>
    <row r="7897" spans="19:19" ht="15.75">
      <c r="S7897" s="1"/>
    </row>
    <row r="7898" spans="19:19" ht="15.75">
      <c r="S7898" s="1"/>
    </row>
    <row r="7899" spans="19:19" ht="15.75">
      <c r="S7899" s="1"/>
    </row>
    <row r="7900" spans="19:19" ht="15.75">
      <c r="S7900" s="1"/>
    </row>
    <row r="7901" spans="19:19" ht="15.75">
      <c r="S7901" s="1"/>
    </row>
    <row r="7902" spans="19:19" ht="15.75">
      <c r="S7902" s="1"/>
    </row>
    <row r="7903" spans="19:19" ht="15.75">
      <c r="S7903" s="1"/>
    </row>
    <row r="7904" spans="19:19" ht="15.75">
      <c r="S7904" s="1"/>
    </row>
    <row r="7905" spans="19:19" ht="15.75">
      <c r="S7905" s="1"/>
    </row>
    <row r="7906" spans="19:19" ht="15.75">
      <c r="S7906" s="1"/>
    </row>
    <row r="7907" spans="19:19" ht="15.75">
      <c r="S7907" s="1"/>
    </row>
    <row r="7908" spans="19:19" ht="15.75">
      <c r="S7908" s="1"/>
    </row>
    <row r="7909" spans="19:19" ht="15.75">
      <c r="S7909" s="1"/>
    </row>
    <row r="7910" spans="19:19" ht="15.75">
      <c r="S7910" s="1"/>
    </row>
    <row r="7911" spans="19:19" ht="15.75">
      <c r="S7911" s="1"/>
    </row>
    <row r="7912" spans="19:19" ht="15.75">
      <c r="S7912" s="1"/>
    </row>
    <row r="7913" spans="19:19" ht="15.75">
      <c r="S7913" s="1"/>
    </row>
    <row r="7914" spans="19:19" ht="15.75">
      <c r="S7914" s="1"/>
    </row>
    <row r="7915" spans="19:19" ht="15.75">
      <c r="S7915" s="1"/>
    </row>
    <row r="7916" spans="19:19" ht="15.75">
      <c r="S7916" s="1"/>
    </row>
    <row r="7917" spans="19:19" ht="15.75">
      <c r="S7917" s="1"/>
    </row>
    <row r="7918" spans="19:19" ht="15.75">
      <c r="S7918" s="1"/>
    </row>
    <row r="7919" spans="19:19" ht="15.75">
      <c r="S7919" s="1"/>
    </row>
    <row r="7920" spans="19:19" ht="15.75">
      <c r="S7920" s="1"/>
    </row>
    <row r="7921" spans="19:19" ht="15.75">
      <c r="S7921" s="1"/>
    </row>
    <row r="7922" spans="19:19" ht="15.75">
      <c r="S7922" s="1"/>
    </row>
    <row r="7923" spans="19:19" ht="15.75">
      <c r="S7923" s="1"/>
    </row>
    <row r="7924" spans="19:19" ht="15.75">
      <c r="S7924" s="1"/>
    </row>
    <row r="7925" spans="19:19" ht="15.75">
      <c r="S7925" s="1"/>
    </row>
    <row r="7926" spans="19:19" ht="15.75">
      <c r="S7926" s="1"/>
    </row>
    <row r="7927" spans="19:19" ht="15.75">
      <c r="S7927" s="1"/>
    </row>
    <row r="7928" spans="19:19" ht="15.75">
      <c r="S7928" s="1"/>
    </row>
    <row r="7929" spans="19:19" ht="15.75">
      <c r="S7929" s="1"/>
    </row>
    <row r="7930" spans="19:19" ht="15.75">
      <c r="S7930" s="1"/>
    </row>
    <row r="7931" spans="19:19" ht="15.75">
      <c r="S7931" s="1"/>
    </row>
    <row r="7932" spans="19:19" ht="15.75">
      <c r="S7932" s="1"/>
    </row>
    <row r="7933" spans="19:19" ht="15.75">
      <c r="S7933" s="1"/>
    </row>
    <row r="7934" spans="19:19" ht="15.75">
      <c r="S7934" s="1"/>
    </row>
    <row r="7935" spans="19:19" ht="15.75">
      <c r="S7935" s="1"/>
    </row>
    <row r="7936" spans="19:19" ht="15.75">
      <c r="S7936" s="1"/>
    </row>
    <row r="7937" spans="19:19" ht="15.75">
      <c r="S7937" s="1"/>
    </row>
    <row r="7938" spans="19:19" ht="15.75">
      <c r="S7938" s="1"/>
    </row>
    <row r="7939" spans="19:19" ht="15.75">
      <c r="S7939" s="1"/>
    </row>
    <row r="7940" spans="19:19" ht="15.75">
      <c r="S7940" s="1"/>
    </row>
    <row r="7941" spans="19:19" ht="15.75">
      <c r="S7941" s="1"/>
    </row>
    <row r="7942" spans="19:19" ht="15.75">
      <c r="S7942" s="1"/>
    </row>
    <row r="7943" spans="19:19" ht="15.75">
      <c r="S7943" s="1"/>
    </row>
    <row r="7944" spans="19:19" ht="15.75">
      <c r="S7944" s="1"/>
    </row>
    <row r="7945" spans="19:19" ht="15.75">
      <c r="S7945" s="1"/>
    </row>
    <row r="7946" spans="19:19" ht="15.75">
      <c r="S7946" s="1"/>
    </row>
    <row r="7947" spans="19:19" ht="15.75">
      <c r="S7947" s="1"/>
    </row>
    <row r="7948" spans="19:19" ht="15.75">
      <c r="S7948" s="1"/>
    </row>
    <row r="7949" spans="19:19" ht="15.75">
      <c r="S7949" s="1"/>
    </row>
    <row r="7950" spans="19:19" ht="15.75">
      <c r="S7950" s="1"/>
    </row>
    <row r="7951" spans="19:19" ht="15.75">
      <c r="S7951" s="1"/>
    </row>
    <row r="7952" spans="19:19" ht="15.75">
      <c r="S7952" s="1"/>
    </row>
    <row r="7953" spans="19:19" ht="15.75">
      <c r="S7953" s="1"/>
    </row>
    <row r="7954" spans="19:19" ht="15.75">
      <c r="S7954" s="1"/>
    </row>
    <row r="7955" spans="19:19" ht="15.75">
      <c r="S7955" s="1"/>
    </row>
    <row r="7956" spans="19:19" ht="15.75">
      <c r="S7956" s="1"/>
    </row>
    <row r="7957" spans="19:19" ht="15.75">
      <c r="S7957" s="1"/>
    </row>
    <row r="7958" spans="19:19" ht="15.75">
      <c r="S7958" s="1"/>
    </row>
    <row r="7959" spans="19:19" ht="15.75">
      <c r="S7959" s="1"/>
    </row>
    <row r="7960" spans="19:19" ht="15.75">
      <c r="S7960" s="1"/>
    </row>
    <row r="7961" spans="19:19" ht="15.75">
      <c r="S7961" s="1"/>
    </row>
    <row r="7962" spans="19:19" ht="15.75">
      <c r="S7962" s="1"/>
    </row>
    <row r="7963" spans="19:19" ht="15.75">
      <c r="S7963" s="1"/>
    </row>
    <row r="7964" spans="19:19" ht="15.75">
      <c r="S7964" s="1"/>
    </row>
    <row r="7965" spans="19:19" ht="15.75">
      <c r="S7965" s="1"/>
    </row>
    <row r="7966" spans="19:19" ht="15.75">
      <c r="S7966" s="1"/>
    </row>
    <row r="7967" spans="19:19" ht="15.75">
      <c r="S7967" s="1"/>
    </row>
    <row r="7968" spans="19:19" ht="15.75">
      <c r="S7968" s="1"/>
    </row>
    <row r="7969" spans="19:19" ht="15.75">
      <c r="S7969" s="1"/>
    </row>
    <row r="7970" spans="19:19" ht="15.75">
      <c r="S7970" s="1"/>
    </row>
    <row r="7971" spans="19:19" ht="15.75">
      <c r="S7971" s="1"/>
    </row>
    <row r="7972" spans="19:19" ht="15.75">
      <c r="S7972" s="1"/>
    </row>
    <row r="7973" spans="19:19" ht="15.75">
      <c r="S7973" s="1"/>
    </row>
    <row r="7974" spans="19:19" ht="15.75">
      <c r="S7974" s="1"/>
    </row>
    <row r="7975" spans="19:19" ht="15.75">
      <c r="S7975" s="1"/>
    </row>
    <row r="7976" spans="19:19" ht="15.75">
      <c r="S7976" s="1"/>
    </row>
    <row r="7977" spans="19:19" ht="15.75">
      <c r="S7977" s="1"/>
    </row>
    <row r="7978" spans="19:19" ht="15.75">
      <c r="S7978" s="1"/>
    </row>
    <row r="7979" spans="19:19" ht="15.75">
      <c r="S7979" s="1"/>
    </row>
    <row r="7980" spans="19:19" ht="15.75">
      <c r="S7980" s="1"/>
    </row>
    <row r="7981" spans="19:19" ht="15.75">
      <c r="S7981" s="1"/>
    </row>
    <row r="7982" spans="19:19" ht="15.75">
      <c r="S7982" s="1"/>
    </row>
    <row r="7983" spans="19:19" ht="15.75">
      <c r="S7983" s="1"/>
    </row>
    <row r="7984" spans="19:19" ht="15.75">
      <c r="S7984" s="1"/>
    </row>
    <row r="7985" spans="19:19" ht="15.75">
      <c r="S7985" s="1"/>
    </row>
    <row r="7986" spans="19:19" ht="15.75">
      <c r="S7986" s="1"/>
    </row>
    <row r="7987" spans="19:19" ht="15.75">
      <c r="S7987" s="1"/>
    </row>
    <row r="7988" spans="19:19" ht="15.75">
      <c r="S7988" s="1"/>
    </row>
    <row r="7989" spans="19:19" ht="15.75">
      <c r="S7989" s="1"/>
    </row>
    <row r="7990" spans="19:19" ht="15.75">
      <c r="S7990" s="1"/>
    </row>
    <row r="7991" spans="19:19" ht="15.75">
      <c r="S7991" s="1"/>
    </row>
    <row r="7992" spans="19:19" ht="15.75">
      <c r="S7992" s="1"/>
    </row>
    <row r="7993" spans="19:19" ht="15.75">
      <c r="S7993" s="1"/>
    </row>
    <row r="7994" spans="19:19" ht="15.75">
      <c r="S7994" s="1"/>
    </row>
    <row r="7995" spans="19:19" ht="15.75">
      <c r="S7995" s="1"/>
    </row>
    <row r="7996" spans="19:19" ht="15.75">
      <c r="S7996" s="1"/>
    </row>
    <row r="7997" spans="19:19" ht="15.75">
      <c r="S7997" s="1"/>
    </row>
    <row r="7998" spans="19:19" ht="15.75">
      <c r="S7998" s="1"/>
    </row>
    <row r="7999" spans="19:19" ht="15.75">
      <c r="S7999" s="1"/>
    </row>
    <row r="8000" spans="19:19" ht="15.75">
      <c r="S8000" s="1"/>
    </row>
    <row r="8001" spans="19:19" ht="15.75">
      <c r="S8001" s="1"/>
    </row>
    <row r="8002" spans="19:19" ht="15.75">
      <c r="S8002" s="1"/>
    </row>
    <row r="8003" spans="19:19" ht="15.75">
      <c r="S8003" s="1"/>
    </row>
    <row r="8004" spans="19:19" ht="15.75">
      <c r="S8004" s="1"/>
    </row>
    <row r="8005" spans="19:19" ht="15.75">
      <c r="S8005" s="1"/>
    </row>
    <row r="8006" spans="19:19" ht="15.75">
      <c r="S8006" s="1"/>
    </row>
    <row r="8007" spans="19:19" ht="15.75">
      <c r="S8007" s="1"/>
    </row>
    <row r="8008" spans="19:19" ht="15.75">
      <c r="S8008" s="1"/>
    </row>
    <row r="8009" spans="19:19" ht="15.75">
      <c r="S8009" s="1"/>
    </row>
    <row r="8010" spans="19:19" ht="15.75">
      <c r="S8010" s="1"/>
    </row>
    <row r="8011" spans="19:19" ht="15.75">
      <c r="S8011" s="1"/>
    </row>
    <row r="8012" spans="19:19" ht="15.75">
      <c r="S8012" s="1"/>
    </row>
    <row r="8013" spans="19:19" ht="15.75">
      <c r="S8013" s="1"/>
    </row>
    <row r="8014" spans="19:19" ht="15.75">
      <c r="S8014" s="1"/>
    </row>
    <row r="8015" spans="19:19" ht="15.75">
      <c r="S8015" s="1"/>
    </row>
    <row r="8016" spans="19:19" ht="15.75">
      <c r="S8016" s="1"/>
    </row>
    <row r="8017" spans="19:19" ht="15.75">
      <c r="S8017" s="1"/>
    </row>
    <row r="8018" spans="19:19" ht="15.75">
      <c r="S8018" s="1"/>
    </row>
    <row r="8019" spans="19:19" ht="15.75">
      <c r="S8019" s="1"/>
    </row>
    <row r="8020" spans="19:19" ht="15.75">
      <c r="S8020" s="1"/>
    </row>
    <row r="8021" spans="19:19" ht="15.75">
      <c r="S8021" s="1"/>
    </row>
    <row r="8022" spans="19:19" ht="15.75">
      <c r="S8022" s="1"/>
    </row>
    <row r="8023" spans="19:19" ht="15.75">
      <c r="S8023" s="1"/>
    </row>
    <row r="8024" spans="19:19" ht="15.75">
      <c r="S8024" s="1"/>
    </row>
    <row r="8025" spans="19:19" ht="15.75">
      <c r="S8025" s="1"/>
    </row>
    <row r="8026" spans="19:19" ht="15.75">
      <c r="S8026" s="1"/>
    </row>
    <row r="8027" spans="19:19" ht="15.75">
      <c r="S8027" s="1"/>
    </row>
    <row r="8028" spans="19:19" ht="15.75">
      <c r="S8028" s="1"/>
    </row>
    <row r="8029" spans="19:19" ht="15.75">
      <c r="S8029" s="1"/>
    </row>
    <row r="8030" spans="19:19" ht="15.75">
      <c r="S8030" s="1"/>
    </row>
    <row r="8031" spans="19:19" ht="15.75">
      <c r="S8031" s="1"/>
    </row>
    <row r="8032" spans="19:19" ht="15.75">
      <c r="S8032" s="1"/>
    </row>
    <row r="8033" spans="19:19" ht="15.75">
      <c r="S8033" s="1"/>
    </row>
    <row r="8034" spans="19:19" ht="15.75">
      <c r="S8034" s="1"/>
    </row>
    <row r="8035" spans="19:19" ht="15.75">
      <c r="S8035" s="1"/>
    </row>
    <row r="8036" spans="19:19" ht="15.75">
      <c r="S8036" s="1"/>
    </row>
    <row r="8037" spans="19:19" ht="15.75">
      <c r="S8037" s="1"/>
    </row>
    <row r="8038" spans="19:19" ht="15.75">
      <c r="S8038" s="1"/>
    </row>
    <row r="8039" spans="19:19" ht="15.75">
      <c r="S8039" s="1"/>
    </row>
    <row r="8040" spans="19:19" ht="15.75">
      <c r="S8040" s="1"/>
    </row>
    <row r="8041" spans="19:19" ht="15.75">
      <c r="S8041" s="1"/>
    </row>
    <row r="8042" spans="19:19" ht="15.75">
      <c r="S8042" s="1"/>
    </row>
    <row r="8043" spans="19:19" ht="15.75">
      <c r="S8043" s="1"/>
    </row>
    <row r="8044" spans="19:19" ht="15.75">
      <c r="S8044" s="1"/>
    </row>
    <row r="8045" spans="19:19" ht="15.75">
      <c r="S8045" s="1"/>
    </row>
    <row r="8046" spans="19:19" ht="15.75">
      <c r="S8046" s="1"/>
    </row>
    <row r="8047" spans="19:19" ht="15.75">
      <c r="S8047" s="1"/>
    </row>
    <row r="8048" spans="19:19" ht="15.75">
      <c r="S8048" s="1"/>
    </row>
    <row r="8049" spans="19:19" ht="15.75">
      <c r="S8049" s="1"/>
    </row>
    <row r="8050" spans="19:19" ht="15.75">
      <c r="S8050" s="1"/>
    </row>
    <row r="8051" spans="19:19" ht="15.75">
      <c r="S8051" s="1"/>
    </row>
    <row r="8052" spans="19:19" ht="15.75">
      <c r="S8052" s="1"/>
    </row>
    <row r="8053" spans="19:19" ht="15.75">
      <c r="S8053" s="1"/>
    </row>
    <row r="8054" spans="19:19" ht="15.75">
      <c r="S8054" s="1"/>
    </row>
    <row r="8055" spans="19:19" ht="15.75">
      <c r="S8055" s="1"/>
    </row>
    <row r="8056" spans="19:19" ht="15.75">
      <c r="S8056" s="1"/>
    </row>
    <row r="8057" spans="19:19" ht="15.75">
      <c r="S8057" s="1"/>
    </row>
    <row r="8058" spans="19:19" ht="15.75">
      <c r="S8058" s="1"/>
    </row>
    <row r="8059" spans="19:19" ht="15.75">
      <c r="S8059" s="1"/>
    </row>
    <row r="8060" spans="19:19" ht="15.75">
      <c r="S8060" s="1"/>
    </row>
    <row r="8061" spans="19:19" ht="15.75">
      <c r="S8061" s="1"/>
    </row>
    <row r="8062" spans="19:19" ht="15.75">
      <c r="S8062" s="1"/>
    </row>
    <row r="8063" spans="19:19" ht="15.75">
      <c r="S8063" s="1"/>
    </row>
    <row r="8064" spans="19:19" ht="15.75">
      <c r="S8064" s="1"/>
    </row>
    <row r="8065" spans="19:19" ht="15.75">
      <c r="S8065" s="1"/>
    </row>
    <row r="8066" spans="19:19" ht="15.75">
      <c r="S8066" s="1"/>
    </row>
    <row r="8067" spans="19:19" ht="15.75">
      <c r="S8067" s="1"/>
    </row>
    <row r="8068" spans="19:19" ht="15.75">
      <c r="S8068" s="1"/>
    </row>
    <row r="8069" spans="19:19" ht="15.75">
      <c r="S8069" s="1"/>
    </row>
    <row r="8070" spans="19:19" ht="15.75">
      <c r="S8070" s="1"/>
    </row>
    <row r="8071" spans="19:19" ht="15.75">
      <c r="S8071" s="1"/>
    </row>
    <row r="8072" spans="19:19" ht="15.75">
      <c r="S8072" s="1"/>
    </row>
    <row r="8073" spans="19:19" ht="15.75">
      <c r="S8073" s="1"/>
    </row>
    <row r="8074" spans="19:19" ht="15.75">
      <c r="S8074" s="1"/>
    </row>
    <row r="8075" spans="19:19" ht="15.75">
      <c r="S8075" s="1"/>
    </row>
    <row r="8076" spans="19:19" ht="15.75">
      <c r="S8076" s="1"/>
    </row>
    <row r="8077" spans="19:19" ht="15.75">
      <c r="S8077" s="1"/>
    </row>
    <row r="8078" spans="19:19" ht="15.75">
      <c r="S8078" s="1"/>
    </row>
    <row r="8079" spans="19:19" ht="15.75">
      <c r="S8079" s="1"/>
    </row>
    <row r="8080" spans="19:19" ht="15.75">
      <c r="S8080" s="1"/>
    </row>
    <row r="8081" spans="19:19" ht="15.75">
      <c r="S8081" s="1"/>
    </row>
    <row r="8082" spans="19:19" ht="15.75">
      <c r="S8082" s="1"/>
    </row>
    <row r="8083" spans="19:19" ht="15.75">
      <c r="S8083" s="1"/>
    </row>
    <row r="8084" spans="19:19" ht="15.75">
      <c r="S8084" s="1"/>
    </row>
    <row r="8085" spans="19:19" ht="15.75">
      <c r="S8085" s="1"/>
    </row>
    <row r="8086" spans="19:19" ht="15.75">
      <c r="S8086" s="1"/>
    </row>
    <row r="8087" spans="19:19" ht="15.75">
      <c r="S8087" s="1"/>
    </row>
    <row r="8088" spans="19:19" ht="15.75">
      <c r="S8088" s="1"/>
    </row>
    <row r="8089" spans="19:19" ht="15.75">
      <c r="S8089" s="1"/>
    </row>
    <row r="8090" spans="19:19" ht="15.75">
      <c r="S8090" s="1"/>
    </row>
    <row r="8091" spans="19:19" ht="15.75">
      <c r="S8091" s="1"/>
    </row>
    <row r="8092" spans="19:19" ht="15.75">
      <c r="S8092" s="1"/>
    </row>
    <row r="8093" spans="19:19" ht="15.75">
      <c r="S8093" s="1"/>
    </row>
    <row r="8094" spans="19:19" ht="15.75">
      <c r="S8094" s="1"/>
    </row>
    <row r="8095" spans="19:19" ht="15.75">
      <c r="S8095" s="1"/>
    </row>
    <row r="8096" spans="19:19" ht="15.75">
      <c r="S8096" s="1"/>
    </row>
    <row r="8097" spans="19:19" ht="15.75">
      <c r="S8097" s="1"/>
    </row>
    <row r="8098" spans="19:19" ht="15.75">
      <c r="S8098" s="1"/>
    </row>
    <row r="8099" spans="19:19" ht="15.75">
      <c r="S8099" s="1"/>
    </row>
    <row r="8100" spans="19:19" ht="15.75">
      <c r="S8100" s="1"/>
    </row>
    <row r="8101" spans="19:19" ht="15.75">
      <c r="S8101" s="1"/>
    </row>
    <row r="8102" spans="19:19" ht="15.75">
      <c r="S8102" s="1"/>
    </row>
    <row r="8103" spans="19:19" ht="15.75">
      <c r="S8103" s="1"/>
    </row>
    <row r="8104" spans="19:19" ht="15.75">
      <c r="S8104" s="1"/>
    </row>
    <row r="8105" spans="19:19" ht="15.75">
      <c r="S8105" s="1"/>
    </row>
    <row r="8106" spans="19:19" ht="15.75">
      <c r="S8106" s="1"/>
    </row>
    <row r="8107" spans="19:19" ht="15.75">
      <c r="S8107" s="1"/>
    </row>
    <row r="8108" spans="19:19" ht="15.75">
      <c r="S8108" s="1"/>
    </row>
    <row r="8109" spans="19:19" ht="15.75">
      <c r="S8109" s="1"/>
    </row>
    <row r="8110" spans="19:19" ht="15.75">
      <c r="S8110" s="1"/>
    </row>
    <row r="8111" spans="19:19" ht="15.75">
      <c r="S8111" s="1"/>
    </row>
    <row r="8112" spans="19:19" ht="15.75">
      <c r="S8112" s="1"/>
    </row>
    <row r="8113" spans="19:19" ht="15.75">
      <c r="S8113" s="1"/>
    </row>
    <row r="8114" spans="19:19" ht="15.75">
      <c r="S8114" s="1"/>
    </row>
    <row r="8115" spans="19:19" ht="15.75">
      <c r="S8115" s="1"/>
    </row>
    <row r="8116" spans="19:19" ht="15.75">
      <c r="S8116" s="1"/>
    </row>
    <row r="8117" spans="19:19" ht="15.75">
      <c r="S8117" s="1"/>
    </row>
    <row r="8118" spans="19:19" ht="15.75">
      <c r="S8118" s="1"/>
    </row>
    <row r="8119" spans="19:19" ht="15.75">
      <c r="S8119" s="1"/>
    </row>
    <row r="8120" spans="19:19" ht="15.75">
      <c r="S8120" s="1"/>
    </row>
    <row r="8121" spans="19:19" ht="15.75">
      <c r="S8121" s="1"/>
    </row>
    <row r="8122" spans="19:19" ht="15.75">
      <c r="S8122" s="1"/>
    </row>
    <row r="8123" spans="19:19" ht="15.75">
      <c r="S8123" s="1"/>
    </row>
    <row r="8124" spans="19:19" ht="15.75">
      <c r="S8124" s="1"/>
    </row>
    <row r="8125" spans="19:19" ht="15.75">
      <c r="S8125" s="1"/>
    </row>
    <row r="8126" spans="19:19" ht="15.75">
      <c r="S8126" s="1"/>
    </row>
    <row r="8127" spans="19:19" ht="15.75">
      <c r="S8127" s="1"/>
    </row>
    <row r="8128" spans="19:19" ht="15.75">
      <c r="S8128" s="1"/>
    </row>
    <row r="8129" spans="19:19" ht="15.75">
      <c r="S8129" s="1"/>
    </row>
    <row r="8130" spans="19:19" ht="15.75">
      <c r="S8130" s="1"/>
    </row>
    <row r="8131" spans="19:19" ht="15.75">
      <c r="S8131" s="1"/>
    </row>
    <row r="8132" spans="19:19" ht="15.75">
      <c r="S8132" s="1"/>
    </row>
    <row r="8133" spans="19:19" ht="15.75">
      <c r="S8133" s="1"/>
    </row>
    <row r="8134" spans="19:19" ht="15.75">
      <c r="S8134" s="1"/>
    </row>
    <row r="8135" spans="19:19" ht="15.75">
      <c r="S8135" s="1"/>
    </row>
    <row r="8136" spans="19:19" ht="15.75">
      <c r="S8136" s="1"/>
    </row>
    <row r="8137" spans="19:19" ht="15.75">
      <c r="S8137" s="1"/>
    </row>
    <row r="8138" spans="19:19" ht="15.75">
      <c r="S8138" s="1"/>
    </row>
    <row r="8139" spans="19:19" ht="15.75">
      <c r="S8139" s="1"/>
    </row>
    <row r="8140" spans="19:19" ht="15.75">
      <c r="S8140" s="1"/>
    </row>
    <row r="8141" spans="19:19" ht="15.75">
      <c r="S8141" s="1"/>
    </row>
    <row r="8142" spans="19:19" ht="15.75">
      <c r="S8142" s="1"/>
    </row>
    <row r="8143" spans="19:19" ht="15.75">
      <c r="S8143" s="1"/>
    </row>
    <row r="8144" spans="19:19" ht="15.75">
      <c r="S8144" s="1"/>
    </row>
    <row r="8145" spans="19:19" ht="15.75">
      <c r="S8145" s="1"/>
    </row>
    <row r="8146" spans="19:19" ht="15.75">
      <c r="S8146" s="1"/>
    </row>
    <row r="8147" spans="19:19" ht="15.75">
      <c r="S8147" s="1"/>
    </row>
    <row r="8148" spans="19:19" ht="15.75">
      <c r="S8148" s="1"/>
    </row>
    <row r="8149" spans="19:19" ht="15.75">
      <c r="S8149" s="1"/>
    </row>
    <row r="8150" spans="19:19" ht="15.75">
      <c r="S8150" s="1"/>
    </row>
    <row r="8151" spans="19:19" ht="15.75">
      <c r="S8151" s="1"/>
    </row>
    <row r="8152" spans="19:19" ht="15.75">
      <c r="S8152" s="1"/>
    </row>
    <row r="8153" spans="19:19" ht="15.75">
      <c r="S8153" s="1"/>
    </row>
    <row r="8154" spans="19:19" ht="15.75">
      <c r="S8154" s="1"/>
    </row>
    <row r="8155" spans="19:19" ht="15.75">
      <c r="S8155" s="1"/>
    </row>
    <row r="8156" spans="19:19" ht="15.75">
      <c r="S8156" s="1"/>
    </row>
    <row r="8157" spans="19:19" ht="15.75">
      <c r="S8157" s="1"/>
    </row>
    <row r="8158" spans="19:19" ht="15.75">
      <c r="S8158" s="1"/>
    </row>
    <row r="8159" spans="19:19" ht="15.75">
      <c r="S8159" s="1"/>
    </row>
    <row r="8160" spans="19:19" ht="15.75">
      <c r="S8160" s="1"/>
    </row>
    <row r="8161" spans="19:19" ht="15.75">
      <c r="S8161" s="1"/>
    </row>
    <row r="8162" spans="19:19" ht="15.75">
      <c r="S8162" s="1"/>
    </row>
    <row r="8163" spans="19:19" ht="15.75">
      <c r="S8163" s="1"/>
    </row>
    <row r="8164" spans="19:19" ht="15.75">
      <c r="S8164" s="1"/>
    </row>
    <row r="8165" spans="19:19" ht="15.75">
      <c r="S8165" s="1"/>
    </row>
    <row r="8166" spans="19:19" ht="15.75">
      <c r="S8166" s="1"/>
    </row>
    <row r="8167" spans="19:19" ht="15.75">
      <c r="S8167" s="1"/>
    </row>
    <row r="8168" spans="19:19" ht="15.75">
      <c r="S8168" s="1"/>
    </row>
    <row r="8169" spans="19:19" ht="15.75">
      <c r="S8169" s="1"/>
    </row>
    <row r="8170" spans="19:19" ht="15.75">
      <c r="S8170" s="1"/>
    </row>
    <row r="8171" spans="19:19" ht="15.75">
      <c r="S8171" s="1"/>
    </row>
    <row r="8172" spans="19:19" ht="15.75">
      <c r="S8172" s="1"/>
    </row>
    <row r="8173" spans="19:19" ht="15.75">
      <c r="S8173" s="1"/>
    </row>
    <row r="8174" spans="19:19" ht="15.75">
      <c r="S8174" s="1"/>
    </row>
    <row r="8175" spans="19:19" ht="15.75">
      <c r="S8175" s="1"/>
    </row>
    <row r="8176" spans="19:19" ht="15.75">
      <c r="S8176" s="1"/>
    </row>
    <row r="8177" spans="19:19" ht="15.75">
      <c r="S8177" s="1"/>
    </row>
    <row r="8178" spans="19:19" ht="15.75">
      <c r="S8178" s="1"/>
    </row>
    <row r="8179" spans="19:19" ht="15.75">
      <c r="S8179" s="1"/>
    </row>
    <row r="8180" spans="19:19" ht="15.75">
      <c r="S8180" s="1"/>
    </row>
    <row r="8181" spans="19:19" ht="15.75">
      <c r="S8181" s="1"/>
    </row>
    <row r="8182" spans="19:19" ht="15.75">
      <c r="S8182" s="1"/>
    </row>
    <row r="8183" spans="19:19" ht="15.75">
      <c r="S8183" s="1"/>
    </row>
    <row r="8184" spans="19:19" ht="15.75">
      <c r="S8184" s="1"/>
    </row>
    <row r="8185" spans="19:19" ht="15.75">
      <c r="S8185" s="1"/>
    </row>
    <row r="8186" spans="19:19" ht="15.75">
      <c r="S8186" s="1"/>
    </row>
    <row r="8187" spans="19:19" ht="15.75">
      <c r="S8187" s="1"/>
    </row>
    <row r="8188" spans="19:19" ht="15.75">
      <c r="S8188" s="1"/>
    </row>
    <row r="8189" spans="19:19" ht="15.75">
      <c r="S8189" s="1"/>
    </row>
    <row r="8190" spans="19:19" ht="15.75">
      <c r="S8190" s="1"/>
    </row>
    <row r="8191" spans="19:19" ht="15.75">
      <c r="S8191" s="1"/>
    </row>
    <row r="8192" spans="19:19" ht="15.75">
      <c r="S8192" s="1"/>
    </row>
    <row r="8193" spans="19:19" ht="15.75">
      <c r="S8193" s="1"/>
    </row>
    <row r="8194" spans="19:19" ht="15.75">
      <c r="S8194" s="1"/>
    </row>
    <row r="8195" spans="19:19" ht="15.75">
      <c r="S8195" s="1"/>
    </row>
    <row r="8196" spans="19:19" ht="15.75">
      <c r="S8196" s="1"/>
    </row>
    <row r="8197" spans="19:19" ht="15.75">
      <c r="S8197" s="1"/>
    </row>
    <row r="8198" spans="19:19" ht="15.75">
      <c r="S8198" s="1"/>
    </row>
    <row r="8199" spans="19:19" ht="15.75">
      <c r="S8199" s="1"/>
    </row>
    <row r="8200" spans="19:19" ht="15.75">
      <c r="S8200" s="1"/>
    </row>
    <row r="8201" spans="19:19" ht="15.75">
      <c r="S8201" s="1"/>
    </row>
    <row r="8202" spans="19:19" ht="15.75">
      <c r="S8202" s="1"/>
    </row>
    <row r="8203" spans="19:19" ht="15.75">
      <c r="S8203" s="1"/>
    </row>
    <row r="8204" spans="19:19" ht="15.75">
      <c r="S8204" s="1"/>
    </row>
    <row r="8205" spans="19:19" ht="15.75">
      <c r="S8205" s="1"/>
    </row>
    <row r="8206" spans="19:19" ht="15.75">
      <c r="S8206" s="1"/>
    </row>
    <row r="8207" spans="19:19" ht="15.75">
      <c r="S8207" s="1"/>
    </row>
    <row r="8208" spans="19:19" ht="15.75">
      <c r="S8208" s="1"/>
    </row>
    <row r="8209" spans="19:19" ht="15.75">
      <c r="S8209" s="1"/>
    </row>
    <row r="8210" spans="19:19" ht="15.75">
      <c r="S8210" s="1"/>
    </row>
    <row r="8211" spans="19:19" ht="15.75">
      <c r="S8211" s="1"/>
    </row>
    <row r="8212" spans="19:19" ht="15.75">
      <c r="S8212" s="1"/>
    </row>
    <row r="8213" spans="19:19" ht="15.75">
      <c r="S8213" s="1"/>
    </row>
    <row r="8214" spans="19:19" ht="15.75">
      <c r="S8214" s="1"/>
    </row>
    <row r="8215" spans="19:19" ht="15.75">
      <c r="S8215" s="1"/>
    </row>
    <row r="8216" spans="19:19" ht="15.75">
      <c r="S8216" s="1"/>
    </row>
    <row r="8217" spans="19:19" ht="15.75">
      <c r="S8217" s="1"/>
    </row>
    <row r="8218" spans="19:19" ht="15.75">
      <c r="S8218" s="1"/>
    </row>
    <row r="8219" spans="19:19" ht="15.75">
      <c r="S8219" s="1"/>
    </row>
    <row r="8220" spans="19:19" ht="15.75">
      <c r="S8220" s="1"/>
    </row>
    <row r="8221" spans="19:19" ht="15.75">
      <c r="S8221" s="1"/>
    </row>
    <row r="8222" spans="19:19" ht="15.75">
      <c r="S8222" s="1"/>
    </row>
    <row r="8223" spans="19:19" ht="15.75">
      <c r="S8223" s="1"/>
    </row>
    <row r="8224" spans="19:19" ht="15.75">
      <c r="S8224" s="1"/>
    </row>
    <row r="8225" spans="19:19" ht="15.75">
      <c r="S8225" s="1"/>
    </row>
    <row r="8226" spans="19:19" ht="15.75">
      <c r="S8226" s="1"/>
    </row>
    <row r="8227" spans="19:19" ht="15.75">
      <c r="S8227" s="1"/>
    </row>
    <row r="8228" spans="19:19" ht="15.75">
      <c r="S8228" s="1"/>
    </row>
    <row r="8229" spans="19:19" ht="15.75">
      <c r="S8229" s="1"/>
    </row>
    <row r="8230" spans="19:19" ht="15.75">
      <c r="S8230" s="1"/>
    </row>
    <row r="8231" spans="19:19" ht="15.75">
      <c r="S8231" s="1"/>
    </row>
    <row r="8232" spans="19:19" ht="15.75">
      <c r="S8232" s="1"/>
    </row>
    <row r="8233" spans="19:19" ht="15.75">
      <c r="S8233" s="1"/>
    </row>
    <row r="8234" spans="19:19" ht="15.75">
      <c r="S8234" s="1"/>
    </row>
    <row r="8235" spans="19:19" ht="15.75">
      <c r="S8235" s="1"/>
    </row>
    <row r="8236" spans="19:19" ht="15.75">
      <c r="S8236" s="1"/>
    </row>
    <row r="8237" spans="19:19" ht="15.75">
      <c r="S8237" s="1"/>
    </row>
    <row r="8238" spans="19:19" ht="15.75">
      <c r="S8238" s="1"/>
    </row>
    <row r="8239" spans="19:19" ht="15.75">
      <c r="S8239" s="1"/>
    </row>
    <row r="8240" spans="19:19" ht="15.75">
      <c r="S8240" s="1"/>
    </row>
    <row r="8241" spans="19:19" ht="15.75">
      <c r="S8241" s="1"/>
    </row>
    <row r="8242" spans="19:19" ht="15.75">
      <c r="S8242" s="1"/>
    </row>
    <row r="8243" spans="19:19" ht="15.75">
      <c r="S8243" s="1"/>
    </row>
    <row r="8244" spans="19:19" ht="15.75">
      <c r="S8244" s="1"/>
    </row>
    <row r="8245" spans="19:19" ht="15.75">
      <c r="S8245" s="1"/>
    </row>
    <row r="8246" spans="19:19" ht="15.75">
      <c r="S8246" s="1"/>
    </row>
    <row r="8247" spans="19:19" ht="15.75">
      <c r="S8247" s="1"/>
    </row>
    <row r="8248" spans="19:19" ht="15.75">
      <c r="S8248" s="1"/>
    </row>
    <row r="8249" spans="19:19" ht="15.75">
      <c r="S8249" s="1"/>
    </row>
    <row r="8250" spans="19:19" ht="15.75">
      <c r="S8250" s="1"/>
    </row>
    <row r="8251" spans="19:19" ht="15.75">
      <c r="S8251" s="1"/>
    </row>
    <row r="8252" spans="19:19" ht="15.75">
      <c r="S8252" s="1"/>
    </row>
    <row r="8253" spans="19:19" ht="15.75">
      <c r="S8253" s="1"/>
    </row>
    <row r="8254" spans="19:19" ht="15.75">
      <c r="S8254" s="1"/>
    </row>
    <row r="8255" spans="19:19" ht="15.75">
      <c r="S8255" s="1"/>
    </row>
    <row r="8256" spans="19:19" ht="15.75">
      <c r="S8256" s="1"/>
    </row>
    <row r="8257" spans="19:19" ht="15.75">
      <c r="S8257" s="1"/>
    </row>
    <row r="8258" spans="19:19" ht="15.75">
      <c r="S8258" s="1"/>
    </row>
    <row r="8259" spans="19:19" ht="15.75">
      <c r="S8259" s="1"/>
    </row>
    <row r="8260" spans="19:19" ht="15.75">
      <c r="S8260" s="1"/>
    </row>
    <row r="8261" spans="19:19" ht="15.75">
      <c r="S8261" s="1"/>
    </row>
    <row r="8262" spans="19:19" ht="15.75">
      <c r="S8262" s="1"/>
    </row>
    <row r="8263" spans="19:19" ht="15.75">
      <c r="S8263" s="1"/>
    </row>
    <row r="8264" spans="19:19" ht="15.75">
      <c r="S8264" s="1"/>
    </row>
    <row r="8265" spans="19:19" ht="15.75">
      <c r="S8265" s="1"/>
    </row>
    <row r="8266" spans="19:19" ht="15.75">
      <c r="S8266" s="1"/>
    </row>
    <row r="8267" spans="19:19" ht="15.75">
      <c r="S8267" s="1"/>
    </row>
    <row r="8268" spans="19:19" ht="15.75">
      <c r="S8268" s="1"/>
    </row>
    <row r="8269" spans="19:19" ht="15.75">
      <c r="S8269" s="1"/>
    </row>
    <row r="8270" spans="19:19" ht="15.75">
      <c r="S8270" s="1"/>
    </row>
    <row r="8271" spans="19:19" ht="15.75">
      <c r="S8271" s="1"/>
    </row>
    <row r="8272" spans="19:19" ht="15.75">
      <c r="S8272" s="1"/>
    </row>
    <row r="8273" spans="19:19" ht="15.75">
      <c r="S8273" s="1"/>
    </row>
    <row r="8274" spans="19:19" ht="15.75">
      <c r="S8274" s="1"/>
    </row>
    <row r="8275" spans="19:19" ht="15.75">
      <c r="S8275" s="1"/>
    </row>
    <row r="8276" spans="19:19" ht="15.75">
      <c r="S8276" s="1"/>
    </row>
    <row r="8277" spans="19:19" ht="15.75">
      <c r="S8277" s="1"/>
    </row>
    <row r="8278" spans="19:19" ht="15.75">
      <c r="S8278" s="1"/>
    </row>
    <row r="8279" spans="19:19" ht="15.75">
      <c r="S8279" s="1"/>
    </row>
    <row r="8280" spans="19:19" ht="15.75">
      <c r="S8280" s="1"/>
    </row>
    <row r="8281" spans="19:19" ht="15.75">
      <c r="S8281" s="1"/>
    </row>
    <row r="8282" spans="19:19" ht="15.75">
      <c r="S8282" s="1"/>
    </row>
    <row r="8283" spans="19:19" ht="15.75">
      <c r="S8283" s="1"/>
    </row>
    <row r="8284" spans="19:19" ht="15.75">
      <c r="S8284" s="1"/>
    </row>
    <row r="8285" spans="19:19" ht="15.75">
      <c r="S8285" s="1"/>
    </row>
    <row r="8286" spans="19:19" ht="15.75">
      <c r="S8286" s="1"/>
    </row>
    <row r="8287" spans="19:19" ht="15.75">
      <c r="S8287" s="1"/>
    </row>
    <row r="8288" spans="19:19" ht="15.75">
      <c r="S8288" s="1"/>
    </row>
    <row r="8289" spans="19:19" ht="15.75">
      <c r="S8289" s="1"/>
    </row>
    <row r="8290" spans="19:19" ht="15.75">
      <c r="S8290" s="1"/>
    </row>
    <row r="8291" spans="19:19" ht="15.75">
      <c r="S8291" s="1"/>
    </row>
    <row r="8292" spans="19:19" ht="15.75">
      <c r="S8292" s="1"/>
    </row>
    <row r="8293" spans="19:19" ht="15.75">
      <c r="S8293" s="1"/>
    </row>
    <row r="8294" spans="19:19" ht="15.75">
      <c r="S8294" s="1"/>
    </row>
    <row r="8295" spans="19:19" ht="15.75">
      <c r="S8295" s="1"/>
    </row>
    <row r="8296" spans="19:19" ht="15.75">
      <c r="S8296" s="1"/>
    </row>
    <row r="8297" spans="19:19" ht="15.75">
      <c r="S8297" s="1"/>
    </row>
    <row r="8298" spans="19:19" ht="15.75">
      <c r="S8298" s="1"/>
    </row>
    <row r="8299" spans="19:19" ht="15.75">
      <c r="S8299" s="1"/>
    </row>
    <row r="8300" spans="19:19" ht="15.75">
      <c r="S8300" s="1"/>
    </row>
    <row r="8301" spans="19:19" ht="15.75">
      <c r="S8301" s="1"/>
    </row>
    <row r="8302" spans="19:19" ht="15.75">
      <c r="S8302" s="1"/>
    </row>
    <row r="8303" spans="19:19" ht="15.75">
      <c r="S8303" s="1"/>
    </row>
    <row r="8304" spans="19:19" ht="15.75">
      <c r="S8304" s="1"/>
    </row>
    <row r="8305" spans="19:19" ht="15.75">
      <c r="S8305" s="1"/>
    </row>
    <row r="8306" spans="19:19" ht="15.75">
      <c r="S8306" s="1"/>
    </row>
    <row r="8307" spans="19:19" ht="15.75">
      <c r="S8307" s="1"/>
    </row>
    <row r="8308" spans="19:19" ht="15.75">
      <c r="S8308" s="1"/>
    </row>
    <row r="8309" spans="19:19" ht="15.75">
      <c r="S8309" s="1"/>
    </row>
    <row r="8310" spans="19:19" ht="15.75">
      <c r="S8310" s="1"/>
    </row>
    <row r="8311" spans="19:19" ht="15.75">
      <c r="S8311" s="1"/>
    </row>
    <row r="8312" spans="19:19" ht="15.75">
      <c r="S8312" s="1"/>
    </row>
    <row r="8313" spans="19:19" ht="15.75">
      <c r="S8313" s="1"/>
    </row>
    <row r="8314" spans="19:19" ht="15.75">
      <c r="S8314" s="1"/>
    </row>
    <row r="8315" spans="19:19" ht="15.75">
      <c r="S8315" s="1"/>
    </row>
    <row r="8316" spans="19:19" ht="15.75">
      <c r="S8316" s="1"/>
    </row>
    <row r="8317" spans="19:19" ht="15.75">
      <c r="S8317" s="1"/>
    </row>
    <row r="8318" spans="19:19" ht="15.75">
      <c r="S8318" s="1"/>
    </row>
    <row r="8319" spans="19:19" ht="15.75">
      <c r="S8319" s="1"/>
    </row>
    <row r="8320" spans="19:19" ht="15.75">
      <c r="S8320" s="1"/>
    </row>
    <row r="8321" spans="19:19" ht="15.75">
      <c r="S8321" s="1"/>
    </row>
    <row r="8322" spans="19:19" ht="15.75">
      <c r="S8322" s="1"/>
    </row>
    <row r="8323" spans="19:19" ht="15.75">
      <c r="S8323" s="1"/>
    </row>
    <row r="8324" spans="19:19" ht="15.75">
      <c r="S8324" s="1"/>
    </row>
    <row r="8325" spans="19:19" ht="15.75">
      <c r="S8325" s="1"/>
    </row>
    <row r="8326" spans="19:19" ht="15.75">
      <c r="S8326" s="1"/>
    </row>
    <row r="8327" spans="19:19" ht="15.75">
      <c r="S8327" s="1"/>
    </row>
    <row r="8328" spans="19:19" ht="15.75">
      <c r="S8328" s="1"/>
    </row>
    <row r="8329" spans="19:19" ht="15.75">
      <c r="S8329" s="1"/>
    </row>
    <row r="8330" spans="19:19" ht="15.75">
      <c r="S8330" s="1"/>
    </row>
    <row r="8331" spans="19:19" ht="15.75">
      <c r="S8331" s="1"/>
    </row>
    <row r="8332" spans="19:19" ht="15.75">
      <c r="S8332" s="1"/>
    </row>
    <row r="8333" spans="19:19" ht="15.75">
      <c r="S8333" s="1"/>
    </row>
    <row r="8334" spans="19:19" ht="15.75">
      <c r="S8334" s="1"/>
    </row>
    <row r="8335" spans="19:19" ht="15.75">
      <c r="S8335" s="1"/>
    </row>
    <row r="8336" spans="19:19" ht="15.75">
      <c r="S8336" s="1"/>
    </row>
    <row r="8337" spans="19:19" ht="15.75">
      <c r="S8337" s="1"/>
    </row>
    <row r="8338" spans="19:19" ht="15.75">
      <c r="S8338" s="1"/>
    </row>
    <row r="8339" spans="19:19" ht="15.75">
      <c r="S8339" s="1"/>
    </row>
    <row r="8340" spans="19:19" ht="15.75">
      <c r="S8340" s="1"/>
    </row>
    <row r="8341" spans="19:19" ht="15.75">
      <c r="S8341" s="1"/>
    </row>
    <row r="8342" spans="19:19" ht="15.75">
      <c r="S8342" s="1"/>
    </row>
    <row r="8343" spans="19:19" ht="15.75">
      <c r="S8343" s="1"/>
    </row>
    <row r="8344" spans="19:19" ht="15.75">
      <c r="S8344" s="1"/>
    </row>
    <row r="8345" spans="19:19" ht="15.75">
      <c r="S8345" s="1"/>
    </row>
    <row r="8346" spans="19:19" ht="15.75">
      <c r="S8346" s="1"/>
    </row>
    <row r="8347" spans="19:19" ht="15.75">
      <c r="S8347" s="1"/>
    </row>
    <row r="8348" spans="19:19" ht="15.75">
      <c r="S8348" s="1"/>
    </row>
    <row r="8349" spans="19:19" ht="15.75">
      <c r="S8349" s="1"/>
    </row>
    <row r="8350" spans="19:19" ht="15.75">
      <c r="S8350" s="1"/>
    </row>
    <row r="8351" spans="19:19" ht="15.75">
      <c r="S8351" s="1"/>
    </row>
    <row r="8352" spans="19:19" ht="15.75">
      <c r="S8352" s="1"/>
    </row>
    <row r="8353" spans="19:19" ht="15.75">
      <c r="S8353" s="1"/>
    </row>
    <row r="8354" spans="19:19" ht="15.75">
      <c r="S8354" s="1"/>
    </row>
    <row r="8355" spans="19:19" ht="15.75">
      <c r="S8355" s="1"/>
    </row>
    <row r="8356" spans="19:19" ht="15.75">
      <c r="S8356" s="1"/>
    </row>
    <row r="8357" spans="19:19" ht="15.75">
      <c r="S8357" s="1"/>
    </row>
    <row r="8358" spans="19:19" ht="15.75">
      <c r="S8358" s="1"/>
    </row>
    <row r="8359" spans="19:19" ht="15.75">
      <c r="S8359" s="1"/>
    </row>
    <row r="8360" spans="19:19" ht="15.75">
      <c r="S8360" s="1"/>
    </row>
    <row r="8361" spans="19:19" ht="15.75">
      <c r="S8361" s="1"/>
    </row>
    <row r="8362" spans="19:19" ht="15.75">
      <c r="S8362" s="1"/>
    </row>
    <row r="8363" spans="19:19" ht="15.75">
      <c r="S8363" s="1"/>
    </row>
    <row r="8364" spans="19:19" ht="15.75">
      <c r="S8364" s="1"/>
    </row>
    <row r="8365" spans="19:19" ht="15.75">
      <c r="S8365" s="1"/>
    </row>
    <row r="8366" spans="19:19" ht="15.75">
      <c r="S8366" s="1"/>
    </row>
    <row r="8367" spans="19:19" ht="15.75">
      <c r="S8367" s="1"/>
    </row>
    <row r="8368" spans="19:19" ht="15.75">
      <c r="S8368" s="1"/>
    </row>
    <row r="8369" spans="19:19" ht="15.75">
      <c r="S8369" s="1"/>
    </row>
    <row r="8370" spans="19:19" ht="15.75">
      <c r="S8370" s="1"/>
    </row>
    <row r="8371" spans="19:19" ht="15.75">
      <c r="S8371" s="1"/>
    </row>
    <row r="8372" spans="19:19" ht="15.75">
      <c r="S8372" s="1"/>
    </row>
    <row r="8373" spans="19:19" ht="15.75">
      <c r="S8373" s="1"/>
    </row>
    <row r="8374" spans="19:19" ht="15.75">
      <c r="S8374" s="1"/>
    </row>
    <row r="8375" spans="19:19" ht="15.75">
      <c r="S8375" s="1"/>
    </row>
    <row r="8376" spans="19:19" ht="15.75">
      <c r="S8376" s="1"/>
    </row>
    <row r="8377" spans="19:19" ht="15.75">
      <c r="S8377" s="1"/>
    </row>
    <row r="8378" spans="19:19" ht="15.75">
      <c r="S8378" s="1"/>
    </row>
    <row r="8379" spans="19:19" ht="15.75">
      <c r="S8379" s="1"/>
    </row>
    <row r="8380" spans="19:19" ht="15.75">
      <c r="S8380" s="1"/>
    </row>
    <row r="8381" spans="19:19" ht="15.75">
      <c r="S8381" s="1"/>
    </row>
    <row r="8382" spans="19:19" ht="15.75">
      <c r="S8382" s="1"/>
    </row>
    <row r="8383" spans="19:19" ht="15.75">
      <c r="S8383" s="1"/>
    </row>
    <row r="8384" spans="19:19" ht="15.75">
      <c r="S8384" s="1"/>
    </row>
    <row r="8385" spans="19:19" ht="15.75">
      <c r="S8385" s="1"/>
    </row>
    <row r="8386" spans="19:19" ht="15.75">
      <c r="S8386" s="1"/>
    </row>
    <row r="8387" spans="19:19" ht="15.75">
      <c r="S8387" s="1"/>
    </row>
    <row r="8388" spans="19:19" ht="15.75">
      <c r="S8388" s="1"/>
    </row>
    <row r="8389" spans="19:19" ht="15.75">
      <c r="S8389" s="1"/>
    </row>
    <row r="8390" spans="19:19" ht="15.75">
      <c r="S8390" s="1"/>
    </row>
    <row r="8391" spans="19:19" ht="15.75">
      <c r="S8391" s="1"/>
    </row>
    <row r="8392" spans="19:19" ht="15.75">
      <c r="S8392" s="1"/>
    </row>
    <row r="8393" spans="19:19" ht="15.75">
      <c r="S8393" s="1"/>
    </row>
    <row r="8394" spans="19:19" ht="15.75">
      <c r="S8394" s="1"/>
    </row>
    <row r="8395" spans="19:19" ht="15.75">
      <c r="S8395" s="1"/>
    </row>
    <row r="8396" spans="19:19" ht="15.75">
      <c r="S8396" s="1"/>
    </row>
    <row r="8397" spans="19:19" ht="15.75">
      <c r="S8397" s="1"/>
    </row>
    <row r="8398" spans="19:19" ht="15.75">
      <c r="S8398" s="1"/>
    </row>
    <row r="8399" spans="19:19" ht="15.75">
      <c r="S8399" s="1"/>
    </row>
    <row r="8400" spans="19:19" ht="15.75">
      <c r="S8400" s="1"/>
    </row>
    <row r="8401" spans="19:19" ht="15.75">
      <c r="S8401" s="1"/>
    </row>
    <row r="8402" spans="19:19" ht="15.75">
      <c r="S8402" s="1"/>
    </row>
    <row r="8403" spans="19:19" ht="15.75">
      <c r="S8403" s="1"/>
    </row>
    <row r="8404" spans="19:19" ht="15.75">
      <c r="S8404" s="1"/>
    </row>
    <row r="8405" spans="19:19" ht="15.75">
      <c r="S8405" s="1"/>
    </row>
    <row r="8406" spans="19:19" ht="15.75">
      <c r="S8406" s="1"/>
    </row>
    <row r="8407" spans="19:19" ht="15.75">
      <c r="S8407" s="1"/>
    </row>
    <row r="8408" spans="19:19" ht="15.75">
      <c r="S8408" s="1"/>
    </row>
    <row r="8409" spans="19:19" ht="15.75">
      <c r="S8409" s="1"/>
    </row>
    <row r="8410" spans="19:19" ht="15.75">
      <c r="S8410" s="1"/>
    </row>
    <row r="8411" spans="19:19" ht="15.75">
      <c r="S8411" s="1"/>
    </row>
    <row r="8412" spans="19:19" ht="15.75">
      <c r="S8412" s="1"/>
    </row>
    <row r="8413" spans="19:19" ht="15.75">
      <c r="S8413" s="1"/>
    </row>
    <row r="8414" spans="19:19" ht="15.75">
      <c r="S8414" s="1"/>
    </row>
    <row r="8415" spans="19:19" ht="15.75">
      <c r="S8415" s="1"/>
    </row>
    <row r="8416" spans="19:19" ht="15.75">
      <c r="S8416" s="1"/>
    </row>
    <row r="8417" spans="19:19" ht="15.75">
      <c r="S8417" s="1"/>
    </row>
    <row r="8418" spans="19:19" ht="15.75">
      <c r="S8418" s="1"/>
    </row>
    <row r="8419" spans="19:19" ht="15.75">
      <c r="S8419" s="1"/>
    </row>
    <row r="8420" spans="19:19" ht="15.75">
      <c r="S8420" s="1"/>
    </row>
    <row r="8421" spans="19:19" ht="15.75">
      <c r="S8421" s="1"/>
    </row>
    <row r="8422" spans="19:19" ht="15.75">
      <c r="S8422" s="1"/>
    </row>
    <row r="8423" spans="19:19" ht="15.75">
      <c r="S8423" s="1"/>
    </row>
    <row r="8424" spans="19:19" ht="15.75">
      <c r="S8424" s="1"/>
    </row>
    <row r="8425" spans="19:19" ht="15.75">
      <c r="S8425" s="1"/>
    </row>
    <row r="8426" spans="19:19" ht="15.75">
      <c r="S8426" s="1"/>
    </row>
    <row r="8427" spans="19:19" ht="15.75">
      <c r="S8427" s="1"/>
    </row>
    <row r="8428" spans="19:19" ht="15.75">
      <c r="S8428" s="1"/>
    </row>
    <row r="8429" spans="19:19" ht="15.75">
      <c r="S8429" s="1"/>
    </row>
    <row r="8430" spans="19:19" ht="15.75">
      <c r="S8430" s="1"/>
    </row>
    <row r="8431" spans="19:19" ht="15.75">
      <c r="S8431" s="1"/>
    </row>
    <row r="8432" spans="19:19" ht="15.75">
      <c r="S8432" s="1"/>
    </row>
    <row r="8433" spans="19:19" ht="15.75">
      <c r="S8433" s="1"/>
    </row>
    <row r="8434" spans="19:19" ht="15.75">
      <c r="S8434" s="1"/>
    </row>
    <row r="8435" spans="19:19" ht="15.75">
      <c r="S8435" s="1"/>
    </row>
    <row r="8436" spans="19:19" ht="15.75">
      <c r="S8436" s="1"/>
    </row>
    <row r="8437" spans="19:19" ht="15.75">
      <c r="S8437" s="1"/>
    </row>
    <row r="8438" spans="19:19" ht="15.75">
      <c r="S8438" s="1"/>
    </row>
    <row r="8439" spans="19:19" ht="15.75">
      <c r="S8439" s="1"/>
    </row>
    <row r="8440" spans="19:19" ht="15.75">
      <c r="S8440" s="1"/>
    </row>
    <row r="8441" spans="19:19" ht="15.75">
      <c r="S8441" s="1"/>
    </row>
    <row r="8442" spans="19:19" ht="15.75">
      <c r="S8442" s="1"/>
    </row>
    <row r="8443" spans="19:19" ht="15.75">
      <c r="S8443" s="1"/>
    </row>
    <row r="8444" spans="19:19" ht="15.75">
      <c r="S8444" s="1"/>
    </row>
    <row r="8445" spans="19:19" ht="15.75">
      <c r="S8445" s="1"/>
    </row>
    <row r="8446" spans="19:19" ht="15.75">
      <c r="S8446" s="1"/>
    </row>
    <row r="8447" spans="19:19" ht="15.75">
      <c r="S8447" s="1"/>
    </row>
    <row r="8448" spans="19:19" ht="15.75">
      <c r="S8448" s="1"/>
    </row>
    <row r="8449" spans="19:19" ht="15.75">
      <c r="S8449" s="1"/>
    </row>
    <row r="8450" spans="19:19" ht="15.75">
      <c r="S8450" s="1"/>
    </row>
    <row r="8451" spans="19:19" ht="15.75">
      <c r="S8451" s="1"/>
    </row>
    <row r="8452" spans="19:19" ht="15.75">
      <c r="S8452" s="1"/>
    </row>
    <row r="8453" spans="19:19" ht="15.75">
      <c r="S8453" s="1"/>
    </row>
    <row r="8454" spans="19:19" ht="15.75">
      <c r="S8454" s="1"/>
    </row>
    <row r="8455" spans="19:19" ht="15.75">
      <c r="S8455" s="1"/>
    </row>
    <row r="8456" spans="19:19" ht="15.75">
      <c r="S8456" s="1"/>
    </row>
    <row r="8457" spans="19:19" ht="15.75">
      <c r="S8457" s="1"/>
    </row>
    <row r="8458" spans="19:19" ht="15.75">
      <c r="S8458" s="1"/>
    </row>
    <row r="8459" spans="19:19" ht="15.75">
      <c r="S8459" s="1"/>
    </row>
    <row r="8460" spans="19:19" ht="15.75">
      <c r="S8460" s="1"/>
    </row>
    <row r="8461" spans="19:19" ht="15.75">
      <c r="S8461" s="1"/>
    </row>
    <row r="8462" spans="19:19" ht="15.75">
      <c r="S8462" s="1"/>
    </row>
    <row r="8463" spans="19:19" ht="15.75">
      <c r="S8463" s="1"/>
    </row>
    <row r="8464" spans="19:19" ht="15.75">
      <c r="S8464" s="1"/>
    </row>
    <row r="8465" spans="19:19" ht="15.75">
      <c r="S8465" s="1"/>
    </row>
    <row r="8466" spans="19:19" ht="15.75">
      <c r="S8466" s="1"/>
    </row>
    <row r="8467" spans="19:19" ht="15.75">
      <c r="S8467" s="1"/>
    </row>
    <row r="8468" spans="19:19" ht="15.75">
      <c r="S8468" s="1"/>
    </row>
    <row r="8469" spans="19:19" ht="15.75">
      <c r="S8469" s="1"/>
    </row>
    <row r="8470" spans="19:19" ht="15.75">
      <c r="S8470" s="1"/>
    </row>
    <row r="8471" spans="19:19" ht="15.75">
      <c r="S8471" s="1"/>
    </row>
    <row r="8472" spans="19:19" ht="15.75">
      <c r="S8472" s="1"/>
    </row>
    <row r="8473" spans="19:19" ht="15.75">
      <c r="S8473" s="1"/>
    </row>
    <row r="8474" spans="19:19" ht="15.75">
      <c r="S8474" s="1"/>
    </row>
    <row r="8475" spans="19:19" ht="15.75">
      <c r="S8475" s="1"/>
    </row>
    <row r="8476" spans="19:19" ht="15.75">
      <c r="S8476" s="1"/>
    </row>
    <row r="8477" spans="19:19" ht="15.75">
      <c r="S8477" s="1"/>
    </row>
    <row r="8478" spans="19:19" ht="15.75">
      <c r="S8478" s="1"/>
    </row>
    <row r="8479" spans="19:19" ht="15.75">
      <c r="S8479" s="1"/>
    </row>
    <row r="8480" spans="19:19" ht="15.75">
      <c r="S8480" s="1"/>
    </row>
    <row r="8481" spans="19:19" ht="15.75">
      <c r="S8481" s="1"/>
    </row>
    <row r="8482" spans="19:19" ht="15.75">
      <c r="S8482" s="1"/>
    </row>
    <row r="8483" spans="19:19" ht="15.75">
      <c r="S8483" s="1"/>
    </row>
    <row r="8484" spans="19:19" ht="15.75">
      <c r="S8484" s="1"/>
    </row>
    <row r="8485" spans="19:19" ht="15.75">
      <c r="S8485" s="1"/>
    </row>
    <row r="8486" spans="19:19" ht="15.75">
      <c r="S8486" s="1"/>
    </row>
    <row r="8487" spans="19:19" ht="15.75">
      <c r="S8487" s="1"/>
    </row>
    <row r="8488" spans="19:19" ht="15.75">
      <c r="S8488" s="1"/>
    </row>
    <row r="8489" spans="19:19" ht="15.75">
      <c r="S8489" s="1"/>
    </row>
    <row r="8490" spans="19:19" ht="15.75">
      <c r="S8490" s="1"/>
    </row>
    <row r="8491" spans="19:19" ht="15.75">
      <c r="S8491" s="1"/>
    </row>
    <row r="8492" spans="19:19" ht="15.75">
      <c r="S8492" s="1"/>
    </row>
    <row r="8493" spans="19:19" ht="15.75">
      <c r="S8493" s="1"/>
    </row>
    <row r="8494" spans="19:19" ht="15.75">
      <c r="S8494" s="1"/>
    </row>
    <row r="8495" spans="19:19" ht="15.75">
      <c r="S8495" s="1"/>
    </row>
    <row r="8496" spans="19:19" ht="15.75">
      <c r="S8496" s="1"/>
    </row>
    <row r="8497" spans="19:19" ht="15.75">
      <c r="S8497" s="1"/>
    </row>
    <row r="8498" spans="19:19" ht="15.75">
      <c r="S8498" s="1"/>
    </row>
    <row r="8499" spans="19:19" ht="15.75">
      <c r="S8499" s="1"/>
    </row>
    <row r="8500" spans="19:19" ht="15.75">
      <c r="S8500" s="1"/>
    </row>
    <row r="8501" spans="19:19" ht="15.75">
      <c r="S8501" s="1"/>
    </row>
    <row r="8502" spans="19:19" ht="15.75">
      <c r="S8502" s="1"/>
    </row>
    <row r="8503" spans="19:19" ht="15.75">
      <c r="S8503" s="1"/>
    </row>
    <row r="8504" spans="19:19" ht="15.75">
      <c r="S8504" s="1"/>
    </row>
    <row r="8505" spans="19:19" ht="15.75">
      <c r="S8505" s="1"/>
    </row>
    <row r="8506" spans="19:19" ht="15.75">
      <c r="S8506" s="1"/>
    </row>
    <row r="8507" spans="19:19" ht="15.75">
      <c r="S8507" s="1"/>
    </row>
    <row r="8508" spans="19:19" ht="15.75">
      <c r="S8508" s="1"/>
    </row>
    <row r="8509" spans="19:19" ht="15.75">
      <c r="S8509" s="1"/>
    </row>
    <row r="8510" spans="19:19" ht="15.75">
      <c r="S8510" s="1"/>
    </row>
    <row r="8511" spans="19:19" ht="15.75">
      <c r="S8511" s="1"/>
    </row>
    <row r="8512" spans="19:19" ht="15.75">
      <c r="S8512" s="1"/>
    </row>
    <row r="8513" spans="19:19" ht="15.75">
      <c r="S8513" s="1"/>
    </row>
    <row r="8514" spans="19:19" ht="15.75">
      <c r="S8514" s="1"/>
    </row>
    <row r="8515" spans="19:19" ht="15.75">
      <c r="S8515" s="1"/>
    </row>
    <row r="8516" spans="19:19" ht="15.75">
      <c r="S8516" s="1"/>
    </row>
    <row r="8517" spans="19:19" ht="15.75">
      <c r="S8517" s="1"/>
    </row>
    <row r="8518" spans="19:19" ht="15.75">
      <c r="S8518" s="1"/>
    </row>
    <row r="8519" spans="19:19" ht="15.75">
      <c r="S8519" s="1"/>
    </row>
    <row r="8520" spans="19:19" ht="15.75">
      <c r="S8520" s="1"/>
    </row>
    <row r="8521" spans="19:19" ht="15.75">
      <c r="S8521" s="1"/>
    </row>
    <row r="8522" spans="19:19" ht="15.75">
      <c r="S8522" s="1"/>
    </row>
    <row r="8523" spans="19:19" ht="15.75">
      <c r="S8523" s="1"/>
    </row>
    <row r="8524" spans="19:19" ht="15.75">
      <c r="S8524" s="1"/>
    </row>
    <row r="8525" spans="19:19" ht="15.75">
      <c r="S8525" s="1"/>
    </row>
    <row r="8526" spans="19:19" ht="15.75">
      <c r="S8526" s="1"/>
    </row>
    <row r="8527" spans="19:19" ht="15.75">
      <c r="S8527" s="1"/>
    </row>
    <row r="8528" spans="19:19" ht="15.75">
      <c r="S8528" s="1"/>
    </row>
    <row r="8529" spans="19:19" ht="15.75">
      <c r="S8529" s="1"/>
    </row>
    <row r="8530" spans="19:19" ht="15.75">
      <c r="S8530" s="1"/>
    </row>
    <row r="8531" spans="19:19" ht="15.75">
      <c r="S8531" s="1"/>
    </row>
    <row r="8532" spans="19:19" ht="15.75">
      <c r="S8532" s="1"/>
    </row>
    <row r="8533" spans="19:19" ht="15.75">
      <c r="S8533" s="1"/>
    </row>
    <row r="8534" spans="19:19" ht="15.75">
      <c r="S8534" s="1"/>
    </row>
    <row r="8535" spans="19:19" ht="15.75">
      <c r="S8535" s="1"/>
    </row>
    <row r="8536" spans="19:19" ht="15.75">
      <c r="S8536" s="1"/>
    </row>
    <row r="8537" spans="19:19" ht="15.75">
      <c r="S8537" s="1"/>
    </row>
    <row r="8538" spans="19:19" ht="15.75">
      <c r="S8538" s="1"/>
    </row>
    <row r="8539" spans="19:19" ht="15.75">
      <c r="S8539" s="1"/>
    </row>
    <row r="8540" spans="19:19" ht="15.75">
      <c r="S8540" s="1"/>
    </row>
    <row r="8541" spans="19:19" ht="15.75">
      <c r="S8541" s="1"/>
    </row>
    <row r="8542" spans="19:19" ht="15.75">
      <c r="S8542" s="1"/>
    </row>
    <row r="8543" spans="19:19" ht="15.75">
      <c r="S8543" s="1"/>
    </row>
    <row r="8544" spans="19:19" ht="15.75">
      <c r="S8544" s="1"/>
    </row>
    <row r="8545" spans="19:19" ht="15.75">
      <c r="S8545" s="1"/>
    </row>
    <row r="8546" spans="19:19" ht="15.75">
      <c r="S8546" s="1"/>
    </row>
    <row r="8547" spans="19:19" ht="15.75">
      <c r="S8547" s="1"/>
    </row>
    <row r="8548" spans="19:19" ht="15.75">
      <c r="S8548" s="1"/>
    </row>
    <row r="8549" spans="19:19" ht="15.75">
      <c r="S8549" s="1"/>
    </row>
    <row r="8550" spans="19:19" ht="15.75">
      <c r="S8550" s="1"/>
    </row>
    <row r="8551" spans="19:19" ht="15.75">
      <c r="S8551" s="1"/>
    </row>
    <row r="8552" spans="19:19" ht="15.75">
      <c r="S8552" s="1"/>
    </row>
    <row r="8553" spans="19:19" ht="15.75">
      <c r="S8553" s="1"/>
    </row>
    <row r="8554" spans="19:19" ht="15.75">
      <c r="S8554" s="1"/>
    </row>
    <row r="8555" spans="19:19" ht="15.75">
      <c r="S8555" s="1"/>
    </row>
    <row r="8556" spans="19:19" ht="15.75">
      <c r="S8556" s="1"/>
    </row>
    <row r="8557" spans="19:19" ht="15.75">
      <c r="S8557" s="1"/>
    </row>
    <row r="8558" spans="19:19" ht="15.75">
      <c r="S8558" s="1"/>
    </row>
    <row r="8559" spans="19:19" ht="15.75">
      <c r="S8559" s="1"/>
    </row>
    <row r="8560" spans="19:19" ht="15.75">
      <c r="S8560" s="1"/>
    </row>
    <row r="8561" spans="19:19" ht="15.75">
      <c r="S8561" s="1"/>
    </row>
    <row r="8562" spans="19:19" ht="15.75">
      <c r="S8562" s="1"/>
    </row>
    <row r="8563" spans="19:19" ht="15.75">
      <c r="S8563" s="1"/>
    </row>
    <row r="8564" spans="19:19" ht="15.75">
      <c r="S8564" s="1"/>
    </row>
    <row r="8565" spans="19:19" ht="15.75">
      <c r="S8565" s="1"/>
    </row>
    <row r="8566" spans="19:19" ht="15.75">
      <c r="S8566" s="1"/>
    </row>
    <row r="8567" spans="19:19" ht="15.75">
      <c r="S8567" s="1"/>
    </row>
    <row r="8568" spans="19:19" ht="15.75">
      <c r="S8568" s="1"/>
    </row>
    <row r="8569" spans="19:19" ht="15.75">
      <c r="S8569" s="1"/>
    </row>
    <row r="8570" spans="19:19" ht="15.75">
      <c r="S8570" s="1"/>
    </row>
    <row r="8571" spans="19:19" ht="15.75">
      <c r="S8571" s="1"/>
    </row>
    <row r="8572" spans="19:19" ht="15.75">
      <c r="S8572" s="1"/>
    </row>
    <row r="8573" spans="19:19" ht="15.75">
      <c r="S8573" s="1"/>
    </row>
    <row r="8574" spans="19:19" ht="15.75">
      <c r="S8574" s="1"/>
    </row>
    <row r="8575" spans="19:19" ht="15.75">
      <c r="S8575" s="1"/>
    </row>
    <row r="8576" spans="19:19" ht="15.75">
      <c r="S8576" s="1"/>
    </row>
    <row r="8577" spans="19:19" ht="15.75">
      <c r="S8577" s="1"/>
    </row>
    <row r="8578" spans="19:19" ht="15.75">
      <c r="S8578" s="1"/>
    </row>
    <row r="8579" spans="19:19" ht="15.75">
      <c r="S8579" s="1"/>
    </row>
    <row r="8580" spans="19:19" ht="15.75">
      <c r="S8580" s="1"/>
    </row>
    <row r="8581" spans="19:19" ht="15.75">
      <c r="S8581" s="1"/>
    </row>
    <row r="8582" spans="19:19" ht="15.75">
      <c r="S8582" s="1"/>
    </row>
    <row r="8583" spans="19:19" ht="15.75">
      <c r="S8583" s="1"/>
    </row>
    <row r="8584" spans="19:19" ht="15.75">
      <c r="S8584" s="1"/>
    </row>
    <row r="8585" spans="19:19" ht="15.75">
      <c r="S8585" s="1"/>
    </row>
    <row r="8586" spans="19:19" ht="15.75">
      <c r="S8586" s="1"/>
    </row>
    <row r="8587" spans="19:19" ht="15.75">
      <c r="S8587" s="1"/>
    </row>
    <row r="8588" spans="19:19" ht="15.75">
      <c r="S8588" s="1"/>
    </row>
    <row r="8589" spans="19:19" ht="15.75">
      <c r="S8589" s="1"/>
    </row>
    <row r="8590" spans="19:19" ht="15.75">
      <c r="S8590" s="1"/>
    </row>
    <row r="8591" spans="19:19" ht="15.75">
      <c r="S8591" s="1"/>
    </row>
    <row r="8592" spans="19:19" ht="15.75">
      <c r="S8592" s="1"/>
    </row>
    <row r="8593" spans="19:19" ht="15.75">
      <c r="S8593" s="1"/>
    </row>
    <row r="8594" spans="19:19" ht="15.75">
      <c r="S8594" s="1"/>
    </row>
    <row r="8595" spans="19:19" ht="15.75">
      <c r="S8595" s="1"/>
    </row>
    <row r="8596" spans="19:19" ht="15.75">
      <c r="S8596" s="1"/>
    </row>
    <row r="8597" spans="19:19" ht="15.75">
      <c r="S8597" s="1"/>
    </row>
    <row r="8598" spans="19:19" ht="15.75">
      <c r="S8598" s="1"/>
    </row>
    <row r="8599" spans="19:19" ht="15.75">
      <c r="S8599" s="1"/>
    </row>
    <row r="8600" spans="19:19" ht="15.75">
      <c r="S8600" s="1"/>
    </row>
    <row r="8601" spans="19:19" ht="15.75">
      <c r="S8601" s="1"/>
    </row>
    <row r="8602" spans="19:19" ht="15.75">
      <c r="S8602" s="1"/>
    </row>
    <row r="8603" spans="19:19" ht="15.75">
      <c r="S8603" s="1"/>
    </row>
    <row r="8604" spans="19:19" ht="15.75">
      <c r="S8604" s="1"/>
    </row>
    <row r="8605" spans="19:19" ht="15.75">
      <c r="S8605" s="1"/>
    </row>
    <row r="8606" spans="19:19" ht="15.75">
      <c r="S8606" s="1"/>
    </row>
    <row r="8607" spans="19:19" ht="15.75">
      <c r="S8607" s="1"/>
    </row>
    <row r="8608" spans="19:19" ht="15.75">
      <c r="S8608" s="1"/>
    </row>
    <row r="8609" spans="19:19" ht="15.75">
      <c r="S8609" s="1"/>
    </row>
    <row r="8610" spans="19:19" ht="15.75">
      <c r="S8610" s="1"/>
    </row>
    <row r="8611" spans="19:19" ht="15.75">
      <c r="S8611" s="1"/>
    </row>
    <row r="8612" spans="19:19" ht="15.75">
      <c r="S8612" s="1"/>
    </row>
    <row r="8613" spans="19:19" ht="15.75">
      <c r="S8613" s="1"/>
    </row>
    <row r="8614" spans="19:19" ht="15.75">
      <c r="S8614" s="1"/>
    </row>
    <row r="8615" spans="19:19" ht="15.75">
      <c r="S8615" s="1"/>
    </row>
    <row r="8616" spans="19:19" ht="15.75">
      <c r="S8616" s="1"/>
    </row>
    <row r="8617" spans="19:19" ht="15.75">
      <c r="S8617" s="1"/>
    </row>
    <row r="8618" spans="19:19" ht="15.75">
      <c r="S8618" s="1"/>
    </row>
    <row r="8619" spans="19:19" ht="15.75">
      <c r="S8619" s="1"/>
    </row>
    <row r="8620" spans="19:19" ht="15.75">
      <c r="S8620" s="1"/>
    </row>
    <row r="8621" spans="19:19" ht="15.75">
      <c r="S8621" s="1"/>
    </row>
    <row r="8622" spans="19:19" ht="15.75">
      <c r="S8622" s="1"/>
    </row>
    <row r="8623" spans="19:19" ht="15.75">
      <c r="S8623" s="1"/>
    </row>
    <row r="8624" spans="19:19" ht="15.75">
      <c r="S8624" s="1"/>
    </row>
    <row r="8625" spans="19:19" ht="15.75">
      <c r="S8625" s="1"/>
    </row>
    <row r="8626" spans="19:19" ht="15.75">
      <c r="S8626" s="1"/>
    </row>
    <row r="8627" spans="19:19" ht="15.75">
      <c r="S8627" s="1"/>
    </row>
    <row r="8628" spans="19:19" ht="15.75">
      <c r="S8628" s="1"/>
    </row>
    <row r="8629" spans="19:19" ht="15.75">
      <c r="S8629" s="1"/>
    </row>
    <row r="8630" spans="19:19" ht="15.75">
      <c r="S8630" s="1"/>
    </row>
    <row r="8631" spans="19:19" ht="15.75">
      <c r="S8631" s="1"/>
    </row>
    <row r="8632" spans="19:19" ht="15.75">
      <c r="S8632" s="1"/>
    </row>
    <row r="8633" spans="19:19" ht="15.75">
      <c r="S8633" s="1"/>
    </row>
    <row r="8634" spans="19:19" ht="15.75">
      <c r="S8634" s="1"/>
    </row>
    <row r="8635" spans="19:19" ht="15.75">
      <c r="S8635" s="1"/>
    </row>
    <row r="8636" spans="19:19" ht="15.75">
      <c r="S8636" s="1"/>
    </row>
    <row r="8637" spans="19:19" ht="15.75">
      <c r="S8637" s="1"/>
    </row>
    <row r="8638" spans="19:19" ht="15.75">
      <c r="S8638" s="1"/>
    </row>
    <row r="8639" spans="19:19" ht="15.75">
      <c r="S8639" s="1"/>
    </row>
    <row r="8640" spans="19:19" ht="15.75">
      <c r="S8640" s="1"/>
    </row>
    <row r="8641" spans="19:19" ht="15.75">
      <c r="S8641" s="1"/>
    </row>
    <row r="8642" spans="19:19" ht="15.75">
      <c r="S8642" s="1"/>
    </row>
    <row r="8643" spans="19:19" ht="15.75">
      <c r="S8643" s="1"/>
    </row>
    <row r="8644" spans="19:19" ht="15.75">
      <c r="S8644" s="1"/>
    </row>
    <row r="8645" spans="19:19" ht="15.75">
      <c r="S8645" s="1"/>
    </row>
    <row r="8646" spans="19:19" ht="15.75">
      <c r="S8646" s="1"/>
    </row>
    <row r="8647" spans="19:19" ht="15.75">
      <c r="S8647" s="1"/>
    </row>
    <row r="8648" spans="19:19" ht="15.75">
      <c r="S8648" s="1"/>
    </row>
    <row r="8649" spans="19:19" ht="15.75">
      <c r="S8649" s="1"/>
    </row>
    <row r="8650" spans="19:19" ht="15.75">
      <c r="S8650" s="1"/>
    </row>
    <row r="8651" spans="19:19" ht="15.75">
      <c r="S8651" s="1"/>
    </row>
    <row r="8652" spans="19:19" ht="15.75">
      <c r="S8652" s="1"/>
    </row>
    <row r="8653" spans="19:19" ht="15.75">
      <c r="S8653" s="1"/>
    </row>
    <row r="8654" spans="19:19" ht="15.75">
      <c r="S8654" s="1"/>
    </row>
    <row r="8655" spans="19:19" ht="15.75">
      <c r="S8655" s="1"/>
    </row>
    <row r="8656" spans="19:19" ht="15.75">
      <c r="S8656" s="1"/>
    </row>
    <row r="8657" spans="19:19" ht="15.75">
      <c r="S8657" s="1"/>
    </row>
    <row r="8658" spans="19:19" ht="15.75">
      <c r="S8658" s="1"/>
    </row>
    <row r="8659" spans="19:19" ht="15.75">
      <c r="S8659" s="1"/>
    </row>
    <row r="8660" spans="19:19" ht="15.75">
      <c r="S8660" s="1"/>
    </row>
    <row r="8661" spans="19:19" ht="15.75">
      <c r="S8661" s="1"/>
    </row>
    <row r="8662" spans="19:19" ht="15.75">
      <c r="S8662" s="1"/>
    </row>
    <row r="8663" spans="19:19" ht="15.75">
      <c r="S8663" s="1"/>
    </row>
    <row r="8664" spans="19:19" ht="15.75">
      <c r="S8664" s="1"/>
    </row>
    <row r="8665" spans="19:19" ht="15.75">
      <c r="S8665" s="1"/>
    </row>
    <row r="8666" spans="19:19" ht="15.75">
      <c r="S8666" s="1"/>
    </row>
    <row r="8667" spans="19:19" ht="15.75">
      <c r="S8667" s="1"/>
    </row>
    <row r="8668" spans="19:19" ht="15.75">
      <c r="S8668" s="1"/>
    </row>
    <row r="8669" spans="19:19" ht="15.75">
      <c r="S8669" s="1"/>
    </row>
    <row r="8670" spans="19:19" ht="15.75">
      <c r="S8670" s="1"/>
    </row>
    <row r="8671" spans="19:19" ht="15.75">
      <c r="S8671" s="1"/>
    </row>
    <row r="8672" spans="19:19" ht="15.75">
      <c r="S8672" s="1"/>
    </row>
    <row r="8673" spans="19:19" ht="15.75">
      <c r="S8673" s="1"/>
    </row>
    <row r="8674" spans="19:19" ht="15.75">
      <c r="S8674" s="1"/>
    </row>
    <row r="8675" spans="19:19" ht="15.75">
      <c r="S8675" s="1"/>
    </row>
    <row r="8676" spans="19:19" ht="15.75">
      <c r="S8676" s="1"/>
    </row>
    <row r="8677" spans="19:19" ht="15.75">
      <c r="S8677" s="1"/>
    </row>
    <row r="8678" spans="19:19" ht="15.75">
      <c r="S8678" s="1"/>
    </row>
    <row r="8679" spans="19:19" ht="15.75">
      <c r="S8679" s="1"/>
    </row>
    <row r="8680" spans="19:19" ht="15.75">
      <c r="S8680" s="1"/>
    </row>
    <row r="8681" spans="19:19" ht="15.75">
      <c r="S8681" s="1"/>
    </row>
    <row r="8682" spans="19:19" ht="15.75">
      <c r="S8682" s="1"/>
    </row>
    <row r="8683" spans="19:19" ht="15.75">
      <c r="S8683" s="1"/>
    </row>
    <row r="8684" spans="19:19" ht="15.75">
      <c r="S8684" s="1"/>
    </row>
    <row r="8685" spans="19:19" ht="15.75">
      <c r="S8685" s="1"/>
    </row>
    <row r="8686" spans="19:19" ht="15.75">
      <c r="S8686" s="1"/>
    </row>
    <row r="8687" spans="19:19" ht="15.75">
      <c r="S8687" s="1"/>
    </row>
    <row r="8688" spans="19:19" ht="15.75">
      <c r="S8688" s="1"/>
    </row>
    <row r="8689" spans="19:19" ht="15.75">
      <c r="S8689" s="1"/>
    </row>
    <row r="8690" spans="19:19" ht="15.75">
      <c r="S8690" s="1"/>
    </row>
    <row r="8691" spans="19:19" ht="15.75">
      <c r="S8691" s="1"/>
    </row>
    <row r="8692" spans="19:19" ht="15.75">
      <c r="S8692" s="1"/>
    </row>
    <row r="8693" spans="19:19" ht="15.75">
      <c r="S8693" s="1"/>
    </row>
    <row r="8694" spans="19:19" ht="15.75">
      <c r="S8694" s="1"/>
    </row>
    <row r="8695" spans="19:19" ht="15.75">
      <c r="S8695" s="1"/>
    </row>
    <row r="8696" spans="19:19" ht="15.75">
      <c r="S8696" s="1"/>
    </row>
    <row r="8697" spans="19:19" ht="15.75">
      <c r="S8697" s="1"/>
    </row>
    <row r="8698" spans="19:19" ht="15.75">
      <c r="S8698" s="1"/>
    </row>
    <row r="8699" spans="19:19" ht="15.75">
      <c r="S8699" s="1"/>
    </row>
    <row r="8700" spans="19:19" ht="15.75">
      <c r="S8700" s="1"/>
    </row>
    <row r="8701" spans="19:19" ht="15.75">
      <c r="S8701" s="1"/>
    </row>
    <row r="8702" spans="19:19" ht="15.75">
      <c r="S8702" s="1"/>
    </row>
    <row r="8703" spans="19:19" ht="15.75">
      <c r="S8703" s="1"/>
    </row>
    <row r="8704" spans="19:19" ht="15.75">
      <c r="S8704" s="1"/>
    </row>
    <row r="8705" spans="19:19" ht="15.75">
      <c r="S8705" s="1"/>
    </row>
    <row r="8706" spans="19:19" ht="15.75">
      <c r="S8706" s="1"/>
    </row>
    <row r="8707" spans="19:19" ht="15.75">
      <c r="S8707" s="1"/>
    </row>
    <row r="8708" spans="19:19" ht="15.75">
      <c r="S8708" s="1"/>
    </row>
    <row r="8709" spans="19:19" ht="15.75">
      <c r="S8709" s="1"/>
    </row>
    <row r="8710" spans="19:19" ht="15.75">
      <c r="S8710" s="1"/>
    </row>
    <row r="8711" spans="19:19" ht="15.75">
      <c r="S8711" s="1"/>
    </row>
    <row r="8712" spans="19:19" ht="15.75">
      <c r="S8712" s="1"/>
    </row>
    <row r="8713" spans="19:19" ht="15.75">
      <c r="S8713" s="1"/>
    </row>
    <row r="8714" spans="19:19" ht="15.75">
      <c r="S8714" s="1"/>
    </row>
    <row r="8715" spans="19:19" ht="15.75">
      <c r="S8715" s="1"/>
    </row>
    <row r="8716" spans="19:19" ht="15.75">
      <c r="S8716" s="1"/>
    </row>
    <row r="8717" spans="19:19" ht="15.75">
      <c r="S8717" s="1"/>
    </row>
    <row r="8718" spans="19:19" ht="15.75">
      <c r="S8718" s="1"/>
    </row>
    <row r="8719" spans="19:19" ht="15.75">
      <c r="S8719" s="1"/>
    </row>
    <row r="8720" spans="19:19" ht="15.75">
      <c r="S8720" s="1"/>
    </row>
    <row r="8721" spans="19:19" ht="15.75">
      <c r="S8721" s="1"/>
    </row>
    <row r="8722" spans="19:19" ht="15.75">
      <c r="S8722" s="1"/>
    </row>
    <row r="8723" spans="19:19" ht="15.75">
      <c r="S8723" s="1"/>
    </row>
    <row r="8724" spans="19:19" ht="15.75">
      <c r="S8724" s="1"/>
    </row>
    <row r="8725" spans="19:19" ht="15.75">
      <c r="S8725" s="1"/>
    </row>
    <row r="8726" spans="19:19" ht="15.75">
      <c r="S8726" s="1"/>
    </row>
    <row r="8727" spans="19:19" ht="15.75">
      <c r="S8727" s="1"/>
    </row>
    <row r="8728" spans="19:19" ht="15.75">
      <c r="S8728" s="1"/>
    </row>
    <row r="8729" spans="19:19" ht="15.75">
      <c r="S8729" s="1"/>
    </row>
    <row r="8730" spans="19:19" ht="15.75">
      <c r="S8730" s="1"/>
    </row>
    <row r="8731" spans="19:19" ht="15.75">
      <c r="S8731" s="1"/>
    </row>
    <row r="8732" spans="19:19" ht="15.75">
      <c r="S8732" s="1"/>
    </row>
    <row r="8733" spans="19:19" ht="15.75">
      <c r="S8733" s="1"/>
    </row>
    <row r="8734" spans="19:19" ht="15.75">
      <c r="S8734" s="1"/>
    </row>
    <row r="8735" spans="19:19" ht="15.75">
      <c r="S8735" s="1"/>
    </row>
    <row r="8736" spans="19:19" ht="15.75">
      <c r="S8736" s="1"/>
    </row>
    <row r="8737" spans="19:19" ht="15.75">
      <c r="S8737" s="1"/>
    </row>
    <row r="8738" spans="19:19" ht="15.75">
      <c r="S8738" s="1"/>
    </row>
    <row r="8739" spans="19:19" ht="15.75">
      <c r="S8739" s="1"/>
    </row>
    <row r="8740" spans="19:19" ht="15.75">
      <c r="S8740" s="1"/>
    </row>
    <row r="8741" spans="19:19" ht="15.75">
      <c r="S8741" s="1"/>
    </row>
    <row r="8742" spans="19:19" ht="15.75">
      <c r="S8742" s="1"/>
    </row>
    <row r="8743" spans="19:19" ht="15.75">
      <c r="S8743" s="1"/>
    </row>
    <row r="8744" spans="19:19" ht="15.75">
      <c r="S8744" s="1"/>
    </row>
    <row r="8745" spans="19:19" ht="15.75">
      <c r="S8745" s="1"/>
    </row>
    <row r="8746" spans="19:19" ht="15.75">
      <c r="S8746" s="1"/>
    </row>
    <row r="8747" spans="19:19" ht="15.75">
      <c r="S8747" s="1"/>
    </row>
    <row r="8748" spans="19:19" ht="15.75">
      <c r="S8748" s="1"/>
    </row>
    <row r="8749" spans="19:19" ht="15.75">
      <c r="S8749" s="1"/>
    </row>
    <row r="8750" spans="19:19" ht="15.75">
      <c r="S8750" s="1"/>
    </row>
    <row r="8751" spans="19:19" ht="15.75">
      <c r="S8751" s="1"/>
    </row>
    <row r="8752" spans="19:19" ht="15.75">
      <c r="S8752" s="1"/>
    </row>
    <row r="8753" spans="19:19" ht="15.75">
      <c r="S8753" s="1"/>
    </row>
    <row r="8754" spans="19:19" ht="15.75">
      <c r="S8754" s="1"/>
    </row>
    <row r="8755" spans="19:19" ht="15.75">
      <c r="S8755" s="1"/>
    </row>
    <row r="8756" spans="19:19" ht="15.75">
      <c r="S8756" s="1"/>
    </row>
    <row r="8757" spans="19:19" ht="15.75">
      <c r="S8757" s="1"/>
    </row>
    <row r="8758" spans="19:19" ht="15.75">
      <c r="S8758" s="1"/>
    </row>
    <row r="8759" spans="19:19" ht="15.75">
      <c r="S8759" s="1"/>
    </row>
    <row r="8760" spans="19:19" ht="15.75">
      <c r="S8760" s="1"/>
    </row>
    <row r="8761" spans="19:19" ht="15.75">
      <c r="S8761" s="1"/>
    </row>
    <row r="8762" spans="19:19" ht="15.75">
      <c r="S8762" s="1"/>
    </row>
    <row r="8763" spans="19:19" ht="15.75">
      <c r="S8763" s="1"/>
    </row>
    <row r="8764" spans="19:19" ht="15.75">
      <c r="S8764" s="1"/>
    </row>
    <row r="8765" spans="19:19" ht="15.75">
      <c r="S8765" s="1"/>
    </row>
    <row r="8766" spans="19:19" ht="15.75">
      <c r="S8766" s="1"/>
    </row>
    <row r="8767" spans="19:19" ht="15.75">
      <c r="S8767" s="1"/>
    </row>
    <row r="8768" spans="19:19" ht="15.75">
      <c r="S8768" s="1"/>
    </row>
    <row r="8769" spans="19:19" ht="15.75">
      <c r="S8769" s="1"/>
    </row>
    <row r="8770" spans="19:19" ht="15.75">
      <c r="S8770" s="1"/>
    </row>
    <row r="8771" spans="19:19" ht="15.75">
      <c r="S8771" s="1"/>
    </row>
    <row r="8772" spans="19:19" ht="15.75">
      <c r="S8772" s="1"/>
    </row>
    <row r="8773" spans="19:19" ht="15.75">
      <c r="S8773" s="1"/>
    </row>
    <row r="8774" spans="19:19" ht="15.75">
      <c r="S8774" s="1"/>
    </row>
    <row r="8775" spans="19:19" ht="15.75">
      <c r="S8775" s="1"/>
    </row>
    <row r="8776" spans="19:19" ht="15.75">
      <c r="S8776" s="1"/>
    </row>
    <row r="8777" spans="19:19" ht="15.75">
      <c r="S8777" s="1"/>
    </row>
    <row r="8778" spans="19:19" ht="15.75">
      <c r="S8778" s="1"/>
    </row>
    <row r="8779" spans="19:19" ht="15.75">
      <c r="S8779" s="1"/>
    </row>
    <row r="8780" spans="19:19" ht="15.75">
      <c r="S8780" s="1"/>
    </row>
    <row r="8781" spans="19:19" ht="15.75">
      <c r="S8781" s="1"/>
    </row>
    <row r="8782" spans="19:19" ht="15.75">
      <c r="S8782" s="1"/>
    </row>
    <row r="8783" spans="19:19" ht="15.75">
      <c r="S8783" s="1"/>
    </row>
    <row r="8784" spans="19:19" ht="15.75">
      <c r="S8784" s="1"/>
    </row>
    <row r="8785" spans="19:19" ht="15.75">
      <c r="S8785" s="1"/>
    </row>
    <row r="8786" spans="19:19" ht="15.75">
      <c r="S8786" s="1"/>
    </row>
    <row r="8787" spans="19:19" ht="15.75">
      <c r="S8787" s="1"/>
    </row>
    <row r="8788" spans="19:19" ht="15.75">
      <c r="S8788" s="1"/>
    </row>
    <row r="8789" spans="19:19" ht="15.75">
      <c r="S8789" s="1"/>
    </row>
    <row r="8790" spans="19:19" ht="15.75">
      <c r="S8790" s="1"/>
    </row>
    <row r="8791" spans="19:19" ht="15.75">
      <c r="S8791" s="1"/>
    </row>
    <row r="8792" spans="19:19" ht="15.75">
      <c r="S8792" s="1"/>
    </row>
    <row r="8793" spans="19:19" ht="15.75">
      <c r="S8793" s="1"/>
    </row>
    <row r="8794" spans="19:19" ht="15.75">
      <c r="S8794" s="1"/>
    </row>
    <row r="8795" spans="19:19" ht="15.75">
      <c r="S8795" s="1"/>
    </row>
    <row r="8796" spans="19:19" ht="15.75">
      <c r="S8796" s="1"/>
    </row>
    <row r="8797" spans="19:19" ht="15.75">
      <c r="S8797" s="1"/>
    </row>
    <row r="8798" spans="19:19" ht="15.75">
      <c r="S8798" s="1"/>
    </row>
    <row r="8799" spans="19:19" ht="15.75">
      <c r="S8799" s="1"/>
    </row>
    <row r="8800" spans="19:19" ht="15.75">
      <c r="S8800" s="1"/>
    </row>
    <row r="8801" spans="19:19" ht="15.75">
      <c r="S8801" s="1"/>
    </row>
    <row r="8802" spans="19:19" ht="15.75">
      <c r="S8802" s="1"/>
    </row>
    <row r="8803" spans="19:19" ht="15.75">
      <c r="S8803" s="1"/>
    </row>
    <row r="8804" spans="19:19" ht="15.75">
      <c r="S8804" s="1"/>
    </row>
    <row r="8805" spans="19:19" ht="15.75">
      <c r="S8805" s="1"/>
    </row>
    <row r="8806" spans="19:19" ht="15.75">
      <c r="S8806" s="1"/>
    </row>
    <row r="8807" spans="19:19" ht="15.75">
      <c r="S8807" s="1"/>
    </row>
    <row r="8808" spans="19:19" ht="15.75">
      <c r="S8808" s="1"/>
    </row>
    <row r="8809" spans="19:19" ht="15.75">
      <c r="S8809" s="1"/>
    </row>
    <row r="8810" spans="19:19" ht="15.75">
      <c r="S8810" s="1"/>
    </row>
    <row r="8811" spans="19:19" ht="15.75">
      <c r="S8811" s="1"/>
    </row>
    <row r="8812" spans="19:19" ht="15.75">
      <c r="S8812" s="1"/>
    </row>
    <row r="8813" spans="19:19" ht="15.75">
      <c r="S8813" s="1"/>
    </row>
    <row r="8814" spans="19:19" ht="15.75">
      <c r="S8814" s="1"/>
    </row>
    <row r="8815" spans="19:19" ht="15.75">
      <c r="S8815" s="1"/>
    </row>
    <row r="8816" spans="19:19" ht="15.75">
      <c r="S8816" s="1"/>
    </row>
    <row r="8817" spans="19:19" ht="15.75">
      <c r="S8817" s="1"/>
    </row>
    <row r="8818" spans="19:19" ht="15.75">
      <c r="S8818" s="1"/>
    </row>
    <row r="8819" spans="19:19" ht="15.75">
      <c r="S8819" s="1"/>
    </row>
    <row r="8820" spans="19:19" ht="15.75">
      <c r="S8820" s="1"/>
    </row>
    <row r="8821" spans="19:19" ht="15.75">
      <c r="S8821" s="1"/>
    </row>
    <row r="8822" spans="19:19" ht="15.75">
      <c r="S8822" s="1"/>
    </row>
    <row r="8823" spans="19:19" ht="15.75">
      <c r="S8823" s="1"/>
    </row>
    <row r="8824" spans="19:19" ht="15.75">
      <c r="S8824" s="1"/>
    </row>
    <row r="8825" spans="19:19" ht="15.75">
      <c r="S8825" s="1"/>
    </row>
    <row r="8826" spans="19:19" ht="15.75">
      <c r="S8826" s="1"/>
    </row>
    <row r="8827" spans="19:19" ht="15.75">
      <c r="S8827" s="1"/>
    </row>
    <row r="8828" spans="19:19" ht="15.75">
      <c r="S8828" s="1"/>
    </row>
    <row r="8829" spans="19:19" ht="15.75">
      <c r="S8829" s="1"/>
    </row>
    <row r="8830" spans="19:19" ht="15.75">
      <c r="S8830" s="1"/>
    </row>
    <row r="8831" spans="19:19" ht="15.75">
      <c r="S8831" s="1"/>
    </row>
    <row r="8832" spans="19:19" ht="15.75">
      <c r="S8832" s="1"/>
    </row>
    <row r="8833" spans="19:19" ht="15.75">
      <c r="S8833" s="1"/>
    </row>
    <row r="8834" spans="19:19" ht="15.75">
      <c r="S8834" s="1"/>
    </row>
    <row r="8835" spans="19:19" ht="15.75">
      <c r="S8835" s="1"/>
    </row>
    <row r="8836" spans="19:19" ht="15.75">
      <c r="S8836" s="1"/>
    </row>
    <row r="8837" spans="19:19" ht="15.75">
      <c r="S8837" s="1"/>
    </row>
    <row r="8838" spans="19:19" ht="15.75">
      <c r="S8838" s="1"/>
    </row>
    <row r="8839" spans="19:19" ht="15.75">
      <c r="S8839" s="1"/>
    </row>
    <row r="8840" spans="19:19" ht="15.75">
      <c r="S8840" s="1"/>
    </row>
    <row r="8841" spans="19:19" ht="15.75">
      <c r="S8841" s="1"/>
    </row>
    <row r="8842" spans="19:19" ht="15.75">
      <c r="S8842" s="1"/>
    </row>
    <row r="8843" spans="19:19" ht="15.75">
      <c r="S8843" s="1"/>
    </row>
    <row r="8844" spans="19:19" ht="15.75">
      <c r="S8844" s="1"/>
    </row>
    <row r="8845" spans="19:19" ht="15.75">
      <c r="S8845" s="1"/>
    </row>
    <row r="8846" spans="19:19" ht="15.75">
      <c r="S8846" s="1"/>
    </row>
    <row r="8847" spans="19:19" ht="15.75">
      <c r="S8847" s="1"/>
    </row>
    <row r="8848" spans="19:19" ht="15.75">
      <c r="S8848" s="1"/>
    </row>
    <row r="8849" spans="19:19" ht="15.75">
      <c r="S8849" s="1"/>
    </row>
    <row r="8850" spans="19:19" ht="15.75">
      <c r="S8850" s="1"/>
    </row>
    <row r="8851" spans="19:19" ht="15.75">
      <c r="S8851" s="1"/>
    </row>
    <row r="8852" spans="19:19" ht="15.75">
      <c r="S8852" s="1"/>
    </row>
    <row r="8853" spans="19:19" ht="15.75">
      <c r="S8853" s="1"/>
    </row>
    <row r="8854" spans="19:19" ht="15.75">
      <c r="S8854" s="1"/>
    </row>
    <row r="8855" spans="19:19" ht="15.75">
      <c r="S8855" s="1"/>
    </row>
    <row r="8856" spans="19:19" ht="15.75">
      <c r="S8856" s="1"/>
    </row>
    <row r="8857" spans="19:19" ht="15.75">
      <c r="S8857" s="1"/>
    </row>
    <row r="8858" spans="19:19" ht="15.75">
      <c r="S8858" s="1"/>
    </row>
    <row r="8859" spans="19:19" ht="15.75">
      <c r="S8859" s="1"/>
    </row>
    <row r="8860" spans="19:19" ht="15.75">
      <c r="S8860" s="1"/>
    </row>
    <row r="8861" spans="19:19" ht="15.75">
      <c r="S8861" s="1"/>
    </row>
    <row r="8862" spans="19:19" ht="15.75">
      <c r="S8862" s="1"/>
    </row>
    <row r="8863" spans="19:19" ht="15.75">
      <c r="S8863" s="1"/>
    </row>
    <row r="8864" spans="19:19" ht="15.75">
      <c r="S8864" s="1"/>
    </row>
    <row r="8865" spans="19:19" ht="15.75">
      <c r="S8865" s="1"/>
    </row>
    <row r="8866" spans="19:19" ht="15.75">
      <c r="S8866" s="1"/>
    </row>
    <row r="8867" spans="19:19" ht="15.75">
      <c r="S8867" s="1"/>
    </row>
    <row r="8868" spans="19:19" ht="15.75">
      <c r="S8868" s="1"/>
    </row>
    <row r="8869" spans="19:19" ht="15.75">
      <c r="S8869" s="1"/>
    </row>
    <row r="8870" spans="19:19" ht="15.75">
      <c r="S8870" s="1"/>
    </row>
    <row r="8871" spans="19:19" ht="15.75">
      <c r="S8871" s="1"/>
    </row>
    <row r="8872" spans="19:19" ht="15.75">
      <c r="S8872" s="1"/>
    </row>
    <row r="8873" spans="19:19" ht="15.75">
      <c r="S8873" s="1"/>
    </row>
    <row r="8874" spans="19:19" ht="15.75">
      <c r="S8874" s="1"/>
    </row>
    <row r="8875" spans="19:19" ht="15.75">
      <c r="S8875" s="1"/>
    </row>
    <row r="8876" spans="19:19" ht="15.75">
      <c r="S8876" s="1"/>
    </row>
    <row r="8877" spans="19:19" ht="15.75">
      <c r="S8877" s="1"/>
    </row>
    <row r="8878" spans="19:19" ht="15.75">
      <c r="S8878" s="1"/>
    </row>
    <row r="8879" spans="19:19" ht="15.75">
      <c r="S8879" s="1"/>
    </row>
    <row r="8880" spans="19:19" ht="15.75">
      <c r="S8880" s="1"/>
    </row>
    <row r="8881" spans="19:19" ht="15.75">
      <c r="S8881" s="1"/>
    </row>
    <row r="8882" spans="19:19" ht="15.75">
      <c r="S8882" s="1"/>
    </row>
    <row r="8883" spans="19:19" ht="15.75">
      <c r="S8883" s="1"/>
    </row>
    <row r="8884" spans="19:19" ht="15.75">
      <c r="S8884" s="1"/>
    </row>
    <row r="8885" spans="19:19" ht="15.75">
      <c r="S8885" s="1"/>
    </row>
    <row r="8886" spans="19:19" ht="15.75">
      <c r="S8886" s="1"/>
    </row>
    <row r="8887" spans="19:19" ht="15.75">
      <c r="S8887" s="1"/>
    </row>
    <row r="8888" spans="19:19" ht="15.75">
      <c r="S8888" s="1"/>
    </row>
    <row r="8889" spans="19:19" ht="15.75">
      <c r="S8889" s="1"/>
    </row>
    <row r="8890" spans="19:19" ht="15.75">
      <c r="S8890" s="1"/>
    </row>
    <row r="8891" spans="19:19" ht="15.75">
      <c r="S8891" s="1"/>
    </row>
    <row r="8892" spans="19:19" ht="15.75">
      <c r="S8892" s="1"/>
    </row>
    <row r="8893" spans="19:19" ht="15.75">
      <c r="S8893" s="1"/>
    </row>
    <row r="8894" spans="19:19" ht="15.75">
      <c r="S8894" s="1"/>
    </row>
    <row r="8895" spans="19:19" ht="15.75">
      <c r="S8895" s="1"/>
    </row>
    <row r="8896" spans="19:19" ht="15.75">
      <c r="S8896" s="1"/>
    </row>
    <row r="8897" spans="19:19" ht="15.75">
      <c r="S8897" s="1"/>
    </row>
    <row r="8898" spans="19:19" ht="15.75">
      <c r="S8898" s="1"/>
    </row>
    <row r="8899" spans="19:19" ht="15.75">
      <c r="S8899" s="1"/>
    </row>
    <row r="8900" spans="19:19" ht="15.75">
      <c r="S8900" s="1"/>
    </row>
    <row r="8901" spans="19:19" ht="15.75">
      <c r="S8901" s="1"/>
    </row>
    <row r="8902" spans="19:19" ht="15.75">
      <c r="S8902" s="1"/>
    </row>
    <row r="8903" spans="19:19" ht="15.75">
      <c r="S8903" s="1"/>
    </row>
    <row r="8904" spans="19:19" ht="15.75">
      <c r="S8904" s="1"/>
    </row>
    <row r="8905" spans="19:19" ht="15.75">
      <c r="S8905" s="1"/>
    </row>
    <row r="8906" spans="19:19" ht="15.75">
      <c r="S8906" s="1"/>
    </row>
    <row r="8907" spans="19:19" ht="15.75">
      <c r="S8907" s="1"/>
    </row>
    <row r="8908" spans="19:19" ht="15.75">
      <c r="S8908" s="1"/>
    </row>
    <row r="8909" spans="19:19" ht="15.75">
      <c r="S8909" s="1"/>
    </row>
    <row r="8910" spans="19:19" ht="15.75">
      <c r="S8910" s="1"/>
    </row>
    <row r="8911" spans="19:19" ht="15.75">
      <c r="S8911" s="1"/>
    </row>
    <row r="8912" spans="19:19" ht="15.75">
      <c r="S8912" s="1"/>
    </row>
    <row r="8913" spans="19:19" ht="15.75">
      <c r="S8913" s="1"/>
    </row>
    <row r="8914" spans="19:19" ht="15.75">
      <c r="S8914" s="1"/>
    </row>
    <row r="8915" spans="19:19" ht="15.75">
      <c r="S8915" s="1"/>
    </row>
    <row r="8916" spans="19:19" ht="15.75">
      <c r="S8916" s="1"/>
    </row>
    <row r="8917" spans="19:19" ht="15.75">
      <c r="S8917" s="1"/>
    </row>
    <row r="8918" spans="19:19" ht="15.75">
      <c r="S8918" s="1"/>
    </row>
    <row r="8919" spans="19:19" ht="15.75">
      <c r="S8919" s="1"/>
    </row>
    <row r="8920" spans="19:19" ht="15.75">
      <c r="S8920" s="1"/>
    </row>
    <row r="8921" spans="19:19" ht="15.75">
      <c r="S8921" s="1"/>
    </row>
    <row r="8922" spans="19:19" ht="15.75">
      <c r="S8922" s="1"/>
    </row>
    <row r="8923" spans="19:19" ht="15.75">
      <c r="S8923" s="1"/>
    </row>
    <row r="8924" spans="19:19" ht="15.75">
      <c r="S8924" s="1"/>
    </row>
    <row r="8925" spans="19:19" ht="15.75">
      <c r="S8925" s="1"/>
    </row>
    <row r="8926" spans="19:19" ht="15.75">
      <c r="S8926" s="1"/>
    </row>
    <row r="8927" spans="19:19" ht="15.75">
      <c r="S8927" s="1"/>
    </row>
    <row r="8928" spans="19:19" ht="15.75">
      <c r="S8928" s="1"/>
    </row>
    <row r="8929" spans="19:19" ht="15.75">
      <c r="S8929" s="1"/>
    </row>
    <row r="8930" spans="19:19" ht="15.75">
      <c r="S8930" s="1"/>
    </row>
    <row r="8931" spans="19:19" ht="15.75">
      <c r="S8931" s="1"/>
    </row>
    <row r="8932" spans="19:19" ht="15.75">
      <c r="S8932" s="1"/>
    </row>
    <row r="8933" spans="19:19" ht="15.75">
      <c r="S8933" s="1"/>
    </row>
    <row r="8934" spans="19:19" ht="15.75">
      <c r="S8934" s="1"/>
    </row>
    <row r="8935" spans="19:19" ht="15.75">
      <c r="S8935" s="1"/>
    </row>
    <row r="8936" spans="19:19" ht="15.75">
      <c r="S8936" s="1"/>
    </row>
    <row r="8937" spans="19:19" ht="15.75">
      <c r="S8937" s="1"/>
    </row>
    <row r="8938" spans="19:19" ht="15.75">
      <c r="S8938" s="1"/>
    </row>
    <row r="8939" spans="19:19" ht="15.75">
      <c r="S8939" s="1"/>
    </row>
    <row r="8940" spans="19:19" ht="15.75">
      <c r="S8940" s="1"/>
    </row>
    <row r="8941" spans="19:19" ht="15.75">
      <c r="S8941" s="1"/>
    </row>
    <row r="8942" spans="19:19" ht="15.75">
      <c r="S8942" s="1"/>
    </row>
    <row r="8943" spans="19:19" ht="15.75">
      <c r="S8943" s="1"/>
    </row>
    <row r="8944" spans="19:19" ht="15.75">
      <c r="S8944" s="1"/>
    </row>
    <row r="8945" spans="19:19" ht="15.75">
      <c r="S8945" s="1"/>
    </row>
    <row r="8946" spans="19:19" ht="15.75">
      <c r="S8946" s="1"/>
    </row>
    <row r="8947" spans="19:19" ht="15.75">
      <c r="S8947" s="1"/>
    </row>
    <row r="8948" spans="19:19" ht="15.75">
      <c r="S8948" s="1"/>
    </row>
    <row r="8949" spans="19:19" ht="15.75">
      <c r="S8949" s="1"/>
    </row>
    <row r="8950" spans="19:19" ht="15.75">
      <c r="S8950" s="1"/>
    </row>
    <row r="8951" spans="19:19" ht="15.75">
      <c r="S8951" s="1"/>
    </row>
    <row r="8952" spans="19:19" ht="15.75">
      <c r="S8952" s="1"/>
    </row>
    <row r="8953" spans="19:19" ht="15.75">
      <c r="S8953" s="1"/>
    </row>
    <row r="8954" spans="19:19" ht="15.75">
      <c r="S8954" s="1"/>
    </row>
    <row r="8955" spans="19:19" ht="15.75">
      <c r="S8955" s="1"/>
    </row>
    <row r="8956" spans="19:19" ht="15.75">
      <c r="S8956" s="1"/>
    </row>
    <row r="8957" spans="19:19" ht="15.75">
      <c r="S8957" s="1"/>
    </row>
    <row r="8958" spans="19:19" ht="15.75">
      <c r="S8958" s="1"/>
    </row>
    <row r="8959" spans="19:19" ht="15.75">
      <c r="S8959" s="1"/>
    </row>
    <row r="8960" spans="19:19" ht="15.75">
      <c r="S8960" s="1"/>
    </row>
    <row r="8961" spans="19:19" ht="15.75">
      <c r="S8961" s="1"/>
    </row>
    <row r="8962" spans="19:19" ht="15.75">
      <c r="S8962" s="1"/>
    </row>
    <row r="8963" spans="19:19" ht="15.75">
      <c r="S8963" s="1"/>
    </row>
    <row r="8964" spans="19:19" ht="15.75">
      <c r="S8964" s="1"/>
    </row>
    <row r="8965" spans="19:19" ht="15.75">
      <c r="S8965" s="1"/>
    </row>
    <row r="8966" spans="19:19" ht="15.75">
      <c r="S8966" s="1"/>
    </row>
    <row r="8967" spans="19:19" ht="15.75">
      <c r="S8967" s="1"/>
    </row>
    <row r="8968" spans="19:19" ht="15.75">
      <c r="S8968" s="1"/>
    </row>
    <row r="8969" spans="19:19" ht="15.75">
      <c r="S8969" s="1"/>
    </row>
    <row r="8970" spans="19:19" ht="15.75">
      <c r="S8970" s="1"/>
    </row>
    <row r="8971" spans="19:19" ht="15.75">
      <c r="S8971" s="1"/>
    </row>
    <row r="8972" spans="19:19" ht="15.75">
      <c r="S8972" s="1"/>
    </row>
    <row r="8973" spans="19:19" ht="15.75">
      <c r="S8973" s="1"/>
    </row>
    <row r="8974" spans="19:19" ht="15.75">
      <c r="S8974" s="1"/>
    </row>
    <row r="8975" spans="19:19" ht="15.75">
      <c r="S8975" s="1"/>
    </row>
    <row r="8976" spans="19:19" ht="15.75">
      <c r="S8976" s="1"/>
    </row>
    <row r="8977" spans="19:19" ht="15.75">
      <c r="S8977" s="1"/>
    </row>
    <row r="8978" spans="19:19" ht="15.75">
      <c r="S8978" s="1"/>
    </row>
    <row r="8979" spans="19:19" ht="15.75">
      <c r="S8979" s="1"/>
    </row>
    <row r="8980" spans="19:19" ht="15.75">
      <c r="S8980" s="1"/>
    </row>
    <row r="8981" spans="19:19" ht="15.75">
      <c r="S8981" s="1"/>
    </row>
    <row r="8982" spans="19:19" ht="15.75">
      <c r="S8982" s="1"/>
    </row>
    <row r="8983" spans="19:19" ht="15.75">
      <c r="S8983" s="1"/>
    </row>
    <row r="8984" spans="19:19" ht="15.75">
      <c r="S8984" s="1"/>
    </row>
    <row r="8985" spans="19:19" ht="15.75">
      <c r="S8985" s="1"/>
    </row>
    <row r="8986" spans="19:19" ht="15.75">
      <c r="S8986" s="1"/>
    </row>
    <row r="8987" spans="19:19" ht="15.75">
      <c r="S8987" s="1"/>
    </row>
    <row r="8988" spans="19:19" ht="15.75">
      <c r="S8988" s="1"/>
    </row>
    <row r="8989" spans="19:19" ht="15.75">
      <c r="S8989" s="1"/>
    </row>
    <row r="8990" spans="19:19" ht="15.75">
      <c r="S8990" s="1"/>
    </row>
    <row r="8991" spans="19:19" ht="15.75">
      <c r="S8991" s="1"/>
    </row>
    <row r="8992" spans="19:19" ht="15.75">
      <c r="S8992" s="1"/>
    </row>
    <row r="8993" spans="19:19" ht="15.75">
      <c r="S8993" s="1"/>
    </row>
    <row r="8994" spans="19:19" ht="15.75">
      <c r="S8994" s="1"/>
    </row>
    <row r="8995" spans="19:19" ht="15.75">
      <c r="S8995" s="1"/>
    </row>
    <row r="8996" spans="19:19" ht="15.75">
      <c r="S8996" s="1"/>
    </row>
    <row r="8997" spans="19:19" ht="15.75">
      <c r="S8997" s="1"/>
    </row>
    <row r="8998" spans="19:19" ht="15.75">
      <c r="S8998" s="1"/>
    </row>
    <row r="8999" spans="19:19" ht="15.75">
      <c r="S8999" s="1"/>
    </row>
    <row r="9000" spans="19:19" ht="15.75">
      <c r="S9000" s="1"/>
    </row>
    <row r="9001" spans="19:19" ht="15.75">
      <c r="S9001" s="1"/>
    </row>
    <row r="9002" spans="19:19" ht="15.75">
      <c r="S9002" s="1"/>
    </row>
    <row r="9003" spans="19:19" ht="15.75">
      <c r="S9003" s="1"/>
    </row>
    <row r="9004" spans="19:19" ht="15.75">
      <c r="S9004" s="1"/>
    </row>
    <row r="9005" spans="19:19" ht="15.75">
      <c r="S9005" s="1"/>
    </row>
    <row r="9006" spans="19:19" ht="15.75">
      <c r="S9006" s="1"/>
    </row>
    <row r="9007" spans="19:19" ht="15.75">
      <c r="S9007" s="1"/>
    </row>
    <row r="9008" spans="19:19" ht="15.75">
      <c r="S9008" s="1"/>
    </row>
    <row r="9009" spans="19:19" ht="15.75">
      <c r="S9009" s="1"/>
    </row>
    <row r="9010" spans="19:19" ht="15.75">
      <c r="S9010" s="1"/>
    </row>
    <row r="9011" spans="19:19" ht="15.75">
      <c r="S9011" s="1"/>
    </row>
    <row r="9012" spans="19:19" ht="15.75">
      <c r="S9012" s="1"/>
    </row>
    <row r="9013" spans="19:19" ht="15.75">
      <c r="S9013" s="1"/>
    </row>
    <row r="9014" spans="19:19" ht="15.75">
      <c r="S9014" s="1"/>
    </row>
    <row r="9015" spans="19:19" ht="15.75">
      <c r="S9015" s="1"/>
    </row>
    <row r="9016" spans="19:19" ht="15.75">
      <c r="S9016" s="1"/>
    </row>
    <row r="9017" spans="19:19" ht="15.75">
      <c r="S9017" s="1"/>
    </row>
    <row r="9018" spans="19:19" ht="15.75">
      <c r="S9018" s="1"/>
    </row>
    <row r="9019" spans="19:19" ht="15.75">
      <c r="S9019" s="1"/>
    </row>
    <row r="9020" spans="19:19" ht="15.75">
      <c r="S9020" s="1"/>
    </row>
    <row r="9021" spans="19:19" ht="15.75">
      <c r="S9021" s="1"/>
    </row>
    <row r="9022" spans="19:19" ht="15.75">
      <c r="S9022" s="1"/>
    </row>
    <row r="9023" spans="19:19" ht="15.75">
      <c r="S9023" s="1"/>
    </row>
    <row r="9024" spans="19:19" ht="15.75">
      <c r="S9024" s="1"/>
    </row>
    <row r="9025" spans="19:19" ht="15.75">
      <c r="S9025" s="1"/>
    </row>
    <row r="9026" spans="19:19" ht="15.75">
      <c r="S9026" s="1"/>
    </row>
    <row r="9027" spans="19:19" ht="15.75">
      <c r="S9027" s="1"/>
    </row>
    <row r="9028" spans="19:19" ht="15.75">
      <c r="S9028" s="1"/>
    </row>
    <row r="9029" spans="19:19" ht="15.75">
      <c r="S9029" s="1"/>
    </row>
    <row r="9030" spans="19:19" ht="15.75">
      <c r="S9030" s="1"/>
    </row>
    <row r="9031" spans="19:19" ht="15.75">
      <c r="S9031" s="1"/>
    </row>
    <row r="9032" spans="19:19" ht="15.75">
      <c r="S9032" s="1"/>
    </row>
    <row r="9033" spans="19:19" ht="15.75">
      <c r="S9033" s="1"/>
    </row>
    <row r="9034" spans="19:19" ht="15.75">
      <c r="S9034" s="1"/>
    </row>
    <row r="9035" spans="19:19" ht="15.75">
      <c r="S9035" s="1"/>
    </row>
    <row r="9036" spans="19:19" ht="15.75">
      <c r="S9036" s="1"/>
    </row>
    <row r="9037" spans="19:19" ht="15.75">
      <c r="S9037" s="1"/>
    </row>
    <row r="9038" spans="19:19" ht="15.75">
      <c r="S9038" s="1"/>
    </row>
    <row r="9039" spans="19:19" ht="15.75">
      <c r="S9039" s="1"/>
    </row>
    <row r="9040" spans="19:19" ht="15.75">
      <c r="S9040" s="1"/>
    </row>
    <row r="9041" spans="19:19" ht="15.75">
      <c r="S9041" s="1"/>
    </row>
    <row r="9042" spans="19:19" ht="15.75">
      <c r="S9042" s="1"/>
    </row>
    <row r="9043" spans="19:19" ht="15.75">
      <c r="S9043" s="1"/>
    </row>
    <row r="9044" spans="19:19" ht="15.75">
      <c r="S9044" s="1"/>
    </row>
    <row r="9045" spans="19:19" ht="15.75">
      <c r="S9045" s="1"/>
    </row>
    <row r="9046" spans="19:19" ht="15.75">
      <c r="S9046" s="1"/>
    </row>
    <row r="9047" spans="19:19" ht="15.75">
      <c r="S9047" s="1"/>
    </row>
    <row r="9048" spans="19:19" ht="15.75">
      <c r="S9048" s="1"/>
    </row>
    <row r="9049" spans="19:19" ht="15.75">
      <c r="S9049" s="1"/>
    </row>
    <row r="9050" spans="19:19" ht="15.75">
      <c r="S9050" s="1"/>
    </row>
    <row r="9051" spans="19:19" ht="15.75">
      <c r="S9051" s="1"/>
    </row>
    <row r="9052" spans="19:19" ht="15.75">
      <c r="S9052" s="1"/>
    </row>
    <row r="9053" spans="19:19" ht="15.75">
      <c r="S9053" s="1"/>
    </row>
    <row r="9054" spans="19:19" ht="15.75">
      <c r="S9054" s="1"/>
    </row>
    <row r="9055" spans="19:19" ht="15.75">
      <c r="S9055" s="1"/>
    </row>
    <row r="9056" spans="19:19" ht="15.75">
      <c r="S9056" s="1"/>
    </row>
    <row r="9057" spans="19:19" ht="15.75">
      <c r="S9057" s="1"/>
    </row>
    <row r="9058" spans="19:19" ht="15.75">
      <c r="S9058" s="1"/>
    </row>
    <row r="9059" spans="19:19" ht="15.75">
      <c r="S9059" s="1"/>
    </row>
    <row r="9060" spans="19:19" ht="15.75">
      <c r="S9060" s="1"/>
    </row>
    <row r="9061" spans="19:19" ht="15.75">
      <c r="S9061" s="1"/>
    </row>
    <row r="9062" spans="19:19" ht="15.75">
      <c r="S9062" s="1"/>
    </row>
    <row r="9063" spans="19:19" ht="15.75">
      <c r="S9063" s="1"/>
    </row>
    <row r="9064" spans="19:19" ht="15.75">
      <c r="S9064" s="1"/>
    </row>
    <row r="9065" spans="19:19" ht="15.75">
      <c r="S9065" s="1"/>
    </row>
    <row r="9066" spans="19:19" ht="15.75">
      <c r="S9066" s="1"/>
    </row>
    <row r="9067" spans="19:19" ht="15.75">
      <c r="S9067" s="1"/>
    </row>
    <row r="9068" spans="19:19" ht="15.75">
      <c r="S9068" s="1"/>
    </row>
    <row r="9069" spans="19:19" ht="15.75">
      <c r="S9069" s="1"/>
    </row>
    <row r="9070" spans="19:19" ht="15.75">
      <c r="S9070" s="1"/>
    </row>
    <row r="9071" spans="19:19" ht="15.75">
      <c r="S9071" s="1"/>
    </row>
    <row r="9072" spans="19:19" ht="15.75">
      <c r="S9072" s="1"/>
    </row>
    <row r="9073" spans="19:19" ht="15.75">
      <c r="S9073" s="1"/>
    </row>
    <row r="9074" spans="19:19" ht="15.75">
      <c r="S9074" s="1"/>
    </row>
    <row r="9075" spans="19:19" ht="15.75">
      <c r="S9075" s="1"/>
    </row>
    <row r="9076" spans="19:19" ht="15.75">
      <c r="S9076" s="1"/>
    </row>
    <row r="9077" spans="19:19" ht="15.75">
      <c r="S9077" s="1"/>
    </row>
    <row r="9078" spans="19:19" ht="15.75">
      <c r="S9078" s="1"/>
    </row>
    <row r="9079" spans="19:19" ht="15.75">
      <c r="S9079" s="1"/>
    </row>
    <row r="9080" spans="19:19" ht="15.75">
      <c r="S9080" s="1"/>
    </row>
    <row r="9081" spans="19:19" ht="15.75">
      <c r="S9081" s="1"/>
    </row>
    <row r="9082" spans="19:19" ht="15.75">
      <c r="S9082" s="1"/>
    </row>
    <row r="9083" spans="19:19" ht="15.75">
      <c r="S9083" s="1"/>
    </row>
    <row r="9084" spans="19:19" ht="15.75">
      <c r="S9084" s="1"/>
    </row>
    <row r="9085" spans="19:19" ht="15.75">
      <c r="S9085" s="1"/>
    </row>
    <row r="9086" spans="19:19" ht="15.75">
      <c r="S9086" s="1"/>
    </row>
    <row r="9087" spans="19:19" ht="15.75">
      <c r="S9087" s="1"/>
    </row>
    <row r="9088" spans="19:19" ht="15.75">
      <c r="S9088" s="1"/>
    </row>
    <row r="9089" spans="19:19" ht="15.75">
      <c r="S9089" s="1"/>
    </row>
    <row r="9090" spans="19:19" ht="15.75">
      <c r="S9090" s="1"/>
    </row>
    <row r="9091" spans="19:19" ht="15.75">
      <c r="S9091" s="1"/>
    </row>
    <row r="9092" spans="19:19" ht="15.75">
      <c r="S9092" s="1"/>
    </row>
    <row r="9093" spans="19:19" ht="15.75">
      <c r="S9093" s="1"/>
    </row>
    <row r="9094" spans="19:19" ht="15.75">
      <c r="S9094" s="1"/>
    </row>
    <row r="9095" spans="19:19" ht="15.75">
      <c r="S9095" s="1"/>
    </row>
    <row r="9096" spans="19:19" ht="15.75">
      <c r="S9096" s="1"/>
    </row>
    <row r="9097" spans="19:19" ht="15.75">
      <c r="S9097" s="1"/>
    </row>
    <row r="9098" spans="19:19" ht="15.75">
      <c r="S9098" s="1"/>
    </row>
    <row r="9099" spans="19:19" ht="15.75">
      <c r="S9099" s="1"/>
    </row>
    <row r="9100" spans="19:19" ht="15.75">
      <c r="S9100" s="1"/>
    </row>
    <row r="9101" spans="19:19" ht="15.75">
      <c r="S9101" s="1"/>
    </row>
    <row r="9102" spans="19:19" ht="15.75">
      <c r="S9102" s="1"/>
    </row>
    <row r="9103" spans="19:19" ht="15.75">
      <c r="S9103" s="1"/>
    </row>
    <row r="9104" spans="19:19" ht="15.75">
      <c r="S9104" s="1"/>
    </row>
    <row r="9105" spans="19:19" ht="15.75">
      <c r="S9105" s="1"/>
    </row>
    <row r="9106" spans="19:19" ht="15.75">
      <c r="S9106" s="1"/>
    </row>
    <row r="9107" spans="19:19" ht="15.75">
      <c r="S9107" s="1"/>
    </row>
    <row r="9108" spans="19:19" ht="15.75">
      <c r="S9108" s="1"/>
    </row>
    <row r="9109" spans="19:19" ht="15.75">
      <c r="S9109" s="1"/>
    </row>
    <row r="9110" spans="19:19" ht="15.75">
      <c r="S9110" s="1"/>
    </row>
    <row r="9111" spans="19:19" ht="15.75">
      <c r="S9111" s="1"/>
    </row>
    <row r="9112" spans="19:19" ht="15.75">
      <c r="S9112" s="1"/>
    </row>
    <row r="9113" spans="19:19" ht="15.75">
      <c r="S9113" s="1"/>
    </row>
    <row r="9114" spans="19:19" ht="15.75">
      <c r="S9114" s="1"/>
    </row>
    <row r="9115" spans="19:19" ht="15.75">
      <c r="S9115" s="1"/>
    </row>
    <row r="9116" spans="19:19" ht="15.75">
      <c r="S9116" s="1"/>
    </row>
    <row r="9117" spans="19:19" ht="15.75">
      <c r="S9117" s="1"/>
    </row>
    <row r="9118" spans="19:19" ht="15.75">
      <c r="S9118" s="1"/>
    </row>
    <row r="9119" spans="19:19" ht="15.75">
      <c r="S9119" s="1"/>
    </row>
    <row r="9120" spans="19:19" ht="15.75">
      <c r="S9120" s="1"/>
    </row>
    <row r="9121" spans="19:19" ht="15.75">
      <c r="S9121" s="1"/>
    </row>
    <row r="9122" spans="19:19" ht="15.75">
      <c r="S9122" s="1"/>
    </row>
    <row r="9123" spans="19:19" ht="15.75">
      <c r="S9123" s="1"/>
    </row>
    <row r="9124" spans="19:19" ht="15.75">
      <c r="S9124" s="1"/>
    </row>
    <row r="9125" spans="19:19" ht="15.75">
      <c r="S9125" s="1"/>
    </row>
    <row r="9126" spans="19:19" ht="15.75">
      <c r="S9126" s="1"/>
    </row>
    <row r="9127" spans="19:19" ht="15.75">
      <c r="S9127" s="1"/>
    </row>
    <row r="9128" spans="19:19" ht="15.75">
      <c r="S9128" s="1"/>
    </row>
    <row r="9129" spans="19:19" ht="15.75">
      <c r="S9129" s="1"/>
    </row>
    <row r="9130" spans="19:19" ht="15.75">
      <c r="S9130" s="1"/>
    </row>
    <row r="9131" spans="19:19" ht="15.75">
      <c r="S9131" s="1"/>
    </row>
    <row r="9132" spans="19:19" ht="15.75">
      <c r="S9132" s="1"/>
    </row>
    <row r="9133" spans="19:19" ht="15.75">
      <c r="S9133" s="1"/>
    </row>
    <row r="9134" spans="19:19" ht="15.75">
      <c r="S9134" s="1"/>
    </row>
    <row r="9135" spans="19:19" ht="15.75">
      <c r="S9135" s="1"/>
    </row>
    <row r="9136" spans="19:19" ht="15.75">
      <c r="S9136" s="1"/>
    </row>
    <row r="9137" spans="19:19" ht="15.75">
      <c r="S9137" s="1"/>
    </row>
    <row r="9138" spans="19:19" ht="15.75">
      <c r="S9138" s="1"/>
    </row>
    <row r="9139" spans="19:19" ht="15.75">
      <c r="S9139" s="1"/>
    </row>
    <row r="9140" spans="19:19" ht="15.75">
      <c r="S9140" s="1"/>
    </row>
    <row r="9141" spans="19:19" ht="15.75">
      <c r="S9141" s="1"/>
    </row>
    <row r="9142" spans="19:19" ht="15.75">
      <c r="S9142" s="1"/>
    </row>
    <row r="9143" spans="19:19" ht="15.75">
      <c r="S9143" s="1"/>
    </row>
    <row r="9144" spans="19:19" ht="15.75">
      <c r="S9144" s="1"/>
    </row>
    <row r="9145" spans="19:19" ht="15.75">
      <c r="S9145" s="1"/>
    </row>
    <row r="9146" spans="19:19" ht="15.75">
      <c r="S9146" s="1"/>
    </row>
    <row r="9147" spans="19:19" ht="15.75">
      <c r="S9147" s="1"/>
    </row>
    <row r="9148" spans="19:19" ht="15.75">
      <c r="S9148" s="1"/>
    </row>
    <row r="9149" spans="19:19" ht="15.75">
      <c r="S9149" s="1"/>
    </row>
    <row r="9150" spans="19:19" ht="15.75">
      <c r="S9150" s="1"/>
    </row>
    <row r="9151" spans="19:19" ht="15.75">
      <c r="S9151" s="1"/>
    </row>
    <row r="9152" spans="19:19" ht="15.75">
      <c r="S9152" s="1"/>
    </row>
    <row r="9153" spans="19:19" ht="15.75">
      <c r="S9153" s="1"/>
    </row>
    <row r="9154" spans="19:19" ht="15.75">
      <c r="S9154" s="1"/>
    </row>
    <row r="9155" spans="19:19" ht="15.75">
      <c r="S9155" s="1"/>
    </row>
    <row r="9156" spans="19:19" ht="15.75">
      <c r="S9156" s="1"/>
    </row>
    <row r="9157" spans="19:19" ht="15.75">
      <c r="S9157" s="1"/>
    </row>
    <row r="9158" spans="19:19" ht="15.75">
      <c r="S9158" s="1"/>
    </row>
    <row r="9159" spans="19:19" ht="15.75">
      <c r="S9159" s="1"/>
    </row>
    <row r="9160" spans="19:19" ht="15.75">
      <c r="S9160" s="1"/>
    </row>
    <row r="9161" spans="19:19" ht="15.75">
      <c r="S9161" s="1"/>
    </row>
    <row r="9162" spans="19:19" ht="15.75">
      <c r="S9162" s="1"/>
    </row>
    <row r="9163" spans="19:19" ht="15.75">
      <c r="S9163" s="1"/>
    </row>
    <row r="9164" spans="19:19" ht="15.75">
      <c r="S9164" s="1"/>
    </row>
    <row r="9165" spans="19:19" ht="15.75">
      <c r="S9165" s="1"/>
    </row>
    <row r="9166" spans="19:19" ht="15.75">
      <c r="S9166" s="1"/>
    </row>
    <row r="9167" spans="19:19" ht="15.75">
      <c r="S9167" s="1"/>
    </row>
    <row r="9168" spans="19:19" ht="15.75">
      <c r="S9168" s="1"/>
    </row>
    <row r="9169" spans="19:19" ht="15.75">
      <c r="S9169" s="1"/>
    </row>
    <row r="9170" spans="19:19" ht="15.75">
      <c r="S9170" s="1"/>
    </row>
    <row r="9171" spans="19:19" ht="15.75">
      <c r="S9171" s="1"/>
    </row>
    <row r="9172" spans="19:19" ht="15.75">
      <c r="S9172" s="1"/>
    </row>
    <row r="9173" spans="19:19" ht="15.75">
      <c r="S9173" s="1"/>
    </row>
    <row r="9174" spans="19:19" ht="15.75">
      <c r="S9174" s="1"/>
    </row>
    <row r="9175" spans="19:19" ht="15.75">
      <c r="S9175" s="1"/>
    </row>
    <row r="9176" spans="19:19" ht="15.75">
      <c r="S9176" s="1"/>
    </row>
    <row r="9177" spans="19:19" ht="15.75">
      <c r="S9177" s="1"/>
    </row>
    <row r="9178" spans="19:19" ht="15.75">
      <c r="S9178" s="1"/>
    </row>
    <row r="9179" spans="19:19" ht="15.75">
      <c r="S9179" s="1"/>
    </row>
    <row r="9180" spans="19:19" ht="15.75">
      <c r="S9180" s="1"/>
    </row>
    <row r="9181" spans="19:19" ht="15.75">
      <c r="S9181" s="1"/>
    </row>
    <row r="9182" spans="19:19" ht="15.75">
      <c r="S9182" s="1"/>
    </row>
    <row r="9183" spans="19:19" ht="15.75">
      <c r="S9183" s="1"/>
    </row>
    <row r="9184" spans="19:19" ht="15.75">
      <c r="S9184" s="1"/>
    </row>
    <row r="9185" spans="19:19" ht="15.75">
      <c r="S9185" s="1"/>
    </row>
    <row r="9186" spans="19:19" ht="15.75">
      <c r="S9186" s="1"/>
    </row>
    <row r="9187" spans="19:19" ht="15.75">
      <c r="S9187" s="1"/>
    </row>
    <row r="9188" spans="19:19" ht="15.75">
      <c r="S9188" s="1"/>
    </row>
    <row r="9189" spans="19:19" ht="15.75">
      <c r="S9189" s="1"/>
    </row>
    <row r="9190" spans="19:19" ht="15.75">
      <c r="S9190" s="1"/>
    </row>
    <row r="9191" spans="19:19" ht="15.75">
      <c r="S9191" s="1"/>
    </row>
    <row r="9192" spans="19:19" ht="15.75">
      <c r="S9192" s="1"/>
    </row>
    <row r="9193" spans="19:19" ht="15.75">
      <c r="S9193" s="1"/>
    </row>
    <row r="9194" spans="19:19" ht="15.75">
      <c r="S9194" s="1"/>
    </row>
    <row r="9195" spans="19:19" ht="15.75">
      <c r="S9195" s="1"/>
    </row>
    <row r="9196" spans="19:19" ht="15.75">
      <c r="S9196" s="1"/>
    </row>
    <row r="9197" spans="19:19" ht="15.75">
      <c r="S9197" s="1"/>
    </row>
    <row r="9198" spans="19:19" ht="15.75">
      <c r="S9198" s="1"/>
    </row>
    <row r="9199" spans="19:19" ht="15.75">
      <c r="S9199" s="1"/>
    </row>
    <row r="9200" spans="19:19" ht="15.75">
      <c r="S9200" s="1"/>
    </row>
    <row r="9201" spans="19:19" ht="15.75">
      <c r="S9201" s="1"/>
    </row>
    <row r="9202" spans="19:19" ht="15.75">
      <c r="S9202" s="1"/>
    </row>
    <row r="9203" spans="19:19" ht="15.75">
      <c r="S9203" s="1"/>
    </row>
    <row r="9204" spans="19:19" ht="15.75">
      <c r="S9204" s="1"/>
    </row>
    <row r="9205" spans="19:19" ht="15.75">
      <c r="S9205" s="1"/>
    </row>
    <row r="9206" spans="19:19" ht="15.75">
      <c r="S9206" s="1"/>
    </row>
    <row r="9207" spans="19:19" ht="15.75">
      <c r="S9207" s="1"/>
    </row>
    <row r="9208" spans="19:19" ht="15.75">
      <c r="S9208" s="1"/>
    </row>
    <row r="9209" spans="19:19" ht="15.75">
      <c r="S9209" s="1"/>
    </row>
    <row r="9210" spans="19:19" ht="15.75">
      <c r="S9210" s="1"/>
    </row>
    <row r="9211" spans="19:19" ht="15.75">
      <c r="S9211" s="1"/>
    </row>
    <row r="9212" spans="19:19" ht="15.75">
      <c r="S9212" s="1"/>
    </row>
    <row r="9213" spans="19:19" ht="15.75">
      <c r="S9213" s="1"/>
    </row>
    <row r="9214" spans="19:19" ht="15.75">
      <c r="S9214" s="1"/>
    </row>
    <row r="9215" spans="19:19" ht="15.75">
      <c r="S9215" s="1"/>
    </row>
    <row r="9216" spans="19:19" ht="15.75">
      <c r="S9216" s="1"/>
    </row>
    <row r="9217" spans="19:19" ht="15.75">
      <c r="S9217" s="1"/>
    </row>
    <row r="9218" spans="19:19" ht="15.75">
      <c r="S9218" s="1"/>
    </row>
    <row r="9219" spans="19:19" ht="15.75">
      <c r="S9219" s="1"/>
    </row>
    <row r="9220" spans="19:19" ht="15.75">
      <c r="S9220" s="1"/>
    </row>
    <row r="9221" spans="19:19" ht="15.75">
      <c r="S9221" s="1"/>
    </row>
    <row r="9222" spans="19:19" ht="15.75">
      <c r="S9222" s="1"/>
    </row>
    <row r="9223" spans="19:19" ht="15.75">
      <c r="S9223" s="1"/>
    </row>
    <row r="9224" spans="19:19" ht="15.75">
      <c r="S9224" s="1"/>
    </row>
    <row r="9225" spans="19:19" ht="15.75">
      <c r="S9225" s="1"/>
    </row>
    <row r="9226" spans="19:19" ht="15.75">
      <c r="S9226" s="1"/>
    </row>
    <row r="9227" spans="19:19" ht="15.75">
      <c r="S9227" s="1"/>
    </row>
    <row r="9228" spans="19:19" ht="15.75">
      <c r="S9228" s="1"/>
    </row>
    <row r="9229" spans="19:19" ht="15.75">
      <c r="S9229" s="1"/>
    </row>
    <row r="9230" spans="19:19" ht="15.75">
      <c r="S9230" s="1"/>
    </row>
    <row r="9231" spans="19:19" ht="15.75">
      <c r="S9231" s="1"/>
    </row>
    <row r="9232" spans="19:19" ht="15.75">
      <c r="S9232" s="1"/>
    </row>
    <row r="9233" spans="19:19" ht="15.75">
      <c r="S9233" s="1"/>
    </row>
    <row r="9234" spans="19:19" ht="15.75">
      <c r="S9234" s="1"/>
    </row>
    <row r="9235" spans="19:19" ht="15.75">
      <c r="S9235" s="1"/>
    </row>
    <row r="9236" spans="19:19" ht="15.75">
      <c r="S9236" s="1"/>
    </row>
    <row r="9237" spans="19:19" ht="15.75">
      <c r="S9237" s="1"/>
    </row>
    <row r="9238" spans="19:19" ht="15.75">
      <c r="S9238" s="1"/>
    </row>
    <row r="9239" spans="19:19" ht="15.75">
      <c r="S9239" s="1"/>
    </row>
    <row r="9240" spans="19:19" ht="15.75">
      <c r="S9240" s="1"/>
    </row>
    <row r="9241" spans="19:19" ht="15.75">
      <c r="S9241" s="1"/>
    </row>
    <row r="9242" spans="19:19" ht="15.75">
      <c r="S9242" s="1"/>
    </row>
    <row r="9243" spans="19:19" ht="15.75">
      <c r="S9243" s="1"/>
    </row>
    <row r="9244" spans="19:19" ht="15.75">
      <c r="S9244" s="1"/>
    </row>
    <row r="9245" spans="19:19" ht="15.75">
      <c r="S9245" s="1"/>
    </row>
    <row r="9246" spans="19:19" ht="15.75">
      <c r="S9246" s="1"/>
    </row>
    <row r="9247" spans="19:19" ht="15.75">
      <c r="S9247" s="1"/>
    </row>
    <row r="9248" spans="19:19" ht="15.75">
      <c r="S9248" s="1"/>
    </row>
    <row r="9249" spans="19:19" ht="15.75">
      <c r="S9249" s="1"/>
    </row>
    <row r="9250" spans="19:19" ht="15.75">
      <c r="S9250" s="1"/>
    </row>
    <row r="9251" spans="19:19" ht="15.75">
      <c r="S9251" s="1"/>
    </row>
    <row r="9252" spans="19:19" ht="15.75">
      <c r="S9252" s="1"/>
    </row>
    <row r="9253" spans="19:19" ht="15.75">
      <c r="S9253" s="1"/>
    </row>
    <row r="9254" spans="19:19" ht="15.75">
      <c r="S9254" s="1"/>
    </row>
    <row r="9255" spans="19:19" ht="15.75">
      <c r="S9255" s="1"/>
    </row>
    <row r="9256" spans="19:19" ht="15.75">
      <c r="S9256" s="1"/>
    </row>
    <row r="9257" spans="19:19" ht="15.75">
      <c r="S9257" s="1"/>
    </row>
    <row r="9258" spans="19:19" ht="15.75">
      <c r="S9258" s="1"/>
    </row>
    <row r="9259" spans="19:19" ht="15.75">
      <c r="S9259" s="1"/>
    </row>
    <row r="9260" spans="19:19" ht="15.75">
      <c r="S9260" s="1"/>
    </row>
    <row r="9261" spans="19:19" ht="15.75">
      <c r="S9261" s="1"/>
    </row>
    <row r="9262" spans="19:19" ht="15.75">
      <c r="S9262" s="1"/>
    </row>
    <row r="9263" spans="19:19" ht="15.75">
      <c r="S9263" s="1"/>
    </row>
    <row r="9264" spans="19:19" ht="15.75">
      <c r="S9264" s="1"/>
    </row>
    <row r="9265" spans="19:19" ht="15.75">
      <c r="S9265" s="1"/>
    </row>
    <row r="9266" spans="19:19" ht="15.75">
      <c r="S9266" s="1"/>
    </row>
    <row r="9267" spans="19:19" ht="15.75">
      <c r="S9267" s="1"/>
    </row>
    <row r="9268" spans="19:19" ht="15.75">
      <c r="S9268" s="1"/>
    </row>
    <row r="9269" spans="19:19" ht="15.75">
      <c r="S9269" s="1"/>
    </row>
    <row r="9270" spans="19:19" ht="15.75">
      <c r="S9270" s="1"/>
    </row>
    <row r="9271" spans="19:19" ht="15.75">
      <c r="S9271" s="1"/>
    </row>
    <row r="9272" spans="19:19" ht="15.75">
      <c r="S9272" s="1"/>
    </row>
    <row r="9273" spans="19:19" ht="15.75">
      <c r="S9273" s="1"/>
    </row>
    <row r="9274" spans="19:19" ht="15.75">
      <c r="S9274" s="1"/>
    </row>
    <row r="9275" spans="19:19" ht="15.75">
      <c r="S9275" s="1"/>
    </row>
    <row r="9276" spans="19:19" ht="15.75">
      <c r="S9276" s="1"/>
    </row>
    <row r="9277" spans="19:19" ht="15.75">
      <c r="S9277" s="1"/>
    </row>
    <row r="9278" spans="19:19" ht="15.75">
      <c r="S9278" s="1"/>
    </row>
    <row r="9279" spans="19:19" ht="15.75">
      <c r="S9279" s="1"/>
    </row>
    <row r="9280" spans="19:19" ht="15.75">
      <c r="S9280" s="1"/>
    </row>
    <row r="9281" spans="19:19" ht="15.75">
      <c r="S9281" s="1"/>
    </row>
    <row r="9282" spans="19:19" ht="15.75">
      <c r="S9282" s="1"/>
    </row>
    <row r="9283" spans="19:19" ht="15.75">
      <c r="S9283" s="1"/>
    </row>
    <row r="9284" spans="19:19" ht="15.75">
      <c r="S9284" s="1"/>
    </row>
    <row r="9285" spans="19:19" ht="15.75">
      <c r="S9285" s="1"/>
    </row>
    <row r="9286" spans="19:19" ht="15.75">
      <c r="S9286" s="1"/>
    </row>
    <row r="9287" spans="19:19" ht="15.75">
      <c r="S9287" s="1"/>
    </row>
    <row r="9288" spans="19:19" ht="15.75">
      <c r="S9288" s="1"/>
    </row>
    <row r="9289" spans="19:19" ht="15.75">
      <c r="S9289" s="1"/>
    </row>
    <row r="9290" spans="19:19" ht="15.75">
      <c r="S9290" s="1"/>
    </row>
    <row r="9291" spans="19:19" ht="15.75">
      <c r="S9291" s="1"/>
    </row>
    <row r="9292" spans="19:19" ht="15.75">
      <c r="S9292" s="1"/>
    </row>
    <row r="9293" spans="19:19" ht="15.75">
      <c r="S9293" s="1"/>
    </row>
    <row r="9294" spans="19:19" ht="15.75">
      <c r="S9294" s="1"/>
    </row>
    <row r="9295" spans="19:19" ht="15.75">
      <c r="S9295" s="1"/>
    </row>
    <row r="9296" spans="19:19" ht="15.75">
      <c r="S9296" s="1"/>
    </row>
    <row r="9297" spans="19:19" ht="15.75">
      <c r="S9297" s="1"/>
    </row>
    <row r="9298" spans="19:19" ht="15.75">
      <c r="S9298" s="1"/>
    </row>
    <row r="9299" spans="19:19" ht="15.75">
      <c r="S9299" s="1"/>
    </row>
    <row r="9300" spans="19:19" ht="15.75">
      <c r="S9300" s="1"/>
    </row>
    <row r="9301" spans="19:19" ht="15.75">
      <c r="S9301" s="1"/>
    </row>
    <row r="9302" spans="19:19" ht="15.75">
      <c r="S9302" s="1"/>
    </row>
    <row r="9303" spans="19:19" ht="15.75">
      <c r="S9303" s="1"/>
    </row>
    <row r="9304" spans="19:19" ht="15.75">
      <c r="S9304" s="1"/>
    </row>
    <row r="9305" spans="19:19" ht="15.75">
      <c r="S9305" s="1"/>
    </row>
    <row r="9306" spans="19:19" ht="15.75">
      <c r="S9306" s="1"/>
    </row>
    <row r="9307" spans="19:19" ht="15.75">
      <c r="S9307" s="1"/>
    </row>
    <row r="9308" spans="19:19" ht="15.75">
      <c r="S9308" s="1"/>
    </row>
    <row r="9309" spans="19:19" ht="15.75">
      <c r="S9309" s="1"/>
    </row>
    <row r="9310" spans="19:19" ht="15.75">
      <c r="S9310" s="1"/>
    </row>
    <row r="9311" spans="19:19" ht="15.75">
      <c r="S9311" s="1"/>
    </row>
    <row r="9312" spans="19:19" ht="15.75">
      <c r="S9312" s="1"/>
    </row>
    <row r="9313" spans="19:19" ht="15.75">
      <c r="S9313" s="1"/>
    </row>
    <row r="9314" spans="19:19" ht="15.75">
      <c r="S9314" s="1"/>
    </row>
    <row r="9315" spans="19:19" ht="15.75">
      <c r="S9315" s="1"/>
    </row>
    <row r="9316" spans="19:19" ht="15.75">
      <c r="S9316" s="1"/>
    </row>
    <row r="9317" spans="19:19" ht="15.75">
      <c r="S9317" s="1"/>
    </row>
    <row r="9318" spans="19:19" ht="15.75">
      <c r="S9318" s="1"/>
    </row>
    <row r="9319" spans="19:19" ht="15.75">
      <c r="S9319" s="1"/>
    </row>
    <row r="9320" spans="19:19" ht="15.75">
      <c r="S9320" s="1"/>
    </row>
    <row r="9321" spans="19:19" ht="15.75">
      <c r="S9321" s="1"/>
    </row>
    <row r="9322" spans="19:19" ht="15.75">
      <c r="S9322" s="1"/>
    </row>
    <row r="9323" spans="19:19" ht="15.75">
      <c r="S9323" s="1"/>
    </row>
    <row r="9324" spans="19:19" ht="15.75">
      <c r="S9324" s="1"/>
    </row>
    <row r="9325" spans="19:19" ht="15.75">
      <c r="S9325" s="1"/>
    </row>
    <row r="9326" spans="19:19" ht="15.75">
      <c r="S9326" s="1"/>
    </row>
    <row r="9327" spans="19:19" ht="15.75">
      <c r="S9327" s="1"/>
    </row>
    <row r="9328" spans="19:19" ht="15.75">
      <c r="S9328" s="1"/>
    </row>
    <row r="9329" spans="19:19" ht="15.75">
      <c r="S9329" s="1"/>
    </row>
    <row r="9330" spans="19:19" ht="15.75">
      <c r="S9330" s="1"/>
    </row>
    <row r="9331" spans="19:19" ht="15.75">
      <c r="S9331" s="1"/>
    </row>
    <row r="9332" spans="19:19" ht="15.75">
      <c r="S9332" s="1"/>
    </row>
    <row r="9333" spans="19:19" ht="15.75">
      <c r="S9333" s="1"/>
    </row>
    <row r="9334" spans="19:19" ht="15.75">
      <c r="S9334" s="1"/>
    </row>
    <row r="9335" spans="19:19" ht="15.75">
      <c r="S9335" s="1"/>
    </row>
    <row r="9336" spans="19:19" ht="15.75">
      <c r="S9336" s="1"/>
    </row>
    <row r="9337" spans="19:19" ht="15.75">
      <c r="S9337" s="1"/>
    </row>
    <row r="9338" spans="19:19" ht="15.75">
      <c r="S9338" s="1"/>
    </row>
    <row r="9339" spans="19:19" ht="15.75">
      <c r="S9339" s="1"/>
    </row>
    <row r="9340" spans="19:19" ht="15.75">
      <c r="S9340" s="1"/>
    </row>
    <row r="9341" spans="19:19" ht="15.75">
      <c r="S9341" s="1"/>
    </row>
    <row r="9342" spans="19:19" ht="15.75">
      <c r="S9342" s="1"/>
    </row>
    <row r="9343" spans="19:19" ht="15.75">
      <c r="S9343" s="1"/>
    </row>
    <row r="9344" spans="19:19" ht="15.75">
      <c r="S9344" s="1"/>
    </row>
    <row r="9345" spans="19:19" ht="15.75">
      <c r="S9345" s="1"/>
    </row>
    <row r="9346" spans="19:19" ht="15.75">
      <c r="S9346" s="1"/>
    </row>
    <row r="9347" spans="19:19" ht="15.75">
      <c r="S9347" s="1"/>
    </row>
    <row r="9348" spans="19:19" ht="15.75">
      <c r="S9348" s="1"/>
    </row>
    <row r="9349" spans="19:19" ht="15.75">
      <c r="S9349" s="1"/>
    </row>
    <row r="9350" spans="19:19" ht="15.75">
      <c r="S9350" s="1"/>
    </row>
    <row r="9351" spans="19:19" ht="15.75">
      <c r="S9351" s="1"/>
    </row>
    <row r="9352" spans="19:19" ht="15.75">
      <c r="S9352" s="1"/>
    </row>
    <row r="9353" spans="19:19" ht="15.75">
      <c r="S9353" s="1"/>
    </row>
    <row r="9354" spans="19:19" ht="15.75">
      <c r="S9354" s="1"/>
    </row>
    <row r="9355" spans="19:19" ht="15.75">
      <c r="S9355" s="1"/>
    </row>
    <row r="9356" spans="19:19" ht="15.75">
      <c r="S9356" s="1"/>
    </row>
    <row r="9357" spans="19:19" ht="15.75">
      <c r="S9357" s="1"/>
    </row>
    <row r="9358" spans="19:19" ht="15.75">
      <c r="S9358" s="1"/>
    </row>
    <row r="9359" spans="19:19" ht="15.75">
      <c r="S9359" s="1"/>
    </row>
    <row r="9360" spans="19:19" ht="15.75">
      <c r="S9360" s="1"/>
    </row>
    <row r="9361" spans="19:19" ht="15.75">
      <c r="S9361" s="1"/>
    </row>
    <row r="9362" spans="19:19" ht="15.75">
      <c r="S9362" s="1"/>
    </row>
    <row r="9363" spans="19:19" ht="15.75">
      <c r="S9363" s="1"/>
    </row>
    <row r="9364" spans="19:19" ht="15.75">
      <c r="S9364" s="1"/>
    </row>
    <row r="9365" spans="19:19" ht="15.75">
      <c r="S9365" s="1"/>
    </row>
    <row r="9366" spans="19:19" ht="15.75">
      <c r="S9366" s="1"/>
    </row>
    <row r="9367" spans="19:19" ht="15.75">
      <c r="S9367" s="1"/>
    </row>
    <row r="9368" spans="19:19" ht="15.75">
      <c r="S9368" s="1"/>
    </row>
    <row r="9369" spans="19:19" ht="15.75">
      <c r="S9369" s="1"/>
    </row>
    <row r="9370" spans="19:19" ht="15.75">
      <c r="S9370" s="1"/>
    </row>
    <row r="9371" spans="19:19" ht="15.75">
      <c r="S9371" s="1"/>
    </row>
    <row r="9372" spans="19:19" ht="15.75">
      <c r="S9372" s="1"/>
    </row>
    <row r="9373" spans="19:19" ht="15.75">
      <c r="S9373" s="1"/>
    </row>
    <row r="9374" spans="19:19" ht="15.75">
      <c r="S9374" s="1"/>
    </row>
    <row r="9375" spans="19:19" ht="15.75">
      <c r="S9375" s="1"/>
    </row>
    <row r="9376" spans="19:19" ht="15.75">
      <c r="S9376" s="1"/>
    </row>
    <row r="9377" spans="19:19" ht="15.75">
      <c r="S9377" s="1"/>
    </row>
    <row r="9378" spans="19:19" ht="15.75">
      <c r="S9378" s="1"/>
    </row>
    <row r="9379" spans="19:19" ht="15.75">
      <c r="S9379" s="1"/>
    </row>
    <row r="9380" spans="19:19" ht="15.75">
      <c r="S9380" s="1"/>
    </row>
    <row r="9381" spans="19:19" ht="15.75">
      <c r="S9381" s="1"/>
    </row>
    <row r="9382" spans="19:19" ht="15.75">
      <c r="S9382" s="1"/>
    </row>
    <row r="9383" spans="19:19" ht="15.75">
      <c r="S9383" s="1"/>
    </row>
    <row r="9384" spans="19:19" ht="15.75">
      <c r="S9384" s="1"/>
    </row>
    <row r="9385" spans="19:19" ht="15.75">
      <c r="S9385" s="1"/>
    </row>
    <row r="9386" spans="19:19" ht="15.75">
      <c r="S9386" s="1"/>
    </row>
    <row r="9387" spans="19:19" ht="15.75">
      <c r="S9387" s="1"/>
    </row>
    <row r="9388" spans="19:19" ht="15.75">
      <c r="S9388" s="1"/>
    </row>
    <row r="9389" spans="19:19" ht="15.75">
      <c r="S9389" s="1"/>
    </row>
    <row r="9390" spans="19:19" ht="15.75">
      <c r="S9390" s="1"/>
    </row>
    <row r="9391" spans="19:19" ht="15.75">
      <c r="S9391" s="1"/>
    </row>
    <row r="9392" spans="19:19" ht="15.75">
      <c r="S9392" s="1"/>
    </row>
    <row r="9393" spans="19:19" ht="15.75">
      <c r="S9393" s="1"/>
    </row>
    <row r="9394" spans="19:19" ht="15.75">
      <c r="S9394" s="1"/>
    </row>
    <row r="9395" spans="19:19" ht="15.75">
      <c r="S9395" s="1"/>
    </row>
    <row r="9396" spans="19:19" ht="15.75">
      <c r="S9396" s="1"/>
    </row>
    <row r="9397" spans="19:19" ht="15.75">
      <c r="S9397" s="1"/>
    </row>
    <row r="9398" spans="19:19" ht="15.75">
      <c r="S9398" s="1"/>
    </row>
    <row r="9399" spans="19:19" ht="15.75">
      <c r="S9399" s="1"/>
    </row>
    <row r="9400" spans="19:19" ht="15.75">
      <c r="S9400" s="1"/>
    </row>
    <row r="9401" spans="19:19" ht="15.75">
      <c r="S9401" s="1"/>
    </row>
    <row r="9402" spans="19:19" ht="15.75">
      <c r="S9402" s="1"/>
    </row>
    <row r="9403" spans="19:19" ht="15.75">
      <c r="S9403" s="1"/>
    </row>
    <row r="9404" spans="19:19" ht="15.75">
      <c r="S9404" s="1"/>
    </row>
    <row r="9405" spans="19:19" ht="15.75">
      <c r="S9405" s="1"/>
    </row>
    <row r="9406" spans="19:19" ht="15.75">
      <c r="S9406" s="1"/>
    </row>
    <row r="9407" spans="19:19" ht="15.75">
      <c r="S9407" s="1"/>
    </row>
    <row r="9408" spans="19:19" ht="15.75">
      <c r="S9408" s="1"/>
    </row>
    <row r="9409" spans="19:19" ht="15.75">
      <c r="S9409" s="1"/>
    </row>
    <row r="9410" spans="19:19" ht="15.75">
      <c r="S9410" s="1"/>
    </row>
    <row r="9411" spans="19:19" ht="15.75">
      <c r="S9411" s="1"/>
    </row>
    <row r="9412" spans="19:19" ht="15.75">
      <c r="S9412" s="1"/>
    </row>
    <row r="9413" spans="19:19" ht="15.75">
      <c r="S9413" s="1"/>
    </row>
    <row r="9414" spans="19:19" ht="15.75">
      <c r="S9414" s="1"/>
    </row>
    <row r="9415" spans="19:19" ht="15.75">
      <c r="S9415" s="1"/>
    </row>
    <row r="9416" spans="19:19" ht="15.75">
      <c r="S9416" s="1"/>
    </row>
    <row r="9417" spans="19:19" ht="15.75">
      <c r="S9417" s="1"/>
    </row>
    <row r="9418" spans="19:19" ht="15.75">
      <c r="S9418" s="1"/>
    </row>
    <row r="9419" spans="19:19" ht="15.75">
      <c r="S9419" s="1"/>
    </row>
    <row r="9420" spans="19:19" ht="15.75">
      <c r="S9420" s="1"/>
    </row>
    <row r="9421" spans="19:19" ht="15.75">
      <c r="S9421" s="1"/>
    </row>
    <row r="9422" spans="19:19" ht="15.75">
      <c r="S9422" s="1"/>
    </row>
    <row r="9423" spans="19:19" ht="15.75">
      <c r="S9423" s="1"/>
    </row>
    <row r="9424" spans="19:19" ht="15.75">
      <c r="S9424" s="1"/>
    </row>
    <row r="9425" spans="19:19" ht="15.75">
      <c r="S9425" s="1"/>
    </row>
    <row r="9426" spans="19:19" ht="15.75">
      <c r="S9426" s="1"/>
    </row>
    <row r="9427" spans="19:19" ht="15.75">
      <c r="S9427" s="1"/>
    </row>
    <row r="9428" spans="19:19" ht="15.75">
      <c r="S9428" s="1"/>
    </row>
    <row r="9429" spans="19:19" ht="15.75">
      <c r="S9429" s="1"/>
    </row>
    <row r="9430" spans="19:19" ht="15.75">
      <c r="S9430" s="1"/>
    </row>
    <row r="9431" spans="19:19" ht="15.75">
      <c r="S9431" s="1"/>
    </row>
    <row r="9432" spans="19:19" ht="15.75">
      <c r="S9432" s="1"/>
    </row>
    <row r="9433" spans="19:19" ht="15.75">
      <c r="S9433" s="1"/>
    </row>
    <row r="9434" spans="19:19" ht="15.75">
      <c r="S9434" s="1"/>
    </row>
    <row r="9435" spans="19:19" ht="15.75">
      <c r="S9435" s="1"/>
    </row>
    <row r="9436" spans="19:19" ht="15.75">
      <c r="S9436" s="1"/>
    </row>
    <row r="9437" spans="19:19" ht="15.75">
      <c r="S9437" s="1"/>
    </row>
    <row r="9438" spans="19:19" ht="15.75">
      <c r="S9438" s="1"/>
    </row>
    <row r="9439" spans="19:19" ht="15.75">
      <c r="S9439" s="1"/>
    </row>
    <row r="9440" spans="19:19" ht="15.75">
      <c r="S9440" s="1"/>
    </row>
    <row r="9441" spans="19:19" ht="15.75">
      <c r="S9441" s="1"/>
    </row>
    <row r="9442" spans="19:19" ht="15.75">
      <c r="S9442" s="1"/>
    </row>
    <row r="9443" spans="19:19" ht="15.75">
      <c r="S9443" s="1"/>
    </row>
    <row r="9444" spans="19:19" ht="15.75">
      <c r="S9444" s="1"/>
    </row>
    <row r="9445" spans="19:19" ht="15.75">
      <c r="S9445" s="1"/>
    </row>
    <row r="9446" spans="19:19" ht="15.75">
      <c r="S9446" s="1"/>
    </row>
    <row r="9447" spans="19:19" ht="15.75">
      <c r="S9447" s="1"/>
    </row>
    <row r="9448" spans="19:19" ht="15.75">
      <c r="S9448" s="1"/>
    </row>
    <row r="9449" spans="19:19" ht="15.75">
      <c r="S9449" s="1"/>
    </row>
    <row r="9450" spans="19:19" ht="15.75">
      <c r="S9450" s="1"/>
    </row>
    <row r="9451" spans="19:19" ht="15.75">
      <c r="S9451" s="1"/>
    </row>
    <row r="9452" spans="19:19" ht="15.75">
      <c r="S9452" s="1"/>
    </row>
    <row r="9453" spans="19:19" ht="15.75">
      <c r="S9453" s="1"/>
    </row>
    <row r="9454" spans="19:19" ht="15.75">
      <c r="S9454" s="1"/>
    </row>
    <row r="9455" spans="19:19" ht="15.75">
      <c r="S9455" s="1"/>
    </row>
    <row r="9456" spans="19:19" ht="15.75">
      <c r="S9456" s="1"/>
    </row>
    <row r="9457" spans="19:19" ht="15.75">
      <c r="S9457" s="1"/>
    </row>
    <row r="9458" spans="19:19" ht="15.75">
      <c r="S9458" s="1"/>
    </row>
    <row r="9459" spans="19:19" ht="15.75">
      <c r="S9459" s="1"/>
    </row>
    <row r="9460" spans="19:19" ht="15.75">
      <c r="S9460" s="1"/>
    </row>
    <row r="9461" spans="19:19" ht="15.75">
      <c r="S9461" s="1"/>
    </row>
    <row r="9462" spans="19:19" ht="15.75">
      <c r="S9462" s="1"/>
    </row>
    <row r="9463" spans="19:19" ht="15.75">
      <c r="S9463" s="1"/>
    </row>
    <row r="9464" spans="19:19" ht="15.75">
      <c r="S9464" s="1"/>
    </row>
    <row r="9465" spans="19:19" ht="15.75">
      <c r="S9465" s="1"/>
    </row>
    <row r="9466" spans="19:19" ht="15.75">
      <c r="S9466" s="1"/>
    </row>
    <row r="9467" spans="19:19" ht="15.75">
      <c r="S9467" s="1"/>
    </row>
    <row r="9468" spans="19:19" ht="15.75">
      <c r="S9468" s="1"/>
    </row>
    <row r="9469" spans="19:19" ht="15.75">
      <c r="S9469" s="1"/>
    </row>
    <row r="9470" spans="19:19" ht="15.75">
      <c r="S9470" s="1"/>
    </row>
    <row r="9471" spans="19:19" ht="15.75">
      <c r="S9471" s="1"/>
    </row>
    <row r="9472" spans="19:19" ht="15.75">
      <c r="S9472" s="1"/>
    </row>
    <row r="9473" spans="19:19" ht="15.75">
      <c r="S9473" s="1"/>
    </row>
    <row r="9474" spans="19:19" ht="15.75">
      <c r="S9474" s="1"/>
    </row>
    <row r="9475" spans="19:19" ht="15.75">
      <c r="S9475" s="1"/>
    </row>
    <row r="9476" spans="19:19" ht="15.75">
      <c r="S9476" s="1"/>
    </row>
    <row r="9477" spans="19:19" ht="15.75">
      <c r="S9477" s="1"/>
    </row>
    <row r="9478" spans="19:19" ht="15.75">
      <c r="S9478" s="1"/>
    </row>
    <row r="9479" spans="19:19" ht="15.75">
      <c r="S9479" s="1"/>
    </row>
    <row r="9480" spans="19:19" ht="15.75">
      <c r="S9480" s="1"/>
    </row>
    <row r="9481" spans="19:19" ht="15.75">
      <c r="S9481" s="1"/>
    </row>
    <row r="9482" spans="19:19" ht="15.75">
      <c r="S9482" s="1"/>
    </row>
    <row r="9483" spans="19:19" ht="15.75">
      <c r="S9483" s="1"/>
    </row>
    <row r="9484" spans="19:19" ht="15.75">
      <c r="S9484" s="1"/>
    </row>
    <row r="9485" spans="19:19" ht="15.75">
      <c r="S9485" s="1"/>
    </row>
    <row r="9486" spans="19:19" ht="15.75">
      <c r="S9486" s="1"/>
    </row>
    <row r="9487" spans="19:19" ht="15.75">
      <c r="S9487" s="1"/>
    </row>
    <row r="9488" spans="19:19" ht="15.75">
      <c r="S9488" s="1"/>
    </row>
    <row r="9489" spans="19:19" ht="15.75">
      <c r="S9489" s="1"/>
    </row>
    <row r="9490" spans="19:19" ht="15.75">
      <c r="S9490" s="1"/>
    </row>
    <row r="9491" spans="19:19" ht="15.75">
      <c r="S9491" s="1"/>
    </row>
    <row r="9492" spans="19:19" ht="15.75">
      <c r="S9492" s="1"/>
    </row>
    <row r="9493" spans="19:19" ht="15.75">
      <c r="S9493" s="1"/>
    </row>
    <row r="9494" spans="19:19" ht="15.75">
      <c r="S9494" s="1"/>
    </row>
    <row r="9495" spans="19:19" ht="15.75">
      <c r="S9495" s="1"/>
    </row>
    <row r="9496" spans="19:19" ht="15.75">
      <c r="S9496" s="1"/>
    </row>
    <row r="9497" spans="19:19" ht="15.75">
      <c r="S9497" s="1"/>
    </row>
    <row r="9498" spans="19:19" ht="15.75">
      <c r="S9498" s="1"/>
    </row>
    <row r="9499" spans="19:19" ht="15.75">
      <c r="S9499" s="1"/>
    </row>
    <row r="9500" spans="19:19" ht="15.75">
      <c r="S9500" s="1"/>
    </row>
    <row r="9501" spans="19:19" ht="15.75">
      <c r="S9501" s="1"/>
    </row>
    <row r="9502" spans="19:19" ht="15.75">
      <c r="S9502" s="1"/>
    </row>
    <row r="9503" spans="19:19" ht="15.75">
      <c r="S9503" s="1"/>
    </row>
    <row r="9504" spans="19:19" ht="15.75">
      <c r="S9504" s="1"/>
    </row>
    <row r="9505" spans="19:19" ht="15.75">
      <c r="S9505" s="1"/>
    </row>
    <row r="9506" spans="19:19" ht="15.75">
      <c r="S9506" s="1"/>
    </row>
    <row r="9507" spans="19:19" ht="15.75">
      <c r="S9507" s="1"/>
    </row>
    <row r="9508" spans="19:19" ht="15.75">
      <c r="S9508" s="1"/>
    </row>
    <row r="9509" spans="19:19" ht="15.75">
      <c r="S9509" s="1"/>
    </row>
    <row r="9510" spans="19:19" ht="15.75">
      <c r="S9510" s="1"/>
    </row>
    <row r="9511" spans="19:19" ht="15.75">
      <c r="S9511" s="1"/>
    </row>
    <row r="9512" spans="19:19" ht="15.75">
      <c r="S9512" s="1"/>
    </row>
    <row r="9513" spans="19:19" ht="15.75">
      <c r="S9513" s="1"/>
    </row>
    <row r="9514" spans="19:19" ht="15.75">
      <c r="S9514" s="1"/>
    </row>
    <row r="9515" spans="19:19" ht="15.75">
      <c r="S9515" s="1"/>
    </row>
    <row r="9516" spans="19:19" ht="15.75">
      <c r="S9516" s="1"/>
    </row>
    <row r="9517" spans="19:19" ht="15.75">
      <c r="S9517" s="1"/>
    </row>
    <row r="9518" spans="19:19" ht="15.75">
      <c r="S9518" s="1"/>
    </row>
    <row r="9519" spans="19:19" ht="15.75">
      <c r="S9519" s="1"/>
    </row>
    <row r="9520" spans="19:19" ht="15.75">
      <c r="S9520" s="1"/>
    </row>
    <row r="9521" spans="19:19" ht="15.75">
      <c r="S9521" s="1"/>
    </row>
    <row r="9522" spans="19:19" ht="15.75">
      <c r="S9522" s="1"/>
    </row>
    <row r="9523" spans="19:19" ht="15.75">
      <c r="S9523" s="1"/>
    </row>
    <row r="9524" spans="19:19" ht="15.75">
      <c r="S9524" s="1"/>
    </row>
    <row r="9525" spans="19:19" ht="15.75">
      <c r="S9525" s="1"/>
    </row>
    <row r="9526" spans="19:19" ht="15.75">
      <c r="S9526" s="1"/>
    </row>
    <row r="9527" spans="19:19" ht="15.75">
      <c r="S9527" s="1"/>
    </row>
    <row r="9528" spans="19:19" ht="15.75">
      <c r="S9528" s="1"/>
    </row>
    <row r="9529" spans="19:19" ht="15.75">
      <c r="S9529" s="1"/>
    </row>
    <row r="9530" spans="19:19" ht="15.75">
      <c r="S9530" s="1"/>
    </row>
    <row r="9531" spans="19:19" ht="15.75">
      <c r="S9531" s="1"/>
    </row>
    <row r="9532" spans="19:19" ht="15.75">
      <c r="S9532" s="1"/>
    </row>
    <row r="9533" spans="19:19" ht="15.75">
      <c r="S9533" s="1"/>
    </row>
    <row r="9534" spans="19:19" ht="15.75">
      <c r="S9534" s="1"/>
    </row>
    <row r="9535" spans="19:19" ht="15.75">
      <c r="S9535" s="1"/>
    </row>
    <row r="9536" spans="19:19" ht="15.75">
      <c r="S9536" s="1"/>
    </row>
    <row r="9537" spans="19:19" ht="15.75">
      <c r="S9537" s="1"/>
    </row>
    <row r="9538" spans="19:19" ht="15.75">
      <c r="S9538" s="1"/>
    </row>
    <row r="9539" spans="19:19" ht="15.75">
      <c r="S9539" s="1"/>
    </row>
    <row r="9540" spans="19:19" ht="15.75">
      <c r="S9540" s="1"/>
    </row>
    <row r="9541" spans="19:19" ht="15.75">
      <c r="S9541" s="1"/>
    </row>
    <row r="9542" spans="19:19" ht="15.75">
      <c r="S9542" s="1"/>
    </row>
    <row r="9543" spans="19:19" ht="15.75">
      <c r="S9543" s="1"/>
    </row>
    <row r="9544" spans="19:19" ht="15.75">
      <c r="S9544" s="1"/>
    </row>
    <row r="9545" spans="19:19" ht="15.75">
      <c r="S9545" s="1"/>
    </row>
    <row r="9546" spans="19:19" ht="15.75">
      <c r="S9546" s="1"/>
    </row>
    <row r="9547" spans="19:19" ht="15.75">
      <c r="S9547" s="1"/>
    </row>
    <row r="9548" spans="19:19" ht="15.75">
      <c r="S9548" s="1"/>
    </row>
    <row r="9549" spans="19:19" ht="15.75">
      <c r="S9549" s="1"/>
    </row>
    <row r="9550" spans="19:19" ht="15.75">
      <c r="S9550" s="1"/>
    </row>
    <row r="9551" spans="19:19" ht="15.75">
      <c r="S9551" s="1"/>
    </row>
    <row r="9552" spans="19:19" ht="15.75">
      <c r="S9552" s="1"/>
    </row>
    <row r="9553" spans="19:19" ht="15.75">
      <c r="S9553" s="1"/>
    </row>
    <row r="9554" spans="19:19" ht="15.75">
      <c r="S9554" s="1"/>
    </row>
    <row r="9555" spans="19:19" ht="15.75">
      <c r="S9555" s="1"/>
    </row>
    <row r="9556" spans="19:19" ht="15.75">
      <c r="S9556" s="1"/>
    </row>
    <row r="9557" spans="19:19" ht="15.75">
      <c r="S9557" s="1"/>
    </row>
    <row r="9558" spans="19:19" ht="15.75">
      <c r="S9558" s="1"/>
    </row>
    <row r="9559" spans="19:19" ht="15.75">
      <c r="S9559" s="1"/>
    </row>
    <row r="9560" spans="19:19" ht="15.75">
      <c r="S9560" s="1"/>
    </row>
    <row r="9561" spans="19:19" ht="15.75">
      <c r="S9561" s="1"/>
    </row>
    <row r="9562" spans="19:19" ht="15.75">
      <c r="S9562" s="1"/>
    </row>
    <row r="9563" spans="19:19" ht="15.75">
      <c r="S9563" s="1"/>
    </row>
    <row r="9564" spans="19:19" ht="15.75">
      <c r="S9564" s="1"/>
    </row>
    <row r="9565" spans="19:19" ht="15.75">
      <c r="S9565" s="1"/>
    </row>
    <row r="9566" spans="19:19" ht="15.75">
      <c r="S9566" s="1"/>
    </row>
    <row r="9567" spans="19:19" ht="15.75">
      <c r="S9567" s="1"/>
    </row>
    <row r="9568" spans="19:19" ht="15.75">
      <c r="S9568" s="1"/>
    </row>
    <row r="9569" spans="19:19" ht="15.75">
      <c r="S9569" s="1"/>
    </row>
    <row r="9570" spans="19:19" ht="15.75">
      <c r="S9570" s="1"/>
    </row>
    <row r="9571" spans="19:19" ht="15.75">
      <c r="S9571" s="1"/>
    </row>
    <row r="9572" spans="19:19" ht="15.75">
      <c r="S9572" s="1"/>
    </row>
    <row r="9573" spans="19:19" ht="15.75">
      <c r="S9573" s="1"/>
    </row>
    <row r="9574" spans="19:19" ht="15.75">
      <c r="S9574" s="1"/>
    </row>
    <row r="9575" spans="19:19" ht="15.75">
      <c r="S9575" s="1"/>
    </row>
    <row r="9576" spans="19:19" ht="15.75">
      <c r="S9576" s="1"/>
    </row>
    <row r="9577" spans="19:19" ht="15.75">
      <c r="S9577" s="1"/>
    </row>
    <row r="9578" spans="19:19" ht="15.75">
      <c r="S9578" s="1"/>
    </row>
    <row r="9579" spans="19:19" ht="15.75">
      <c r="S9579" s="1"/>
    </row>
    <row r="9580" spans="19:19" ht="15.75">
      <c r="S9580" s="1"/>
    </row>
    <row r="9581" spans="19:19" ht="15.75">
      <c r="S9581" s="1"/>
    </row>
    <row r="9582" spans="19:19" ht="15.75">
      <c r="S9582" s="1"/>
    </row>
    <row r="9583" spans="19:19" ht="15.75">
      <c r="S9583" s="1"/>
    </row>
    <row r="9584" spans="19:19" ht="15.75">
      <c r="S9584" s="1"/>
    </row>
    <row r="9585" spans="19:19" ht="15.75">
      <c r="S9585" s="1"/>
    </row>
    <row r="9586" spans="19:19" ht="15.75">
      <c r="S9586" s="1"/>
    </row>
    <row r="9587" spans="19:19" ht="15.75">
      <c r="S9587" s="1"/>
    </row>
    <row r="9588" spans="19:19" ht="15.75">
      <c r="S9588" s="1"/>
    </row>
    <row r="9589" spans="19:19" ht="15.75">
      <c r="S9589" s="1"/>
    </row>
    <row r="9590" spans="19:19" ht="15.75">
      <c r="S9590" s="1"/>
    </row>
    <row r="9591" spans="19:19" ht="15.75">
      <c r="S9591" s="1"/>
    </row>
    <row r="9592" spans="19:19" ht="15.75">
      <c r="S9592" s="1"/>
    </row>
    <row r="9593" spans="19:19" ht="15.75">
      <c r="S9593" s="1"/>
    </row>
    <row r="9594" spans="19:19" ht="15.75">
      <c r="S9594" s="1"/>
    </row>
    <row r="9595" spans="19:19" ht="15.75">
      <c r="S9595" s="1"/>
    </row>
    <row r="9596" spans="19:19" ht="15.75">
      <c r="S9596" s="1"/>
    </row>
    <row r="9597" spans="19:19" ht="15.75">
      <c r="S9597" s="1"/>
    </row>
    <row r="9598" spans="19:19" ht="15.75">
      <c r="S9598" s="1"/>
    </row>
    <row r="9599" spans="19:19" ht="15.75">
      <c r="S9599" s="1"/>
    </row>
    <row r="9600" spans="19:19" ht="15.75">
      <c r="S9600" s="1"/>
    </row>
    <row r="9601" spans="19:19" ht="15.75">
      <c r="S9601" s="1"/>
    </row>
    <row r="9602" spans="19:19" ht="15.75">
      <c r="S9602" s="1"/>
    </row>
    <row r="9603" spans="19:19" ht="15.75">
      <c r="S9603" s="1"/>
    </row>
    <row r="9604" spans="19:19" ht="15.75">
      <c r="S9604" s="1"/>
    </row>
    <row r="9605" spans="19:19" ht="15.75">
      <c r="S9605" s="1"/>
    </row>
    <row r="9606" spans="19:19" ht="15.75">
      <c r="S9606" s="1"/>
    </row>
    <row r="9607" spans="19:19" ht="15.75">
      <c r="S9607" s="1"/>
    </row>
    <row r="9608" spans="19:19" ht="15.75">
      <c r="S9608" s="1"/>
    </row>
    <row r="9609" spans="19:19" ht="15.75">
      <c r="S9609" s="1"/>
    </row>
    <row r="9610" spans="19:19" ht="15.75">
      <c r="S9610" s="1"/>
    </row>
    <row r="9611" spans="19:19" ht="15.75">
      <c r="S9611" s="1"/>
    </row>
    <row r="9612" spans="19:19" ht="15.75">
      <c r="S9612" s="1"/>
    </row>
    <row r="9613" spans="19:19" ht="15.75">
      <c r="S9613" s="1"/>
    </row>
    <row r="9614" spans="19:19" ht="15.75">
      <c r="S9614" s="1"/>
    </row>
    <row r="9615" spans="19:19" ht="15.75">
      <c r="S9615" s="1"/>
    </row>
    <row r="9616" spans="19:19" ht="15.75">
      <c r="S9616" s="1"/>
    </row>
    <row r="9617" spans="19:19" ht="15.75">
      <c r="S9617" s="1"/>
    </row>
    <row r="9618" spans="19:19" ht="15.75">
      <c r="S9618" s="1"/>
    </row>
    <row r="9619" spans="19:19" ht="15.75">
      <c r="S9619" s="1"/>
    </row>
    <row r="9620" spans="19:19" ht="15.75">
      <c r="S9620" s="1"/>
    </row>
    <row r="9621" spans="19:19" ht="15.75">
      <c r="S9621" s="1"/>
    </row>
    <row r="9622" spans="19:19" ht="15.75">
      <c r="S9622" s="1"/>
    </row>
    <row r="9623" spans="19:19" ht="15.75">
      <c r="S9623" s="1"/>
    </row>
    <row r="9624" spans="19:19" ht="15.75">
      <c r="S9624" s="1"/>
    </row>
    <row r="9625" spans="19:19" ht="15.75">
      <c r="S9625" s="1"/>
    </row>
    <row r="9626" spans="19:19" ht="15.75">
      <c r="S9626" s="1"/>
    </row>
    <row r="9627" spans="19:19" ht="15.75">
      <c r="S9627" s="1"/>
    </row>
    <row r="9628" spans="19:19" ht="15.75">
      <c r="S9628" s="1"/>
    </row>
    <row r="9629" spans="19:19" ht="15.75">
      <c r="S9629" s="1"/>
    </row>
    <row r="9630" spans="19:19" ht="15.75">
      <c r="S9630" s="1"/>
    </row>
    <row r="9631" spans="19:19" ht="15.75">
      <c r="S9631" s="1"/>
    </row>
    <row r="9632" spans="19:19" ht="15.75">
      <c r="S9632" s="1"/>
    </row>
    <row r="9633" spans="19:19" ht="15.75">
      <c r="S9633" s="1"/>
    </row>
    <row r="9634" spans="19:19" ht="15.75">
      <c r="S9634" s="1"/>
    </row>
    <row r="9635" spans="19:19" ht="15.75">
      <c r="S9635" s="1"/>
    </row>
    <row r="9636" spans="19:19" ht="15.75">
      <c r="S9636" s="1"/>
    </row>
    <row r="9637" spans="19:19" ht="15.75">
      <c r="S9637" s="1"/>
    </row>
    <row r="9638" spans="19:19" ht="15.75">
      <c r="S9638" s="1"/>
    </row>
    <row r="9639" spans="19:19" ht="15.75">
      <c r="S9639" s="1"/>
    </row>
    <row r="9640" spans="19:19" ht="15.75">
      <c r="S9640" s="1"/>
    </row>
    <row r="9641" spans="19:19" ht="15.75">
      <c r="S9641" s="1"/>
    </row>
    <row r="9642" spans="19:19" ht="15.75">
      <c r="S9642" s="1"/>
    </row>
    <row r="9643" spans="19:19" ht="15.75">
      <c r="S9643" s="1"/>
    </row>
    <row r="9644" spans="19:19" ht="15.75">
      <c r="S9644" s="1"/>
    </row>
    <row r="9645" spans="19:19" ht="15.75">
      <c r="S9645" s="1"/>
    </row>
    <row r="9646" spans="19:19" ht="15.75">
      <c r="S9646" s="1"/>
    </row>
    <row r="9647" spans="19:19" ht="15.75">
      <c r="S9647" s="1"/>
    </row>
    <row r="9648" spans="19:19" ht="15.75">
      <c r="S9648" s="1"/>
    </row>
    <row r="9649" spans="19:19" ht="15.75">
      <c r="S9649" s="1"/>
    </row>
    <row r="9650" spans="19:19" ht="15.75">
      <c r="S9650" s="1"/>
    </row>
    <row r="9651" spans="19:19" ht="15.75">
      <c r="S9651" s="1"/>
    </row>
    <row r="9652" spans="19:19" ht="15.75">
      <c r="S9652" s="1"/>
    </row>
    <row r="9653" spans="19:19" ht="15.75">
      <c r="S9653" s="1"/>
    </row>
    <row r="9654" spans="19:19" ht="15.75">
      <c r="S9654" s="1"/>
    </row>
    <row r="9655" spans="19:19" ht="15.75">
      <c r="S9655" s="1"/>
    </row>
    <row r="9656" spans="19:19" ht="15.75">
      <c r="S9656" s="1"/>
    </row>
    <row r="9657" spans="19:19" ht="15.75">
      <c r="S9657" s="1"/>
    </row>
    <row r="9658" spans="19:19" ht="15.75">
      <c r="S9658" s="1"/>
    </row>
    <row r="9659" spans="19:19" ht="15.75">
      <c r="S9659" s="1"/>
    </row>
    <row r="9660" spans="19:19" ht="15.75">
      <c r="S9660" s="1"/>
    </row>
    <row r="9661" spans="19:19" ht="15.75">
      <c r="S9661" s="1"/>
    </row>
    <row r="9662" spans="19:19" ht="15.75">
      <c r="S9662" s="1"/>
    </row>
    <row r="9663" spans="19:19" ht="15.75">
      <c r="S9663" s="1"/>
    </row>
    <row r="9664" spans="19:19" ht="15.75">
      <c r="S9664" s="1"/>
    </row>
    <row r="9665" spans="19:19" ht="15.75">
      <c r="S9665" s="1"/>
    </row>
    <row r="9666" spans="19:19" ht="15.75">
      <c r="S9666" s="1"/>
    </row>
    <row r="9667" spans="19:19" ht="15.75">
      <c r="S9667" s="1"/>
    </row>
    <row r="9668" spans="19:19" ht="15.75">
      <c r="S9668" s="1"/>
    </row>
    <row r="9669" spans="19:19" ht="15.75">
      <c r="S9669" s="1"/>
    </row>
    <row r="9670" spans="19:19" ht="15.75">
      <c r="S9670" s="1"/>
    </row>
    <row r="9671" spans="19:19" ht="15.75">
      <c r="S9671" s="1"/>
    </row>
    <row r="9672" spans="19:19" ht="15.75">
      <c r="S9672" s="1"/>
    </row>
    <row r="9673" spans="19:19" ht="15.75">
      <c r="S9673" s="1"/>
    </row>
    <row r="9674" spans="19:19" ht="15.75">
      <c r="S9674" s="1"/>
    </row>
    <row r="9675" spans="19:19" ht="15.75">
      <c r="S9675" s="1"/>
    </row>
    <row r="9676" spans="19:19" ht="15.75">
      <c r="S9676" s="1"/>
    </row>
    <row r="9677" spans="19:19" ht="15.75">
      <c r="S9677" s="1"/>
    </row>
    <row r="9678" spans="19:19" ht="15.75">
      <c r="S9678" s="1"/>
    </row>
    <row r="9679" spans="19:19" ht="15.75">
      <c r="S9679" s="1"/>
    </row>
    <row r="9680" spans="19:19" ht="15.75">
      <c r="S9680" s="1"/>
    </row>
    <row r="9681" spans="19:19" ht="15.75">
      <c r="S9681" s="1"/>
    </row>
    <row r="9682" spans="19:19" ht="15.75">
      <c r="S9682" s="1"/>
    </row>
    <row r="9683" spans="19:19" ht="15.75">
      <c r="S9683" s="1"/>
    </row>
    <row r="9684" spans="19:19" ht="15.75">
      <c r="S9684" s="1"/>
    </row>
    <row r="9685" spans="19:19" ht="15.75">
      <c r="S9685" s="1"/>
    </row>
    <row r="9686" spans="19:19" ht="15.75">
      <c r="S9686" s="1"/>
    </row>
    <row r="9687" spans="19:19" ht="15.75">
      <c r="S9687" s="1"/>
    </row>
    <row r="9688" spans="19:19" ht="15.75">
      <c r="S9688" s="1"/>
    </row>
    <row r="9689" spans="19:19" ht="15.75">
      <c r="S9689" s="1"/>
    </row>
    <row r="9690" spans="19:19" ht="15.75">
      <c r="S9690" s="1"/>
    </row>
    <row r="9691" spans="19:19" ht="15.75">
      <c r="S9691" s="1"/>
    </row>
    <row r="9692" spans="19:19" ht="15.75">
      <c r="S9692" s="1"/>
    </row>
    <row r="9693" spans="19:19" ht="15.75">
      <c r="S9693" s="1"/>
    </row>
    <row r="9694" spans="19:19" ht="15.75">
      <c r="S9694" s="1"/>
    </row>
    <row r="9695" spans="19:19" ht="15.75">
      <c r="S9695" s="1"/>
    </row>
    <row r="9696" spans="19:19" ht="15.75">
      <c r="S9696" s="1"/>
    </row>
    <row r="9697" spans="19:19" ht="15.75">
      <c r="S9697" s="1"/>
    </row>
    <row r="9698" spans="19:19" ht="15.75">
      <c r="S9698" s="1"/>
    </row>
    <row r="9699" spans="19:19" ht="15.75">
      <c r="S9699" s="1"/>
    </row>
    <row r="9700" spans="19:19" ht="15.75">
      <c r="S9700" s="1"/>
    </row>
    <row r="9701" spans="19:19" ht="15.75">
      <c r="S9701" s="1"/>
    </row>
    <row r="9702" spans="19:19" ht="15.75">
      <c r="S9702" s="1"/>
    </row>
    <row r="9703" spans="19:19" ht="15.75">
      <c r="S9703" s="1"/>
    </row>
    <row r="9704" spans="19:19" ht="15.75">
      <c r="S9704" s="1"/>
    </row>
    <row r="9705" spans="19:19" ht="15.75">
      <c r="S9705" s="1"/>
    </row>
    <row r="9706" spans="19:19" ht="15.75">
      <c r="S9706" s="1"/>
    </row>
    <row r="9707" spans="19:19" ht="15.75">
      <c r="S9707" s="1"/>
    </row>
    <row r="9708" spans="19:19" ht="15.75">
      <c r="S9708" s="1"/>
    </row>
    <row r="9709" spans="19:19" ht="15.75">
      <c r="S9709" s="1"/>
    </row>
    <row r="9710" spans="19:19" ht="15.75">
      <c r="S9710" s="1"/>
    </row>
    <row r="9711" spans="19:19" ht="15.75">
      <c r="S9711" s="1"/>
    </row>
    <row r="9712" spans="19:19" ht="15.75">
      <c r="S9712" s="1"/>
    </row>
    <row r="9713" spans="19:19" ht="15.75">
      <c r="S9713" s="1"/>
    </row>
    <row r="9714" spans="19:19" ht="15.75">
      <c r="S9714" s="1"/>
    </row>
    <row r="9715" spans="19:19" ht="15.75">
      <c r="S9715" s="1"/>
    </row>
    <row r="9716" spans="19:19" ht="15.75">
      <c r="S9716" s="1"/>
    </row>
    <row r="9717" spans="19:19" ht="15.75">
      <c r="S9717" s="1"/>
    </row>
    <row r="9718" spans="19:19" ht="15.75">
      <c r="S9718" s="1"/>
    </row>
    <row r="9719" spans="19:19" ht="15.75">
      <c r="S9719" s="1"/>
    </row>
    <row r="9720" spans="19:19" ht="15.75">
      <c r="S9720" s="1"/>
    </row>
    <row r="9721" spans="19:19" ht="15.75">
      <c r="S9721" s="1"/>
    </row>
    <row r="9722" spans="19:19" ht="15.75">
      <c r="S9722" s="1"/>
    </row>
    <row r="9723" spans="19:19" ht="15.75">
      <c r="S9723" s="1"/>
    </row>
    <row r="9724" spans="19:19" ht="15.75">
      <c r="S9724" s="1"/>
    </row>
    <row r="9725" spans="19:19" ht="15.75">
      <c r="S9725" s="1"/>
    </row>
    <row r="9726" spans="19:19" ht="15.75">
      <c r="S9726" s="1"/>
    </row>
    <row r="9727" spans="19:19" ht="15.75">
      <c r="S9727" s="1"/>
    </row>
    <row r="9728" spans="19:19" ht="15.75">
      <c r="S9728" s="1"/>
    </row>
    <row r="9729" spans="19:19" ht="15.75">
      <c r="S9729" s="1"/>
    </row>
    <row r="9730" spans="19:19" ht="15.75">
      <c r="S9730" s="1"/>
    </row>
    <row r="9731" spans="19:19" ht="15.75">
      <c r="S9731" s="1"/>
    </row>
    <row r="9732" spans="19:19" ht="15.75">
      <c r="S9732" s="1"/>
    </row>
    <row r="9733" spans="19:19" ht="15.75">
      <c r="S9733" s="1"/>
    </row>
    <row r="9734" spans="19:19" ht="15.75">
      <c r="S9734" s="1"/>
    </row>
    <row r="9735" spans="19:19" ht="15.75">
      <c r="S9735" s="1"/>
    </row>
    <row r="9736" spans="19:19" ht="15.75">
      <c r="S9736" s="1"/>
    </row>
    <row r="9737" spans="19:19" ht="15.75">
      <c r="S9737" s="1"/>
    </row>
    <row r="9738" spans="19:19" ht="15.75">
      <c r="S9738" s="1"/>
    </row>
    <row r="9739" spans="19:19" ht="15.75">
      <c r="S9739" s="1"/>
    </row>
    <row r="9740" spans="19:19" ht="15.75">
      <c r="S9740" s="1"/>
    </row>
    <row r="9741" spans="19:19" ht="15.75">
      <c r="S9741" s="1"/>
    </row>
    <row r="9742" spans="19:19" ht="15.75">
      <c r="S9742" s="1"/>
    </row>
    <row r="9743" spans="19:19" ht="15.75">
      <c r="S9743" s="1"/>
    </row>
    <row r="9744" spans="19:19" ht="15.75">
      <c r="S9744" s="1"/>
    </row>
    <row r="9745" spans="19:19" ht="15.75">
      <c r="S9745" s="1"/>
    </row>
    <row r="9746" spans="19:19" ht="15.75">
      <c r="S9746" s="1"/>
    </row>
    <row r="9747" spans="19:19" ht="15.75">
      <c r="S9747" s="1"/>
    </row>
    <row r="9748" spans="19:19" ht="15.75">
      <c r="S9748" s="1"/>
    </row>
    <row r="9749" spans="19:19" ht="15.75">
      <c r="S9749" s="1"/>
    </row>
    <row r="9750" spans="19:19" ht="15.75">
      <c r="S9750" s="1"/>
    </row>
    <row r="9751" spans="19:19" ht="15.75">
      <c r="S9751" s="1"/>
    </row>
    <row r="9752" spans="19:19" ht="15.75">
      <c r="S9752" s="1"/>
    </row>
    <row r="9753" spans="19:19" ht="15.75">
      <c r="S9753" s="1"/>
    </row>
    <row r="9754" spans="19:19" ht="15.75">
      <c r="S9754" s="1"/>
    </row>
    <row r="9755" spans="19:19" ht="15.75">
      <c r="S9755" s="1"/>
    </row>
    <row r="9756" spans="19:19" ht="15.75">
      <c r="S9756" s="1"/>
    </row>
    <row r="9757" spans="19:19" ht="15.75">
      <c r="S9757" s="1"/>
    </row>
    <row r="9758" spans="19:19" ht="15.75">
      <c r="S9758" s="1"/>
    </row>
    <row r="9759" spans="19:19" ht="15.75">
      <c r="S9759" s="1"/>
    </row>
    <row r="9760" spans="19:19" ht="15.75">
      <c r="S9760" s="1"/>
    </row>
    <row r="9761" spans="19:19" ht="15.75">
      <c r="S9761" s="1"/>
    </row>
    <row r="9762" spans="19:19" ht="15.75">
      <c r="S9762" s="1"/>
    </row>
    <row r="9763" spans="19:19" ht="15.75">
      <c r="S9763" s="1"/>
    </row>
    <row r="9764" spans="19:19" ht="15.75">
      <c r="S9764" s="1"/>
    </row>
    <row r="9765" spans="19:19" ht="15.75">
      <c r="S9765" s="1"/>
    </row>
    <row r="9766" spans="19:19" ht="15.75">
      <c r="S9766" s="1"/>
    </row>
    <row r="9767" spans="19:19" ht="15.75">
      <c r="S9767" s="1"/>
    </row>
    <row r="9768" spans="19:19" ht="15.75">
      <c r="S9768" s="1"/>
    </row>
    <row r="9769" spans="19:19" ht="15.75">
      <c r="S9769" s="1"/>
    </row>
    <row r="9770" spans="19:19" ht="15.75">
      <c r="S9770" s="1"/>
    </row>
    <row r="9771" spans="19:19" ht="15.75">
      <c r="S9771" s="1"/>
    </row>
    <row r="9772" spans="19:19" ht="15.75">
      <c r="S9772" s="1"/>
    </row>
    <row r="9773" spans="19:19" ht="15.75">
      <c r="S9773" s="1"/>
    </row>
    <row r="9774" spans="19:19" ht="15.75">
      <c r="S9774" s="1"/>
    </row>
    <row r="9775" spans="19:19" ht="15.75">
      <c r="S9775" s="1"/>
    </row>
    <row r="9776" spans="19:19" ht="15.75">
      <c r="S9776" s="1"/>
    </row>
    <row r="9777" spans="19:19" ht="15.75">
      <c r="S9777" s="1"/>
    </row>
    <row r="9778" spans="19:19" ht="15.75">
      <c r="S9778" s="1"/>
    </row>
    <row r="9779" spans="19:19" ht="15.75">
      <c r="S9779" s="1"/>
    </row>
    <row r="9780" spans="19:19" ht="15.75">
      <c r="S9780" s="1"/>
    </row>
    <row r="9781" spans="19:19" ht="15.75">
      <c r="S9781" s="1"/>
    </row>
    <row r="9782" spans="19:19" ht="15.75">
      <c r="S9782" s="1"/>
    </row>
    <row r="9783" spans="19:19" ht="15.75">
      <c r="S9783" s="1"/>
    </row>
    <row r="9784" spans="19:19" ht="15.75">
      <c r="S9784" s="1"/>
    </row>
    <row r="9785" spans="19:19" ht="15.75">
      <c r="S9785" s="1"/>
    </row>
    <row r="9786" spans="19:19" ht="15.75">
      <c r="S9786" s="1"/>
    </row>
    <row r="9787" spans="19:19" ht="15.75">
      <c r="S9787" s="1"/>
    </row>
    <row r="9788" spans="19:19" ht="15.75">
      <c r="S9788" s="1"/>
    </row>
    <row r="9789" spans="19:19" ht="15.75">
      <c r="S9789" s="1"/>
    </row>
    <row r="9790" spans="19:19" ht="15.75">
      <c r="S9790" s="1"/>
    </row>
    <row r="9791" spans="19:19" ht="15.75">
      <c r="S9791" s="1"/>
    </row>
    <row r="9792" spans="19:19" ht="15.75">
      <c r="S9792" s="1"/>
    </row>
    <row r="9793" spans="19:19" ht="15.75">
      <c r="S9793" s="1"/>
    </row>
    <row r="9794" spans="19:19" ht="15.75">
      <c r="S9794" s="1"/>
    </row>
    <row r="9795" spans="19:19" ht="15.75">
      <c r="S9795" s="1"/>
    </row>
    <row r="9796" spans="19:19" ht="15.75">
      <c r="S9796" s="1"/>
    </row>
    <row r="9797" spans="19:19" ht="15.75">
      <c r="S9797" s="1"/>
    </row>
    <row r="9798" spans="19:19" ht="15.75">
      <c r="S9798" s="1"/>
    </row>
    <row r="9799" spans="19:19" ht="15.75">
      <c r="S9799" s="1"/>
    </row>
    <row r="9800" spans="19:19" ht="15.75">
      <c r="S9800" s="1"/>
    </row>
    <row r="9801" spans="19:19" ht="15.75">
      <c r="S9801" s="1"/>
    </row>
    <row r="9802" spans="19:19" ht="15.75">
      <c r="S9802" s="1"/>
    </row>
    <row r="9803" spans="19:19" ht="15.75">
      <c r="S9803" s="1"/>
    </row>
    <row r="9804" spans="19:19" ht="15.75">
      <c r="S9804" s="1"/>
    </row>
    <row r="9805" spans="19:19" ht="15.75">
      <c r="S9805" s="1"/>
    </row>
    <row r="9806" spans="19:19" ht="15.75">
      <c r="S9806" s="1"/>
    </row>
    <row r="9807" spans="19:19" ht="15.75">
      <c r="S9807" s="1"/>
    </row>
    <row r="9808" spans="19:19" ht="15.75">
      <c r="S9808" s="1"/>
    </row>
    <row r="9809" spans="19:19" ht="15.75">
      <c r="S9809" s="1"/>
    </row>
    <row r="9810" spans="19:19" ht="15.75">
      <c r="S9810" s="1"/>
    </row>
    <row r="9811" spans="19:19" ht="15.75">
      <c r="S9811" s="1"/>
    </row>
    <row r="9812" spans="19:19" ht="15.75">
      <c r="S9812" s="1"/>
    </row>
    <row r="9813" spans="19:19" ht="15.75">
      <c r="S9813" s="1"/>
    </row>
    <row r="9814" spans="19:19" ht="15.75">
      <c r="S9814" s="1"/>
    </row>
    <row r="9815" spans="19:19" ht="15.75">
      <c r="S9815" s="1"/>
    </row>
    <row r="9816" spans="19:19" ht="15.75">
      <c r="S9816" s="1"/>
    </row>
    <row r="9817" spans="19:19" ht="15.75">
      <c r="S9817" s="1"/>
    </row>
    <row r="9818" spans="19:19" ht="15.75">
      <c r="S9818" s="1"/>
    </row>
    <row r="9819" spans="19:19" ht="15.75">
      <c r="S9819" s="1"/>
    </row>
    <row r="9820" spans="19:19" ht="15.75">
      <c r="S9820" s="1"/>
    </row>
    <row r="9821" spans="19:19" ht="15.75">
      <c r="S9821" s="1"/>
    </row>
    <row r="9822" spans="19:19" ht="15.75">
      <c r="S9822" s="1"/>
    </row>
    <row r="9823" spans="19:19" ht="15.75">
      <c r="S9823" s="1"/>
    </row>
    <row r="9824" spans="19:19" ht="15.75">
      <c r="S9824" s="1"/>
    </row>
    <row r="9825" spans="19:19" ht="15.75">
      <c r="S9825" s="1"/>
    </row>
    <row r="9826" spans="19:19" ht="15.75">
      <c r="S9826" s="1"/>
    </row>
    <row r="9827" spans="19:19" ht="15.75">
      <c r="S9827" s="1"/>
    </row>
    <row r="9828" spans="19:19" ht="15.75">
      <c r="S9828" s="1"/>
    </row>
    <row r="9829" spans="19:19" ht="15.75">
      <c r="S9829" s="1"/>
    </row>
    <row r="9830" spans="19:19" ht="15.75">
      <c r="S9830" s="1"/>
    </row>
    <row r="9831" spans="19:19" ht="15.75">
      <c r="S9831" s="1"/>
    </row>
    <row r="9832" spans="19:19" ht="15.75">
      <c r="S9832" s="1"/>
    </row>
    <row r="9833" spans="19:19" ht="15.75">
      <c r="S9833" s="1"/>
    </row>
    <row r="9834" spans="19:19" ht="15.75">
      <c r="S9834" s="1"/>
    </row>
    <row r="9835" spans="19:19" ht="15.75">
      <c r="S9835" s="1"/>
    </row>
    <row r="9836" spans="19:19" ht="15.75">
      <c r="S9836" s="1"/>
    </row>
    <row r="9837" spans="19:19" ht="15.75">
      <c r="S9837" s="1"/>
    </row>
    <row r="9838" spans="19:19" ht="15.75">
      <c r="S9838" s="1"/>
    </row>
    <row r="9839" spans="19:19" ht="15.75">
      <c r="S9839" s="1"/>
    </row>
    <row r="9840" spans="19:19" ht="15.75">
      <c r="S9840" s="1"/>
    </row>
    <row r="9841" spans="19:19" ht="15.75">
      <c r="S9841" s="1"/>
    </row>
    <row r="9842" spans="19:19" ht="15.75">
      <c r="S9842" s="1"/>
    </row>
    <row r="9843" spans="19:19" ht="15.75">
      <c r="S9843" s="1"/>
    </row>
    <row r="9844" spans="19:19" ht="15.75">
      <c r="S9844" s="1"/>
    </row>
    <row r="9845" spans="19:19" ht="15.75">
      <c r="S9845" s="1"/>
    </row>
    <row r="9846" spans="19:19" ht="15.75">
      <c r="S9846" s="1"/>
    </row>
    <row r="9847" spans="19:19" ht="15.75">
      <c r="S9847" s="1"/>
    </row>
    <row r="9848" spans="19:19" ht="15.75">
      <c r="S9848" s="1"/>
    </row>
    <row r="9849" spans="19:19" ht="15.75">
      <c r="S9849" s="1"/>
    </row>
    <row r="9850" spans="19:19" ht="15.75">
      <c r="S9850" s="1"/>
    </row>
    <row r="9851" spans="19:19" ht="15.75">
      <c r="S9851" s="1"/>
    </row>
    <row r="9852" spans="19:19" ht="15.75">
      <c r="S9852" s="1"/>
    </row>
    <row r="9853" spans="19:19" ht="15.75">
      <c r="S9853" s="1"/>
    </row>
    <row r="9854" spans="19:19" ht="15.75">
      <c r="S9854" s="1"/>
    </row>
    <row r="9855" spans="19:19" ht="15.75">
      <c r="S9855" s="1"/>
    </row>
    <row r="9856" spans="19:19" ht="15.75">
      <c r="S9856" s="1"/>
    </row>
    <row r="9857" spans="19:19" ht="15.75">
      <c r="S9857" s="1"/>
    </row>
    <row r="9858" spans="19:19" ht="15.75">
      <c r="S9858" s="1"/>
    </row>
    <row r="9859" spans="19:19" ht="15.75">
      <c r="S9859" s="1"/>
    </row>
    <row r="9860" spans="19:19" ht="15.75">
      <c r="S9860" s="1"/>
    </row>
    <row r="9861" spans="19:19" ht="15.75">
      <c r="S9861" s="1"/>
    </row>
    <row r="9862" spans="19:19" ht="15.75">
      <c r="S9862" s="1"/>
    </row>
    <row r="9863" spans="19:19" ht="15.75">
      <c r="S9863" s="1"/>
    </row>
    <row r="9864" spans="19:19" ht="15.75">
      <c r="S9864" s="1"/>
    </row>
    <row r="9865" spans="19:19" ht="15.75">
      <c r="S9865" s="1"/>
    </row>
    <row r="9866" spans="19:19" ht="15.75">
      <c r="S9866" s="1"/>
    </row>
    <row r="9867" spans="19:19" ht="15.75">
      <c r="S9867" s="1"/>
    </row>
    <row r="9868" spans="19:19" ht="15.75">
      <c r="S9868" s="1"/>
    </row>
    <row r="9869" spans="19:19" ht="15.75">
      <c r="S9869" s="1"/>
    </row>
    <row r="9870" spans="19:19" ht="15.75">
      <c r="S9870" s="1"/>
    </row>
    <row r="9871" spans="19:19" ht="15.75">
      <c r="S9871" s="1"/>
    </row>
    <row r="9872" spans="19:19" ht="15.75">
      <c r="S9872" s="1"/>
    </row>
    <row r="9873" spans="19:19" ht="15.75">
      <c r="S9873" s="1"/>
    </row>
    <row r="9874" spans="19:19" ht="15.75">
      <c r="S9874" s="1"/>
    </row>
    <row r="9875" spans="19:19" ht="15.75">
      <c r="S9875" s="1"/>
    </row>
    <row r="9876" spans="19:19" ht="15.75">
      <c r="S9876" s="1"/>
    </row>
    <row r="9877" spans="19:19" ht="15.75">
      <c r="S9877" s="1"/>
    </row>
    <row r="9878" spans="19:19" ht="15.75">
      <c r="S9878" s="1"/>
    </row>
    <row r="9879" spans="19:19" ht="15.75">
      <c r="S9879" s="1"/>
    </row>
    <row r="9880" spans="19:19" ht="15.75">
      <c r="S9880" s="1"/>
    </row>
    <row r="9881" spans="19:19" ht="15.75">
      <c r="S9881" s="1"/>
    </row>
    <row r="9882" spans="19:19" ht="15.75">
      <c r="S9882" s="1"/>
    </row>
    <row r="9883" spans="19:19" ht="15.75">
      <c r="S9883" s="1"/>
    </row>
    <row r="9884" spans="19:19" ht="15.75">
      <c r="S9884" s="1"/>
    </row>
    <row r="9885" spans="19:19" ht="15.75">
      <c r="S9885" s="1"/>
    </row>
    <row r="9886" spans="19:19" ht="15.75">
      <c r="S9886" s="1"/>
    </row>
    <row r="9887" spans="19:19" ht="15.75">
      <c r="S9887" s="1"/>
    </row>
    <row r="9888" spans="19:19" ht="15.75">
      <c r="S9888" s="1"/>
    </row>
    <row r="9889" spans="19:19" ht="15.75">
      <c r="S9889" s="1"/>
    </row>
    <row r="9890" spans="19:19" ht="15.75">
      <c r="S9890" s="1"/>
    </row>
    <row r="9891" spans="19:19" ht="15.75">
      <c r="S9891" s="1"/>
    </row>
    <row r="9892" spans="19:19" ht="15.75">
      <c r="S9892" s="1"/>
    </row>
    <row r="9893" spans="19:19" ht="15.75">
      <c r="S9893" s="1"/>
    </row>
    <row r="9894" spans="19:19" ht="15.75">
      <c r="S9894" s="1"/>
    </row>
    <row r="9895" spans="19:19" ht="15.75">
      <c r="S9895" s="1"/>
    </row>
    <row r="9896" spans="19:19" ht="15.75">
      <c r="S9896" s="1"/>
    </row>
    <row r="9897" spans="19:19" ht="15.75">
      <c r="S9897" s="1"/>
    </row>
    <row r="9898" spans="19:19" ht="15.75">
      <c r="S9898" s="1"/>
    </row>
    <row r="9899" spans="19:19" ht="15.75">
      <c r="S9899" s="1"/>
    </row>
    <row r="9900" spans="19:19" ht="15.75">
      <c r="S9900" s="1"/>
    </row>
    <row r="9901" spans="19:19" ht="15.75">
      <c r="S9901" s="1"/>
    </row>
    <row r="9902" spans="19:19" ht="15.75">
      <c r="S9902" s="1"/>
    </row>
    <row r="9903" spans="19:19" ht="15.75">
      <c r="S9903" s="1"/>
    </row>
    <row r="9904" spans="19:19" ht="15.75">
      <c r="S9904" s="1"/>
    </row>
    <row r="9905" spans="19:19" ht="15.75">
      <c r="S9905" s="1"/>
    </row>
    <row r="9906" spans="19:19" ht="15.75">
      <c r="S9906" s="1"/>
    </row>
    <row r="9907" spans="19:19" ht="15.75">
      <c r="S9907" s="1"/>
    </row>
    <row r="9908" spans="19:19" ht="15.75">
      <c r="S9908" s="1"/>
    </row>
    <row r="9909" spans="19:19" ht="15.75">
      <c r="S9909" s="1"/>
    </row>
    <row r="9910" spans="19:19" ht="15.75">
      <c r="S9910" s="1"/>
    </row>
    <row r="9911" spans="19:19" ht="15.75">
      <c r="S9911" s="1"/>
    </row>
    <row r="9912" spans="19:19" ht="15.75">
      <c r="S9912" s="1"/>
    </row>
    <row r="9913" spans="19:19" ht="15.75">
      <c r="S9913" s="1"/>
    </row>
    <row r="9914" spans="19:19" ht="15.75">
      <c r="S9914" s="1"/>
    </row>
    <row r="9915" spans="19:19" ht="15.75">
      <c r="S9915" s="1"/>
    </row>
    <row r="9916" spans="19:19" ht="15.75">
      <c r="S9916" s="1"/>
    </row>
    <row r="9917" spans="19:19" ht="15.75">
      <c r="S9917" s="1"/>
    </row>
    <row r="9918" spans="19:19" ht="15.75">
      <c r="S9918" s="1"/>
    </row>
    <row r="9919" spans="19:19" ht="15.75">
      <c r="S9919" s="1"/>
    </row>
    <row r="9920" spans="19:19" ht="15.75">
      <c r="S9920" s="1"/>
    </row>
    <row r="9921" spans="19:19" ht="15.75">
      <c r="S9921" s="1"/>
    </row>
    <row r="9922" spans="19:19" ht="15.75">
      <c r="S9922" s="1"/>
    </row>
    <row r="9923" spans="19:19" ht="15.75">
      <c r="S9923" s="1"/>
    </row>
    <row r="9924" spans="19:19" ht="15.75">
      <c r="S9924" s="1"/>
    </row>
    <row r="9925" spans="19:19" ht="15.75">
      <c r="S9925" s="1"/>
    </row>
    <row r="9926" spans="19:19" ht="15.75">
      <c r="S9926" s="1"/>
    </row>
    <row r="9927" spans="19:19" ht="15.75">
      <c r="S9927" s="1"/>
    </row>
    <row r="9928" spans="19:19" ht="15.75">
      <c r="S9928" s="1"/>
    </row>
    <row r="9929" spans="19:19" ht="15.75">
      <c r="S9929" s="1"/>
    </row>
    <row r="9930" spans="19:19" ht="15.75">
      <c r="S9930" s="1"/>
    </row>
    <row r="9931" spans="19:19" ht="15.75">
      <c r="S9931" s="1"/>
    </row>
    <row r="9932" spans="19:19" ht="15.75">
      <c r="S9932" s="1"/>
    </row>
    <row r="9933" spans="19:19" ht="15.75">
      <c r="S9933" s="1"/>
    </row>
    <row r="9934" spans="19:19" ht="15.75">
      <c r="S9934" s="1"/>
    </row>
    <row r="9935" spans="19:19" ht="15.75">
      <c r="S9935" s="1"/>
    </row>
    <row r="9936" spans="19:19" ht="15.75">
      <c r="S9936" s="1"/>
    </row>
    <row r="9937" spans="19:19" ht="15.75">
      <c r="S9937" s="1"/>
    </row>
    <row r="9938" spans="19:19" ht="15.75">
      <c r="S9938" s="1"/>
    </row>
    <row r="9939" spans="19:19" ht="15.75">
      <c r="S9939" s="1"/>
    </row>
    <row r="9940" spans="19:19" ht="15.75">
      <c r="S9940" s="1"/>
    </row>
    <row r="9941" spans="19:19" ht="15.75">
      <c r="S9941" s="1"/>
    </row>
    <row r="9942" spans="19:19" ht="15.75">
      <c r="S9942" s="1"/>
    </row>
    <row r="9943" spans="19:19" ht="15.75">
      <c r="S9943" s="1"/>
    </row>
    <row r="9944" spans="19:19" ht="15.75">
      <c r="S9944" s="1"/>
    </row>
    <row r="9945" spans="19:19" ht="15.75">
      <c r="S9945" s="1"/>
    </row>
    <row r="9946" spans="19:19" ht="15.75">
      <c r="S9946" s="1"/>
    </row>
    <row r="9947" spans="19:19" ht="15.75">
      <c r="S9947" s="1"/>
    </row>
    <row r="9948" spans="19:19" ht="15.75">
      <c r="S9948" s="1"/>
    </row>
    <row r="9949" spans="19:19" ht="15.75">
      <c r="S9949" s="1"/>
    </row>
    <row r="9950" spans="19:19" ht="15.75">
      <c r="S9950" s="1"/>
    </row>
    <row r="9951" spans="19:19" ht="15.75">
      <c r="S9951" s="1"/>
    </row>
    <row r="9952" spans="19:19" ht="15.75">
      <c r="S9952" s="1"/>
    </row>
    <row r="9953" spans="19:19" ht="15.75">
      <c r="S9953" s="1"/>
    </row>
    <row r="9954" spans="19:19" ht="15.75">
      <c r="S9954" s="1"/>
    </row>
    <row r="9955" spans="19:19" ht="15.75">
      <c r="S9955" s="1"/>
    </row>
    <row r="9956" spans="19:19" ht="15.75">
      <c r="S9956" s="1"/>
    </row>
    <row r="9957" spans="19:19" ht="15.75">
      <c r="S9957" s="1"/>
    </row>
    <row r="9958" spans="19:19" ht="15.75">
      <c r="S9958" s="1"/>
    </row>
    <row r="9959" spans="19:19" ht="15.75">
      <c r="S9959" s="1"/>
    </row>
    <row r="9960" spans="19:19" ht="15.75">
      <c r="S9960" s="1"/>
    </row>
    <row r="9961" spans="19:19" ht="15.75">
      <c r="S9961" s="1"/>
    </row>
    <row r="9962" spans="19:19" ht="15.75">
      <c r="S9962" s="1"/>
    </row>
    <row r="9963" spans="19:19" ht="15.75">
      <c r="S9963" s="1"/>
    </row>
    <row r="9964" spans="19:19" ht="15.75">
      <c r="S9964" s="1"/>
    </row>
    <row r="9965" spans="19:19" ht="15.75">
      <c r="S9965" s="1"/>
    </row>
    <row r="9966" spans="19:19" ht="15.75">
      <c r="S9966" s="1"/>
    </row>
    <row r="9967" spans="19:19" ht="15.75">
      <c r="S9967" s="1"/>
    </row>
    <row r="9968" spans="19:19" ht="15.75">
      <c r="S9968" s="1"/>
    </row>
    <row r="9969" spans="19:19" ht="15.75">
      <c r="S9969" s="1"/>
    </row>
    <row r="9970" spans="19:19" ht="15.75">
      <c r="S9970" s="1"/>
    </row>
    <row r="9971" spans="19:19" ht="15.75">
      <c r="S9971" s="1"/>
    </row>
    <row r="9972" spans="19:19" ht="15.75">
      <c r="S9972" s="1"/>
    </row>
    <row r="9973" spans="19:19" ht="15.75">
      <c r="S9973" s="1"/>
    </row>
    <row r="9974" spans="19:19" ht="15.75">
      <c r="S9974" s="1"/>
    </row>
    <row r="9975" spans="19:19" ht="15.75">
      <c r="S9975" s="1"/>
    </row>
    <row r="9976" spans="19:19" ht="15.75">
      <c r="S9976" s="1"/>
    </row>
    <row r="9977" spans="19:19" ht="15.75">
      <c r="S9977" s="1"/>
    </row>
    <row r="9978" spans="19:19" ht="15.75">
      <c r="S9978" s="1"/>
    </row>
    <row r="9979" spans="19:19" ht="15.75">
      <c r="S9979" s="1"/>
    </row>
    <row r="9980" spans="19:19" ht="15.75">
      <c r="S9980" s="1"/>
    </row>
    <row r="9981" spans="19:19" ht="15.75">
      <c r="S9981" s="1"/>
    </row>
    <row r="9982" spans="19:19" ht="15.75">
      <c r="S9982" s="1"/>
    </row>
    <row r="9983" spans="19:19" ht="15.75">
      <c r="S9983" s="1"/>
    </row>
    <row r="9984" spans="19:19" ht="15.75">
      <c r="S9984" s="1"/>
    </row>
    <row r="9985" spans="19:19" ht="15.75">
      <c r="S9985" s="1"/>
    </row>
    <row r="9986" spans="19:19" ht="15.75">
      <c r="S9986" s="1"/>
    </row>
    <row r="9987" spans="19:19" ht="15.75">
      <c r="S9987" s="1"/>
    </row>
    <row r="9988" spans="19:19" ht="15.75">
      <c r="S9988" s="1"/>
    </row>
    <row r="9989" spans="19:19" ht="15.75">
      <c r="S9989" s="1"/>
    </row>
    <row r="9990" spans="19:19" ht="15.75">
      <c r="S9990" s="1"/>
    </row>
    <row r="9991" spans="19:19" ht="15.75">
      <c r="S9991" s="1"/>
    </row>
    <row r="9992" spans="19:19" ht="15.75">
      <c r="S9992" s="1"/>
    </row>
    <row r="9993" spans="19:19" ht="15.75">
      <c r="S9993" s="1"/>
    </row>
    <row r="9994" spans="19:19" ht="15.75">
      <c r="S9994" s="1"/>
    </row>
    <row r="9995" spans="19:19" ht="15.75">
      <c r="S9995" s="1"/>
    </row>
    <row r="9996" spans="19:19" ht="15.75">
      <c r="S9996" s="1"/>
    </row>
    <row r="9997" spans="19:19" ht="15.75">
      <c r="S9997" s="1"/>
    </row>
    <row r="9998" spans="19:19" ht="15.75">
      <c r="S9998" s="1"/>
    </row>
    <row r="9999" spans="19:19" ht="15.75">
      <c r="S9999" s="1"/>
    </row>
    <row r="10000" spans="19:19" ht="15.75">
      <c r="S10000" s="1"/>
    </row>
    <row r="10001" spans="19:19" ht="15.75">
      <c r="S10001" s="1"/>
    </row>
    <row r="10002" spans="19:19" ht="15.75">
      <c r="S10002" s="1"/>
    </row>
    <row r="10003" spans="19:19" ht="15.75">
      <c r="S10003" s="1"/>
    </row>
    <row r="10004" spans="19:19" ht="15.75">
      <c r="S10004" s="1"/>
    </row>
    <row r="10005" spans="19:19" ht="15.75">
      <c r="S10005" s="1"/>
    </row>
    <row r="10006" spans="19:19" ht="15.75">
      <c r="S10006" s="1"/>
    </row>
    <row r="10007" spans="19:19" ht="15.75">
      <c r="S10007" s="1"/>
    </row>
    <row r="10008" spans="19:19" ht="15.75">
      <c r="S10008" s="1"/>
    </row>
    <row r="10009" spans="19:19" ht="15.75">
      <c r="S10009" s="1"/>
    </row>
    <row r="10010" spans="19:19" ht="15.75">
      <c r="S10010" s="1"/>
    </row>
    <row r="10011" spans="19:19" ht="15.75">
      <c r="S10011" s="1"/>
    </row>
    <row r="10012" spans="19:19" ht="15.75">
      <c r="S10012" s="1"/>
    </row>
    <row r="10013" spans="19:19" ht="15.75">
      <c r="S10013" s="1"/>
    </row>
    <row r="10014" spans="19:19" ht="15.75">
      <c r="S10014" s="1"/>
    </row>
    <row r="10015" spans="19:19" ht="15.75">
      <c r="S10015" s="1"/>
    </row>
    <row r="10016" spans="19:19" ht="15.75">
      <c r="S10016" s="1"/>
    </row>
    <row r="10017" spans="19:19" ht="15.75">
      <c r="S10017" s="1"/>
    </row>
    <row r="10018" spans="19:19" ht="15.75">
      <c r="S10018" s="1"/>
    </row>
    <row r="10019" spans="19:19" ht="15.75">
      <c r="S10019" s="1"/>
    </row>
    <row r="10020" spans="19:19" ht="15.75">
      <c r="S10020" s="1"/>
    </row>
    <row r="10021" spans="19:19" ht="15.75">
      <c r="S10021" s="1"/>
    </row>
    <row r="10022" spans="19:19" ht="15.75">
      <c r="S10022" s="1"/>
    </row>
    <row r="10023" spans="19:19" ht="15.75">
      <c r="S10023" s="1"/>
    </row>
    <row r="10024" spans="19:19" ht="15.75">
      <c r="S10024" s="1"/>
    </row>
    <row r="10025" spans="19:19" ht="15.75">
      <c r="S10025" s="1"/>
    </row>
    <row r="10026" spans="19:19" ht="15.75">
      <c r="S10026" s="1"/>
    </row>
    <row r="10027" spans="19:19" ht="15.75">
      <c r="S10027" s="1"/>
    </row>
    <row r="10028" spans="19:19" ht="15.75">
      <c r="S10028" s="1"/>
    </row>
    <row r="10029" spans="19:19" ht="15.75">
      <c r="S10029" s="1"/>
    </row>
    <row r="10030" spans="19:19" ht="15.75">
      <c r="S10030" s="1"/>
    </row>
    <row r="10031" spans="19:19" ht="15.75">
      <c r="S10031" s="1"/>
    </row>
    <row r="10032" spans="19:19" ht="15.75">
      <c r="S10032" s="1"/>
    </row>
    <row r="10033" spans="19:19" ht="15.75">
      <c r="S10033" s="1"/>
    </row>
    <row r="10034" spans="19:19" ht="15.75">
      <c r="S10034" s="1"/>
    </row>
    <row r="10035" spans="19:19" ht="15.75">
      <c r="S10035" s="1"/>
    </row>
    <row r="10036" spans="19:19" ht="15.75">
      <c r="S10036" s="1"/>
    </row>
    <row r="10037" spans="19:19" ht="15.75">
      <c r="S10037" s="1"/>
    </row>
    <row r="10038" spans="19:19" ht="15.75">
      <c r="S10038" s="1"/>
    </row>
    <row r="10039" spans="19:19" ht="15.75">
      <c r="S10039" s="1"/>
    </row>
    <row r="10040" spans="19:19" ht="15.75">
      <c r="S10040" s="1"/>
    </row>
    <row r="10041" spans="19:19" ht="15.75">
      <c r="S10041" s="1"/>
    </row>
    <row r="10042" spans="19:19" ht="15.75">
      <c r="S10042" s="1"/>
    </row>
    <row r="10043" spans="19:19" ht="15.75">
      <c r="S10043" s="1"/>
    </row>
    <row r="10044" spans="19:19" ht="15.75">
      <c r="S10044" s="1"/>
    </row>
    <row r="10045" spans="19:19" ht="15.75">
      <c r="S10045" s="1"/>
    </row>
    <row r="10046" spans="19:19" ht="15.75">
      <c r="S10046" s="1"/>
    </row>
    <row r="10047" spans="19:19" ht="15.75">
      <c r="S10047" s="1"/>
    </row>
    <row r="10048" spans="19:19" ht="15.75">
      <c r="S10048" s="1"/>
    </row>
    <row r="10049" spans="19:19" ht="15.75">
      <c r="S10049" s="1"/>
    </row>
    <row r="10050" spans="19:19" ht="15.75">
      <c r="S10050" s="1"/>
    </row>
    <row r="10051" spans="19:19" ht="15.75">
      <c r="S10051" s="1"/>
    </row>
    <row r="10052" spans="19:19" ht="15.75">
      <c r="S10052" s="1"/>
    </row>
    <row r="10053" spans="19:19" ht="15.75">
      <c r="S10053" s="1"/>
    </row>
    <row r="10054" spans="19:19" ht="15.75">
      <c r="S10054" s="1"/>
    </row>
    <row r="10055" spans="19:19" ht="15.75">
      <c r="S10055" s="1"/>
    </row>
    <row r="10056" spans="19:19" ht="15.75">
      <c r="S10056" s="1"/>
    </row>
    <row r="10057" spans="19:19" ht="15.75">
      <c r="S10057" s="1"/>
    </row>
    <row r="10058" spans="19:19" ht="15.75">
      <c r="S10058" s="1"/>
    </row>
    <row r="10059" spans="19:19" ht="15.75">
      <c r="S10059" s="1"/>
    </row>
    <row r="10060" spans="19:19" ht="15.75">
      <c r="S10060" s="1"/>
    </row>
    <row r="10061" spans="19:19" ht="15.75">
      <c r="S10061" s="1"/>
    </row>
    <row r="10062" spans="19:19" ht="15.75">
      <c r="S10062" s="1"/>
    </row>
    <row r="10063" spans="19:19" ht="15.75">
      <c r="S10063" s="1"/>
    </row>
    <row r="10064" spans="19:19" ht="15.75">
      <c r="S10064" s="1"/>
    </row>
    <row r="10065" spans="19:19" ht="15.75">
      <c r="S10065" s="1"/>
    </row>
    <row r="10066" spans="19:19" ht="15.75">
      <c r="S10066" s="1"/>
    </row>
    <row r="10067" spans="19:19" ht="15.75">
      <c r="S10067" s="1"/>
    </row>
    <row r="10068" spans="19:19" ht="15.75">
      <c r="S10068" s="1"/>
    </row>
    <row r="10069" spans="19:19" ht="15.75">
      <c r="S10069" s="1"/>
    </row>
    <row r="10070" spans="19:19" ht="15.75">
      <c r="S10070" s="1"/>
    </row>
    <row r="10071" spans="19:19" ht="15.75">
      <c r="S10071" s="1"/>
    </row>
    <row r="10072" spans="19:19" ht="15.75">
      <c r="S10072" s="1"/>
    </row>
    <row r="10073" spans="19:19" ht="15.75">
      <c r="S10073" s="1"/>
    </row>
    <row r="10074" spans="19:19" ht="15.75">
      <c r="S10074" s="1"/>
    </row>
    <row r="10075" spans="19:19" ht="15.75">
      <c r="S10075" s="1"/>
    </row>
    <row r="10076" spans="19:19" ht="15.75">
      <c r="S10076" s="1"/>
    </row>
    <row r="10077" spans="19:19" ht="15.75">
      <c r="S10077" s="1"/>
    </row>
    <row r="10078" spans="19:19" ht="15.75">
      <c r="S10078" s="1"/>
    </row>
    <row r="10079" spans="19:19" ht="15.75">
      <c r="S10079" s="1"/>
    </row>
    <row r="10080" spans="19:19" ht="15.75">
      <c r="S10080" s="1"/>
    </row>
    <row r="10081" spans="19:19" ht="15.75">
      <c r="S10081" s="1"/>
    </row>
    <row r="10082" spans="19:19" ht="15.75">
      <c r="S10082" s="1"/>
    </row>
    <row r="10083" spans="19:19" ht="15.75">
      <c r="S10083" s="1"/>
    </row>
    <row r="10084" spans="19:19" ht="15.75">
      <c r="S10084" s="1"/>
    </row>
    <row r="10085" spans="19:19" ht="15.75">
      <c r="S10085" s="1"/>
    </row>
    <row r="10086" spans="19:19" ht="15.75">
      <c r="S10086" s="1"/>
    </row>
    <row r="10087" spans="19:19" ht="15.75">
      <c r="S10087" s="1"/>
    </row>
    <row r="10088" spans="19:19" ht="15.75">
      <c r="S10088" s="1"/>
    </row>
    <row r="10089" spans="19:19" ht="15.75">
      <c r="S10089" s="1"/>
    </row>
    <row r="10090" spans="19:19" ht="15.75">
      <c r="S10090" s="1"/>
    </row>
    <row r="10091" spans="19:19" ht="15.75">
      <c r="S10091" s="1"/>
    </row>
    <row r="10092" spans="19:19" ht="15.75">
      <c r="S10092" s="1"/>
    </row>
    <row r="10093" spans="19:19" ht="15.75">
      <c r="S10093" s="1"/>
    </row>
    <row r="10094" spans="19:19" ht="15.75">
      <c r="S10094" s="1"/>
    </row>
    <row r="10095" spans="19:19" ht="15.75">
      <c r="S10095" s="1"/>
    </row>
    <row r="10096" spans="19:19" ht="15.75">
      <c r="S10096" s="1"/>
    </row>
    <row r="10097" spans="19:19" ht="15.75">
      <c r="S10097" s="1"/>
    </row>
    <row r="10098" spans="19:19" ht="15.75">
      <c r="S10098" s="1"/>
    </row>
    <row r="10099" spans="19:19" ht="15.75">
      <c r="S10099" s="1"/>
    </row>
    <row r="10100" spans="19:19" ht="15.75">
      <c r="S10100" s="1"/>
    </row>
    <row r="10101" spans="19:19" ht="15.75">
      <c r="S10101" s="1"/>
    </row>
    <row r="10102" spans="19:19" ht="15.75">
      <c r="S10102" s="1"/>
    </row>
    <row r="10103" spans="19:19" ht="15.75">
      <c r="S10103" s="1"/>
    </row>
    <row r="10104" spans="19:19" ht="15.75">
      <c r="S10104" s="1"/>
    </row>
    <row r="10105" spans="19:19" ht="15.75">
      <c r="S10105" s="1"/>
    </row>
    <row r="10106" spans="19:19" ht="15.75">
      <c r="S10106" s="1"/>
    </row>
    <row r="10107" spans="19:19" ht="15.75">
      <c r="S10107" s="1"/>
    </row>
    <row r="10108" spans="19:19" ht="15.75">
      <c r="S10108" s="1"/>
    </row>
    <row r="10109" spans="19:19" ht="15.75">
      <c r="S10109" s="1"/>
    </row>
    <row r="10110" spans="19:19" ht="15.75">
      <c r="S10110" s="1"/>
    </row>
    <row r="10111" spans="19:19" ht="15.75">
      <c r="S10111" s="1"/>
    </row>
    <row r="10112" spans="19:19" ht="15.75">
      <c r="S10112" s="1"/>
    </row>
    <row r="10113" spans="19:19" ht="15.75">
      <c r="S10113" s="1"/>
    </row>
    <row r="10114" spans="19:19" ht="15.75">
      <c r="S10114" s="1"/>
    </row>
    <row r="10115" spans="19:19" ht="15.75">
      <c r="S10115" s="1"/>
    </row>
    <row r="10116" spans="19:19" ht="15.75">
      <c r="S10116" s="1"/>
    </row>
    <row r="10117" spans="19:19" ht="15.75">
      <c r="S10117" s="1"/>
    </row>
    <row r="10118" spans="19:19" ht="15.75">
      <c r="S10118" s="1"/>
    </row>
    <row r="10119" spans="19:19" ht="15.75">
      <c r="S10119" s="1"/>
    </row>
    <row r="10120" spans="19:19" ht="15.75">
      <c r="S10120" s="1"/>
    </row>
    <row r="10121" spans="19:19" ht="15.75">
      <c r="S10121" s="1"/>
    </row>
    <row r="10122" spans="19:19" ht="15.75">
      <c r="S10122" s="1"/>
    </row>
    <row r="10123" spans="19:19" ht="15.75">
      <c r="S10123" s="1"/>
    </row>
    <row r="10124" spans="19:19" ht="15.75">
      <c r="S10124" s="1"/>
    </row>
    <row r="10125" spans="19:19" ht="15.75">
      <c r="S10125" s="1"/>
    </row>
    <row r="10126" spans="19:19" ht="15.75">
      <c r="S10126" s="1"/>
    </row>
    <row r="10127" spans="19:19" ht="15.75">
      <c r="S10127" s="1"/>
    </row>
    <row r="10128" spans="19:19" ht="15.75">
      <c r="S10128" s="1"/>
    </row>
    <row r="10129" spans="19:19" ht="15.75">
      <c r="S10129" s="1"/>
    </row>
    <row r="10130" spans="19:19" ht="15.75">
      <c r="S10130" s="1"/>
    </row>
    <row r="10131" spans="19:19" ht="15.75">
      <c r="S10131" s="1"/>
    </row>
    <row r="10132" spans="19:19" ht="15.75">
      <c r="S10132" s="1"/>
    </row>
    <row r="10133" spans="19:19" ht="15.75">
      <c r="S10133" s="1"/>
    </row>
    <row r="10134" spans="19:19" ht="15.75">
      <c r="S10134" s="1"/>
    </row>
    <row r="10135" spans="19:19" ht="15.75">
      <c r="S10135" s="1"/>
    </row>
    <row r="10136" spans="19:19" ht="15.75">
      <c r="S10136" s="1"/>
    </row>
    <row r="10137" spans="19:19" ht="15.75">
      <c r="S10137" s="1"/>
    </row>
    <row r="10138" spans="19:19" ht="15.75">
      <c r="S10138" s="1"/>
    </row>
    <row r="10139" spans="19:19" ht="15.75">
      <c r="S10139" s="1"/>
    </row>
    <row r="10140" spans="19:19" ht="15.75">
      <c r="S10140" s="1"/>
    </row>
    <row r="10141" spans="19:19" ht="15.75">
      <c r="S10141" s="1"/>
    </row>
    <row r="10142" spans="19:19" ht="15.75">
      <c r="S10142" s="1"/>
    </row>
    <row r="10143" spans="19:19" ht="15.75">
      <c r="S10143" s="1"/>
    </row>
    <row r="10144" spans="19:19" ht="15.75">
      <c r="S10144" s="1"/>
    </row>
    <row r="10145" spans="19:19" ht="15.75">
      <c r="S10145" s="1"/>
    </row>
    <row r="10146" spans="19:19" ht="15.75">
      <c r="S10146" s="1"/>
    </row>
    <row r="10147" spans="19:19" ht="15.75">
      <c r="S10147" s="1"/>
    </row>
    <row r="10148" spans="19:19" ht="15.75">
      <c r="S10148" s="1"/>
    </row>
    <row r="10149" spans="19:19" ht="15.75">
      <c r="S10149" s="1"/>
    </row>
    <row r="10150" spans="19:19" ht="15.75">
      <c r="S10150" s="1"/>
    </row>
    <row r="10151" spans="19:19" ht="15.75">
      <c r="S10151" s="1"/>
    </row>
    <row r="10152" spans="19:19" ht="15.75">
      <c r="S10152" s="1"/>
    </row>
    <row r="10153" spans="19:19" ht="15.75">
      <c r="S10153" s="1"/>
    </row>
    <row r="10154" spans="19:19" ht="15.75">
      <c r="S10154" s="1"/>
    </row>
    <row r="10155" spans="19:19" ht="15.75">
      <c r="S10155" s="1"/>
    </row>
    <row r="10156" spans="19:19" ht="15.75">
      <c r="S10156" s="1"/>
    </row>
    <row r="10157" spans="19:19" ht="15.75">
      <c r="S10157" s="1"/>
    </row>
    <row r="10158" spans="19:19" ht="15.75">
      <c r="S10158" s="1"/>
    </row>
    <row r="10159" spans="19:19" ht="15.75">
      <c r="S10159" s="1"/>
    </row>
    <row r="10160" spans="19:19" ht="15.75">
      <c r="S10160" s="1"/>
    </row>
    <row r="10161" spans="19:19" ht="15.75">
      <c r="S10161" s="1"/>
    </row>
    <row r="10162" spans="19:19" ht="15.75">
      <c r="S10162" s="1"/>
    </row>
    <row r="10163" spans="19:19" ht="15.75">
      <c r="S10163" s="1"/>
    </row>
    <row r="10164" spans="19:19" ht="15.75">
      <c r="S10164" s="1"/>
    </row>
    <row r="10165" spans="19:19" ht="15.75">
      <c r="S10165" s="1"/>
    </row>
    <row r="10166" spans="19:19" ht="15.75">
      <c r="S10166" s="1"/>
    </row>
    <row r="10167" spans="19:19" ht="15.75">
      <c r="S10167" s="1"/>
    </row>
    <row r="10168" spans="19:19" ht="15.75">
      <c r="S10168" s="1"/>
    </row>
    <row r="10169" spans="19:19" ht="15.75">
      <c r="S10169" s="1"/>
    </row>
    <row r="10170" spans="19:19" ht="15.75">
      <c r="S10170" s="1"/>
    </row>
    <row r="10171" spans="19:19" ht="15.75">
      <c r="S10171" s="1"/>
    </row>
    <row r="10172" spans="19:19" ht="15.75">
      <c r="S10172" s="1"/>
    </row>
    <row r="10173" spans="19:19" ht="15.75">
      <c r="S10173" s="1"/>
    </row>
    <row r="10174" spans="19:19" ht="15.75">
      <c r="S10174" s="1"/>
    </row>
    <row r="10175" spans="19:19" ht="15.75">
      <c r="S10175" s="1"/>
    </row>
    <row r="10176" spans="19:19" ht="15.75">
      <c r="S10176" s="1"/>
    </row>
    <row r="10177" spans="19:19" ht="15.75">
      <c r="S10177" s="1"/>
    </row>
    <row r="10178" spans="19:19" ht="15.75">
      <c r="S10178" s="1"/>
    </row>
    <row r="10179" spans="19:19" ht="15.75">
      <c r="S10179" s="1"/>
    </row>
    <row r="10180" spans="19:19" ht="15.75">
      <c r="S10180" s="1"/>
    </row>
    <row r="10181" spans="19:19" ht="15.75">
      <c r="S10181" s="1"/>
    </row>
    <row r="10182" spans="19:19" ht="15.75">
      <c r="S10182" s="1"/>
    </row>
    <row r="10183" spans="19:19" ht="15.75">
      <c r="S10183" s="1"/>
    </row>
    <row r="10184" spans="19:19" ht="15.75">
      <c r="S10184" s="1"/>
    </row>
    <row r="10185" spans="19:19" ht="15.75">
      <c r="S10185" s="1"/>
    </row>
    <row r="10186" spans="19:19" ht="15.75">
      <c r="S10186" s="1"/>
    </row>
    <row r="10187" spans="19:19" ht="15.75">
      <c r="S10187" s="1"/>
    </row>
    <row r="10188" spans="19:19" ht="15.75">
      <c r="S10188" s="1"/>
    </row>
    <row r="10189" spans="19:19" ht="15.75">
      <c r="S10189" s="1"/>
    </row>
    <row r="10190" spans="19:19" ht="15.75">
      <c r="S10190" s="1"/>
    </row>
    <row r="10191" spans="19:19" ht="15.75">
      <c r="S10191" s="1"/>
    </row>
    <row r="10192" spans="19:19" ht="15.75">
      <c r="S10192" s="1"/>
    </row>
    <row r="10193" spans="19:19" ht="15.75">
      <c r="S10193" s="1"/>
    </row>
    <row r="10194" spans="19:19" ht="15.75">
      <c r="S10194" s="1"/>
    </row>
    <row r="10195" spans="19:19" ht="15.75">
      <c r="S10195" s="1"/>
    </row>
    <row r="10196" spans="19:19" ht="15.75">
      <c r="S10196" s="1"/>
    </row>
    <row r="10197" spans="19:19" ht="15.75">
      <c r="S10197" s="1"/>
    </row>
    <row r="10198" spans="19:19" ht="15.75">
      <c r="S10198" s="1"/>
    </row>
    <row r="10199" spans="19:19" ht="15.75">
      <c r="S10199" s="1"/>
    </row>
    <row r="10200" spans="19:19" ht="15.75">
      <c r="S10200" s="1"/>
    </row>
    <row r="10201" spans="19:19" ht="15.75">
      <c r="S10201" s="1"/>
    </row>
    <row r="10202" spans="19:19" ht="15.75">
      <c r="S10202" s="1"/>
    </row>
    <row r="10203" spans="19:19" ht="15.75">
      <c r="S10203" s="1"/>
    </row>
    <row r="10204" spans="19:19" ht="15.75">
      <c r="S10204" s="1"/>
    </row>
    <row r="10205" spans="19:19" ht="15.75">
      <c r="S10205" s="1"/>
    </row>
    <row r="10206" spans="19:19" ht="15.75">
      <c r="S10206" s="1"/>
    </row>
    <row r="10207" spans="19:19" ht="15.75">
      <c r="S10207" s="1"/>
    </row>
    <row r="10208" spans="19:19" ht="15.75">
      <c r="S10208" s="1"/>
    </row>
    <row r="10209" spans="19:19" ht="15.75">
      <c r="S10209" s="1"/>
    </row>
    <row r="10210" spans="19:19" ht="15.75">
      <c r="S10210" s="1"/>
    </row>
    <row r="10211" spans="19:19" ht="15.75">
      <c r="S10211" s="1"/>
    </row>
    <row r="10212" spans="19:19" ht="15.75">
      <c r="S10212" s="1"/>
    </row>
    <row r="10213" spans="19:19" ht="15.75">
      <c r="S10213" s="1"/>
    </row>
    <row r="10214" spans="19:19" ht="15.75">
      <c r="S10214" s="1"/>
    </row>
    <row r="10215" spans="19:19" ht="15.75">
      <c r="S10215" s="1"/>
    </row>
    <row r="10216" spans="19:19" ht="15.75">
      <c r="S10216" s="1"/>
    </row>
    <row r="10217" spans="19:19" ht="15.75">
      <c r="S10217" s="1"/>
    </row>
    <row r="10218" spans="19:19" ht="15.75">
      <c r="S10218" s="1"/>
    </row>
    <row r="10219" spans="19:19" ht="15.75">
      <c r="S10219" s="1"/>
    </row>
    <row r="10220" spans="19:19" ht="15.75">
      <c r="S10220" s="1"/>
    </row>
    <row r="10221" spans="19:19" ht="15.75">
      <c r="S10221" s="1"/>
    </row>
    <row r="10222" spans="19:19" ht="15.75">
      <c r="S10222" s="1"/>
    </row>
    <row r="10223" spans="19:19" ht="15.75">
      <c r="S10223" s="1"/>
    </row>
    <row r="10224" spans="19:19" ht="15.75">
      <c r="S10224" s="1"/>
    </row>
    <row r="10225" spans="19:19" ht="15.75">
      <c r="S10225" s="1"/>
    </row>
    <row r="10226" spans="19:19" ht="15.75">
      <c r="S10226" s="1"/>
    </row>
    <row r="10227" spans="19:19" ht="15.75">
      <c r="S10227" s="1"/>
    </row>
    <row r="10228" spans="19:19" ht="15.75">
      <c r="S10228" s="1"/>
    </row>
    <row r="10229" spans="19:19" ht="15.75">
      <c r="S10229" s="1"/>
    </row>
    <row r="10230" spans="19:19" ht="15.75">
      <c r="S10230" s="1"/>
    </row>
    <row r="10231" spans="19:19" ht="15.75">
      <c r="S10231" s="1"/>
    </row>
    <row r="10232" spans="19:19" ht="15.75">
      <c r="S10232" s="1"/>
    </row>
    <row r="10233" spans="19:19" ht="15.75">
      <c r="S10233" s="1"/>
    </row>
    <row r="10234" spans="19:19" ht="15.75">
      <c r="S10234" s="1"/>
    </row>
    <row r="10235" spans="19:19" ht="15.75">
      <c r="S10235" s="1"/>
    </row>
    <row r="10236" spans="19:19" ht="15.75">
      <c r="S10236" s="1"/>
    </row>
    <row r="10237" spans="19:19" ht="15.75">
      <c r="S10237" s="1"/>
    </row>
    <row r="10238" spans="19:19" ht="15.75">
      <c r="S10238" s="1"/>
    </row>
    <row r="10239" spans="19:19" ht="15.75">
      <c r="S10239" s="1"/>
    </row>
    <row r="10240" spans="19:19" ht="15.75">
      <c r="S10240" s="1"/>
    </row>
    <row r="10241" spans="19:19" ht="15.75">
      <c r="S10241" s="1"/>
    </row>
    <row r="10242" spans="19:19" ht="15.75">
      <c r="S10242" s="1"/>
    </row>
    <row r="10243" spans="19:19" ht="15.75">
      <c r="S10243" s="1"/>
    </row>
    <row r="10244" spans="19:19" ht="15.75">
      <c r="S10244" s="1"/>
    </row>
    <row r="10245" spans="19:19" ht="15.75">
      <c r="S10245" s="1"/>
    </row>
    <row r="10246" spans="19:19" ht="15.75">
      <c r="S10246" s="1"/>
    </row>
    <row r="10247" spans="19:19" ht="15.75">
      <c r="S10247" s="1"/>
    </row>
    <row r="10248" spans="19:19" ht="15.75">
      <c r="S10248" s="1"/>
    </row>
    <row r="10249" spans="19:19" ht="15.75">
      <c r="S10249" s="1"/>
    </row>
    <row r="10250" spans="19:19" ht="15.75">
      <c r="S10250" s="1"/>
    </row>
    <row r="10251" spans="19:19" ht="15.75">
      <c r="S10251" s="1"/>
    </row>
    <row r="10252" spans="19:19" ht="15.75">
      <c r="S10252" s="1"/>
    </row>
    <row r="10253" spans="19:19" ht="15.75">
      <c r="S10253" s="1"/>
    </row>
    <row r="10254" spans="19:19" ht="15.75">
      <c r="S10254" s="1"/>
    </row>
    <row r="10255" spans="19:19" ht="15.75">
      <c r="S10255" s="1"/>
    </row>
    <row r="10256" spans="19:19" ht="15.75">
      <c r="S10256" s="1"/>
    </row>
    <row r="10257" spans="19:19" ht="15.75">
      <c r="S10257" s="1"/>
    </row>
    <row r="10258" spans="19:19" ht="15.75">
      <c r="S10258" s="1"/>
    </row>
    <row r="10259" spans="19:19" ht="15.75">
      <c r="S10259" s="1"/>
    </row>
    <row r="10260" spans="19:19" ht="15.75">
      <c r="S10260" s="1"/>
    </row>
    <row r="10261" spans="19:19" ht="15.75">
      <c r="S10261" s="1"/>
    </row>
    <row r="10262" spans="19:19" ht="15.75">
      <c r="S10262" s="1"/>
    </row>
    <row r="10263" spans="19:19" ht="15.75">
      <c r="S10263" s="1"/>
    </row>
    <row r="10264" spans="19:19" ht="15.75">
      <c r="S10264" s="1"/>
    </row>
    <row r="10265" spans="19:19" ht="15.75">
      <c r="S10265" s="1"/>
    </row>
    <row r="10266" spans="19:19" ht="15.75">
      <c r="S10266" s="1"/>
    </row>
    <row r="10267" spans="19:19" ht="15.75">
      <c r="S10267" s="1"/>
    </row>
    <row r="10268" spans="19:19" ht="15.75">
      <c r="S10268" s="1"/>
    </row>
    <row r="10269" spans="19:19" ht="15.75">
      <c r="S10269" s="1"/>
    </row>
    <row r="10270" spans="19:19" ht="15.75">
      <c r="S10270" s="1"/>
    </row>
    <row r="10271" spans="19:19" ht="15.75">
      <c r="S10271" s="1"/>
    </row>
    <row r="10272" spans="19:19" ht="15.75">
      <c r="S10272" s="1"/>
    </row>
    <row r="10273" spans="19:19" ht="15.75">
      <c r="S10273" s="1"/>
    </row>
    <row r="10274" spans="19:19" ht="15.75">
      <c r="S10274" s="1"/>
    </row>
    <row r="10275" spans="19:19" ht="15.75">
      <c r="S10275" s="1"/>
    </row>
    <row r="10276" spans="19:19" ht="15.75">
      <c r="S10276" s="1"/>
    </row>
    <row r="10277" spans="19:19" ht="15.75">
      <c r="S10277" s="1"/>
    </row>
    <row r="10278" spans="19:19" ht="15.75">
      <c r="S10278" s="1"/>
    </row>
    <row r="10279" spans="19:19" ht="15.75">
      <c r="S10279" s="1"/>
    </row>
    <row r="10280" spans="19:19" ht="15.75">
      <c r="S10280" s="1"/>
    </row>
    <row r="10281" spans="19:19" ht="15.75">
      <c r="S10281" s="1"/>
    </row>
    <row r="10282" spans="19:19" ht="15.75">
      <c r="S10282" s="1"/>
    </row>
    <row r="10283" spans="19:19" ht="15.75">
      <c r="S10283" s="1"/>
    </row>
    <row r="10284" spans="19:19" ht="15.75">
      <c r="S10284" s="1"/>
    </row>
    <row r="10285" spans="19:19" ht="15.75">
      <c r="S10285" s="1"/>
    </row>
    <row r="10286" spans="19:19" ht="15.75">
      <c r="S10286" s="1"/>
    </row>
    <row r="10287" spans="19:19" ht="15.75">
      <c r="S10287" s="1"/>
    </row>
    <row r="10288" spans="19:19" ht="15.75">
      <c r="S10288" s="1"/>
    </row>
    <row r="10289" spans="19:19" ht="15.75">
      <c r="S10289" s="1"/>
    </row>
    <row r="10290" spans="19:19" ht="15.75">
      <c r="S10290" s="1"/>
    </row>
    <row r="10291" spans="19:19" ht="15.75">
      <c r="S10291" s="1"/>
    </row>
    <row r="10292" spans="19:19" ht="15.75">
      <c r="S10292" s="1"/>
    </row>
    <row r="10293" spans="19:19" ht="15.75">
      <c r="S10293" s="1"/>
    </row>
    <row r="10294" spans="19:19" ht="15.75">
      <c r="S10294" s="1"/>
    </row>
    <row r="10295" spans="19:19" ht="15.75">
      <c r="S10295" s="1"/>
    </row>
    <row r="10296" spans="19:19" ht="15.75">
      <c r="S10296" s="1"/>
    </row>
    <row r="10297" spans="19:19" ht="15.75">
      <c r="S10297" s="1"/>
    </row>
    <row r="10298" spans="19:19" ht="15.75">
      <c r="S10298" s="1"/>
    </row>
    <row r="10299" spans="19:19" ht="15.75">
      <c r="S10299" s="1"/>
    </row>
    <row r="10300" spans="19:19" ht="15.75">
      <c r="S10300" s="1"/>
    </row>
    <row r="10301" spans="19:19" ht="15.75">
      <c r="S10301" s="1"/>
    </row>
    <row r="10302" spans="19:19" ht="15.75">
      <c r="S10302" s="1"/>
    </row>
    <row r="10303" spans="19:19" ht="15.75">
      <c r="S10303" s="1"/>
    </row>
    <row r="10304" spans="19:19" ht="15.75">
      <c r="S10304" s="1"/>
    </row>
    <row r="10305" spans="19:19" ht="15.75">
      <c r="S10305" s="1"/>
    </row>
    <row r="10306" spans="19:19" ht="15.75">
      <c r="S10306" s="1"/>
    </row>
    <row r="10307" spans="19:19" ht="15.75">
      <c r="S10307" s="1"/>
    </row>
    <row r="10308" spans="19:19" ht="15.75">
      <c r="S10308" s="1"/>
    </row>
    <row r="10309" spans="19:19" ht="15.75">
      <c r="S10309" s="1"/>
    </row>
    <row r="10310" spans="19:19" ht="15.75">
      <c r="S10310" s="1"/>
    </row>
    <row r="10311" spans="19:19" ht="15.75">
      <c r="S10311" s="1"/>
    </row>
    <row r="10312" spans="19:19" ht="15.75">
      <c r="S10312" s="1"/>
    </row>
    <row r="10313" spans="19:19" ht="15.75">
      <c r="S10313" s="1"/>
    </row>
    <row r="10314" spans="19:19" ht="15.75">
      <c r="S10314" s="1"/>
    </row>
    <row r="10315" spans="19:19" ht="15.75">
      <c r="S10315" s="1"/>
    </row>
    <row r="10316" spans="19:19" ht="15.75">
      <c r="S10316" s="1"/>
    </row>
    <row r="10317" spans="19:19" ht="15.75">
      <c r="S10317" s="1"/>
    </row>
    <row r="10318" spans="19:19" ht="15.75">
      <c r="S10318" s="1"/>
    </row>
    <row r="10319" spans="19:19" ht="15.75">
      <c r="S10319" s="1"/>
    </row>
    <row r="10320" spans="19:19" ht="15.75">
      <c r="S10320" s="1"/>
    </row>
    <row r="10321" spans="19:19" ht="15.75">
      <c r="S10321" s="1"/>
    </row>
    <row r="10322" spans="19:19" ht="15.75">
      <c r="S10322" s="1"/>
    </row>
    <row r="10323" spans="19:19" ht="15.75">
      <c r="S10323" s="1"/>
    </row>
    <row r="10324" spans="19:19" ht="15.75">
      <c r="S10324" s="1"/>
    </row>
    <row r="10325" spans="19:19" ht="15.75">
      <c r="S10325" s="1"/>
    </row>
    <row r="10326" spans="19:19" ht="15.75">
      <c r="S10326" s="1"/>
    </row>
    <row r="10327" spans="19:19" ht="15.75">
      <c r="S10327" s="1"/>
    </row>
    <row r="10328" spans="19:19" ht="15.75">
      <c r="S10328" s="1"/>
    </row>
    <row r="10329" spans="19:19" ht="15.75">
      <c r="S10329" s="1"/>
    </row>
    <row r="10330" spans="19:19" ht="15.75">
      <c r="S10330" s="1"/>
    </row>
    <row r="10331" spans="19:19" ht="15.75">
      <c r="S10331" s="1"/>
    </row>
    <row r="10332" spans="19:19" ht="15.75">
      <c r="S10332" s="1"/>
    </row>
    <row r="10333" spans="19:19" ht="15.75">
      <c r="S10333" s="1"/>
    </row>
    <row r="10334" spans="19:19" ht="15.75">
      <c r="S10334" s="1"/>
    </row>
    <row r="10335" spans="19:19" ht="15.75">
      <c r="S10335" s="1"/>
    </row>
    <row r="10336" spans="19:19" ht="15.75">
      <c r="S10336" s="1"/>
    </row>
    <row r="10337" spans="19:19" ht="15.75">
      <c r="S10337" s="1"/>
    </row>
    <row r="10338" spans="19:19" ht="15.75">
      <c r="S10338" s="1"/>
    </row>
    <row r="10339" spans="19:19" ht="15.75">
      <c r="S10339" s="1"/>
    </row>
    <row r="10340" spans="19:19" ht="15.75">
      <c r="S10340" s="1"/>
    </row>
    <row r="10341" spans="19:19" ht="15.75">
      <c r="S10341" s="1"/>
    </row>
    <row r="10342" spans="19:19" ht="15.75">
      <c r="S10342" s="1"/>
    </row>
    <row r="10343" spans="19:19" ht="15.75">
      <c r="S10343" s="1"/>
    </row>
    <row r="10344" spans="19:19" ht="15.75">
      <c r="S10344" s="1"/>
    </row>
    <row r="10345" spans="19:19" ht="15.75">
      <c r="S10345" s="1"/>
    </row>
    <row r="10346" spans="19:19" ht="15.75">
      <c r="S10346" s="1"/>
    </row>
    <row r="10347" spans="19:19" ht="15.75">
      <c r="S10347" s="1"/>
    </row>
    <row r="10348" spans="19:19" ht="15.75">
      <c r="S10348" s="1"/>
    </row>
    <row r="10349" spans="19:19" ht="15.75">
      <c r="S10349" s="1"/>
    </row>
    <row r="10350" spans="19:19" ht="15.75">
      <c r="S10350" s="1"/>
    </row>
    <row r="10351" spans="19:19" ht="15.75">
      <c r="S10351" s="1"/>
    </row>
    <row r="10352" spans="19:19" ht="15.75">
      <c r="S10352" s="1"/>
    </row>
    <row r="10353" spans="19:19" ht="15.75">
      <c r="S10353" s="1"/>
    </row>
    <row r="10354" spans="19:19" ht="15.75">
      <c r="S10354" s="1"/>
    </row>
    <row r="10355" spans="19:19" ht="15.75">
      <c r="S10355" s="1"/>
    </row>
    <row r="10356" spans="19:19" ht="15.75">
      <c r="S10356" s="1"/>
    </row>
    <row r="10357" spans="19:19" ht="15.75">
      <c r="S10357" s="1"/>
    </row>
    <row r="10358" spans="19:19" ht="15.75">
      <c r="S10358" s="1"/>
    </row>
    <row r="10359" spans="19:19" ht="15.75">
      <c r="S10359" s="1"/>
    </row>
    <row r="10360" spans="19:19" ht="15.75">
      <c r="S10360" s="1"/>
    </row>
    <row r="10361" spans="19:19" ht="15.75">
      <c r="S10361" s="1"/>
    </row>
    <row r="10362" spans="19:19" ht="15.75">
      <c r="S10362" s="1"/>
    </row>
    <row r="10363" spans="19:19" ht="15.75">
      <c r="S10363" s="1"/>
    </row>
    <row r="10364" spans="19:19" ht="15.75">
      <c r="S10364" s="1"/>
    </row>
    <row r="10365" spans="19:19" ht="15.75">
      <c r="S10365" s="1"/>
    </row>
    <row r="10366" spans="19:19" ht="15.75">
      <c r="S10366" s="1"/>
    </row>
    <row r="10367" spans="19:19" ht="15.75">
      <c r="S10367" s="1"/>
    </row>
    <row r="10368" spans="19:19" ht="15.75">
      <c r="S10368" s="1"/>
    </row>
    <row r="10369" spans="19:19" ht="15.75">
      <c r="S10369" s="1"/>
    </row>
    <row r="10370" spans="19:19" ht="15.75">
      <c r="S10370" s="1"/>
    </row>
    <row r="10371" spans="19:19" ht="15.75">
      <c r="S10371" s="1"/>
    </row>
    <row r="10372" spans="19:19" ht="15.75">
      <c r="S10372" s="1"/>
    </row>
    <row r="10373" spans="19:19" ht="15.75">
      <c r="S10373" s="1"/>
    </row>
    <row r="10374" spans="19:19" ht="15.75">
      <c r="S10374" s="1"/>
    </row>
    <row r="10375" spans="19:19" ht="15.75">
      <c r="S10375" s="1"/>
    </row>
    <row r="10376" spans="19:19" ht="15.75">
      <c r="S10376" s="1"/>
    </row>
    <row r="10377" spans="19:19" ht="15.75">
      <c r="S10377" s="1"/>
    </row>
    <row r="10378" spans="19:19" ht="15.75">
      <c r="S10378" s="1"/>
    </row>
    <row r="10379" spans="19:19" ht="15.75">
      <c r="S10379" s="1"/>
    </row>
    <row r="10380" spans="19:19" ht="15.75">
      <c r="S10380" s="1"/>
    </row>
    <row r="10381" spans="19:19" ht="15.75">
      <c r="S10381" s="1"/>
    </row>
    <row r="10382" spans="19:19" ht="15.75">
      <c r="S10382" s="1"/>
    </row>
    <row r="10383" spans="19:19" ht="15.75">
      <c r="S10383" s="1"/>
    </row>
    <row r="10384" spans="19:19" ht="15.75">
      <c r="S10384" s="1"/>
    </row>
    <row r="10385" spans="19:19" ht="15.75">
      <c r="S10385" s="1"/>
    </row>
    <row r="10386" spans="19:19" ht="15.75">
      <c r="S10386" s="1"/>
    </row>
    <row r="10387" spans="19:19" ht="15.75">
      <c r="S10387" s="1"/>
    </row>
    <row r="10388" spans="19:19" ht="15.75">
      <c r="S10388" s="1"/>
    </row>
    <row r="10389" spans="19:19" ht="15.75">
      <c r="S10389" s="1"/>
    </row>
    <row r="10390" spans="19:19" ht="15.75">
      <c r="S10390" s="1"/>
    </row>
    <row r="10391" spans="19:19" ht="15.75">
      <c r="S10391" s="1"/>
    </row>
    <row r="10392" spans="19:19" ht="15.75">
      <c r="S10392" s="1"/>
    </row>
    <row r="10393" spans="19:19" ht="15.75">
      <c r="S10393" s="1"/>
    </row>
    <row r="10394" spans="19:19" ht="15.75">
      <c r="S10394" s="1"/>
    </row>
    <row r="10395" spans="19:19" ht="15.75">
      <c r="S10395" s="1"/>
    </row>
    <row r="10396" spans="19:19" ht="15.75">
      <c r="S10396" s="1"/>
    </row>
    <row r="10397" spans="19:19" ht="15.75">
      <c r="S10397" s="1"/>
    </row>
    <row r="10398" spans="19:19" ht="15.75">
      <c r="S10398" s="1"/>
    </row>
    <row r="10399" spans="19:19" ht="15.75">
      <c r="S10399" s="1"/>
    </row>
    <row r="10400" spans="19:19" ht="15.75">
      <c r="S10400" s="1"/>
    </row>
    <row r="10401" spans="19:19" ht="15.75">
      <c r="S10401" s="1"/>
    </row>
    <row r="10402" spans="19:19" ht="15.75">
      <c r="S10402" s="1"/>
    </row>
    <row r="10403" spans="19:19" ht="15.75">
      <c r="S10403" s="1"/>
    </row>
    <row r="10404" spans="19:19" ht="15.75">
      <c r="S10404" s="1"/>
    </row>
    <row r="10405" spans="19:19" ht="15.75">
      <c r="S10405" s="1"/>
    </row>
    <row r="10406" spans="19:19" ht="15.75">
      <c r="S10406" s="1"/>
    </row>
    <row r="10407" spans="19:19" ht="15.75">
      <c r="S10407" s="1"/>
    </row>
    <row r="10408" spans="19:19" ht="15.75">
      <c r="S10408" s="1"/>
    </row>
    <row r="10409" spans="19:19" ht="15.75">
      <c r="S10409" s="1"/>
    </row>
    <row r="10410" spans="19:19" ht="15.75">
      <c r="S10410" s="1"/>
    </row>
    <row r="10411" spans="19:19" ht="15.75">
      <c r="S10411" s="1"/>
    </row>
    <row r="10412" spans="19:19" ht="15.75">
      <c r="S10412" s="1"/>
    </row>
    <row r="10413" spans="19:19" ht="15.75">
      <c r="S10413" s="1"/>
    </row>
    <row r="10414" spans="19:19" ht="15.75">
      <c r="S10414" s="1"/>
    </row>
    <row r="10415" spans="19:19" ht="15.75">
      <c r="S10415" s="1"/>
    </row>
    <row r="10416" spans="19:19" ht="15.75">
      <c r="S10416" s="1"/>
    </row>
    <row r="10417" spans="19:19" ht="15.75">
      <c r="S10417" s="1"/>
    </row>
    <row r="10418" spans="19:19" ht="15.75">
      <c r="S10418" s="1"/>
    </row>
    <row r="10419" spans="19:19" ht="15.75">
      <c r="S10419" s="1"/>
    </row>
    <row r="10420" spans="19:19" ht="15.75">
      <c r="S10420" s="1"/>
    </row>
    <row r="10421" spans="19:19" ht="15.75">
      <c r="S10421" s="1"/>
    </row>
    <row r="10422" spans="19:19" ht="15.75">
      <c r="S10422" s="1"/>
    </row>
    <row r="10423" spans="19:19" ht="15.75">
      <c r="S10423" s="1"/>
    </row>
    <row r="10424" spans="19:19" ht="15.75">
      <c r="S10424" s="1"/>
    </row>
    <row r="10425" spans="19:19" ht="15.75">
      <c r="S10425" s="1"/>
    </row>
    <row r="10426" spans="19:19" ht="15.75">
      <c r="S10426" s="1"/>
    </row>
    <row r="10427" spans="19:19" ht="15.75">
      <c r="S10427" s="1"/>
    </row>
    <row r="10428" spans="19:19" ht="15.75">
      <c r="S10428" s="1"/>
    </row>
    <row r="10429" spans="19:19" ht="15.75">
      <c r="S10429" s="1"/>
    </row>
    <row r="10430" spans="19:19" ht="15.75">
      <c r="S10430" s="1"/>
    </row>
    <row r="10431" spans="19:19" ht="15.75">
      <c r="S10431" s="1"/>
    </row>
    <row r="10432" spans="19:19" ht="15.75">
      <c r="S10432" s="1"/>
    </row>
    <row r="10433" spans="19:19" ht="15.75">
      <c r="S10433" s="1"/>
    </row>
    <row r="10434" spans="19:19" ht="15.75">
      <c r="S10434" s="1"/>
    </row>
    <row r="10435" spans="19:19" ht="15.75">
      <c r="S10435" s="1"/>
    </row>
    <row r="10436" spans="19:19" ht="15.75">
      <c r="S10436" s="1"/>
    </row>
    <row r="10437" spans="19:19" ht="15.75">
      <c r="S10437" s="1"/>
    </row>
    <row r="10438" spans="19:19" ht="15.75">
      <c r="S10438" s="1"/>
    </row>
    <row r="10439" spans="19:19" ht="15.75">
      <c r="S10439" s="1"/>
    </row>
    <row r="10440" spans="19:19" ht="15.75">
      <c r="S10440" s="1"/>
    </row>
    <row r="10441" spans="19:19" ht="15.75">
      <c r="S10441" s="1"/>
    </row>
    <row r="10442" spans="19:19" ht="15.75">
      <c r="S10442" s="1"/>
    </row>
    <row r="10443" spans="19:19" ht="15.75">
      <c r="S10443" s="1"/>
    </row>
    <row r="10444" spans="19:19" ht="15.75">
      <c r="S10444" s="1"/>
    </row>
    <row r="10445" spans="19:19" ht="15.75">
      <c r="S10445" s="1"/>
    </row>
    <row r="10446" spans="19:19" ht="15.75">
      <c r="S10446" s="1"/>
    </row>
    <row r="10447" spans="19:19" ht="15.75">
      <c r="S10447" s="1"/>
    </row>
    <row r="10448" spans="19:19" ht="15.75">
      <c r="S10448" s="1"/>
    </row>
    <row r="10449" spans="19:19" ht="15.75">
      <c r="S10449" s="1"/>
    </row>
    <row r="10450" spans="19:19" ht="15.75">
      <c r="S10450" s="1"/>
    </row>
    <row r="10451" spans="19:19" ht="15.75">
      <c r="S10451" s="1"/>
    </row>
    <row r="10452" spans="19:19" ht="15.75">
      <c r="S10452" s="1"/>
    </row>
    <row r="10453" spans="19:19" ht="15.75">
      <c r="S10453" s="1"/>
    </row>
    <row r="10454" spans="19:19" ht="15.75">
      <c r="S10454" s="1"/>
    </row>
    <row r="10455" spans="19:19" ht="15.75">
      <c r="S10455" s="1"/>
    </row>
    <row r="10456" spans="19:19" ht="15.75">
      <c r="S10456" s="1"/>
    </row>
    <row r="10457" spans="19:19" ht="15.75">
      <c r="S10457" s="1"/>
    </row>
    <row r="10458" spans="19:19" ht="15.75">
      <c r="S10458" s="1"/>
    </row>
    <row r="10459" spans="19:19" ht="15.75">
      <c r="S10459" s="1"/>
    </row>
    <row r="10460" spans="19:19" ht="15.75">
      <c r="S10460" s="1"/>
    </row>
    <row r="10461" spans="19:19" ht="15.75">
      <c r="S10461" s="1"/>
    </row>
    <row r="10462" spans="19:19" ht="15.75">
      <c r="S10462" s="1"/>
    </row>
    <row r="10463" spans="19:19" ht="15.75">
      <c r="S10463" s="1"/>
    </row>
    <row r="10464" spans="19:19" ht="15.75">
      <c r="S10464" s="1"/>
    </row>
    <row r="10465" spans="19:19" ht="15.75">
      <c r="S10465" s="1"/>
    </row>
    <row r="10466" spans="19:19" ht="15.75">
      <c r="S10466" s="1"/>
    </row>
    <row r="10467" spans="19:19" ht="15.75">
      <c r="S10467" s="1"/>
    </row>
    <row r="10468" spans="19:19" ht="15.75">
      <c r="S10468" s="1"/>
    </row>
    <row r="10469" spans="19:19" ht="15.75">
      <c r="S10469" s="1"/>
    </row>
    <row r="10470" spans="19:19" ht="15.75">
      <c r="S10470" s="1"/>
    </row>
    <row r="10471" spans="19:19" ht="15.75">
      <c r="S10471" s="1"/>
    </row>
    <row r="10472" spans="19:19" ht="15.75">
      <c r="S10472" s="1"/>
    </row>
    <row r="10473" spans="19:19" ht="15.75">
      <c r="S10473" s="1"/>
    </row>
    <row r="10474" spans="19:19" ht="15.75">
      <c r="S10474" s="1"/>
    </row>
    <row r="10475" spans="19:19" ht="15.75">
      <c r="S10475" s="1"/>
    </row>
    <row r="10476" spans="19:19" ht="15.75">
      <c r="S10476" s="1"/>
    </row>
    <row r="10477" spans="19:19" ht="15.75">
      <c r="S10477" s="1"/>
    </row>
    <row r="10478" spans="19:19" ht="15.75">
      <c r="S10478" s="1"/>
    </row>
    <row r="10479" spans="19:19" ht="15.75">
      <c r="S10479" s="1"/>
    </row>
    <row r="10480" spans="19:19" ht="15.75">
      <c r="S10480" s="1"/>
    </row>
    <row r="10481" spans="19:19" ht="15.75">
      <c r="S10481" s="1"/>
    </row>
    <row r="10482" spans="19:19" ht="15.75">
      <c r="S10482" s="1"/>
    </row>
    <row r="10483" spans="19:19" ht="15.75">
      <c r="S10483" s="1"/>
    </row>
    <row r="10484" spans="19:19" ht="15.75">
      <c r="S10484" s="1"/>
    </row>
    <row r="10485" spans="19:19" ht="15.75">
      <c r="S10485" s="1"/>
    </row>
    <row r="10486" spans="19:19" ht="15.75">
      <c r="S10486" s="1"/>
    </row>
    <row r="10487" spans="19:19" ht="15.75">
      <c r="S10487" s="1"/>
    </row>
    <row r="10488" spans="19:19" ht="15.75">
      <c r="S10488" s="1"/>
    </row>
    <row r="10489" spans="19:19" ht="15.75">
      <c r="S10489" s="1"/>
    </row>
    <row r="10490" spans="19:19" ht="15.75">
      <c r="S10490" s="1"/>
    </row>
    <row r="10491" spans="19:19" ht="15.75">
      <c r="S10491" s="1"/>
    </row>
    <row r="10492" spans="19:19" ht="15.75">
      <c r="S10492" s="1"/>
    </row>
    <row r="10493" spans="19:19" ht="15.75">
      <c r="S10493" s="1"/>
    </row>
    <row r="10494" spans="19:19" ht="15.75">
      <c r="S10494" s="1"/>
    </row>
    <row r="10495" spans="19:19" ht="15.75">
      <c r="S10495" s="1"/>
    </row>
    <row r="10496" spans="19:19" ht="15.75">
      <c r="S10496" s="1"/>
    </row>
    <row r="10497" spans="19:19" ht="15.75">
      <c r="S10497" s="1"/>
    </row>
    <row r="10498" spans="19:19" ht="15.75">
      <c r="S10498" s="1"/>
    </row>
    <row r="10499" spans="19:19" ht="15.75">
      <c r="S10499" s="1"/>
    </row>
    <row r="10500" spans="19:19" ht="15.75">
      <c r="S10500" s="1"/>
    </row>
    <row r="10501" spans="19:19" ht="15.75">
      <c r="S10501" s="1"/>
    </row>
    <row r="10502" spans="19:19" ht="15.75">
      <c r="S10502" s="1"/>
    </row>
    <row r="10503" spans="19:19" ht="15.75">
      <c r="S10503" s="1"/>
    </row>
    <row r="10504" spans="19:19" ht="15.75">
      <c r="S10504" s="1"/>
    </row>
    <row r="10505" spans="19:19" ht="15.75">
      <c r="S10505" s="1"/>
    </row>
    <row r="10506" spans="19:19" ht="15.75">
      <c r="S10506" s="1"/>
    </row>
    <row r="10507" spans="19:19" ht="15.75">
      <c r="S10507" s="1"/>
    </row>
    <row r="10508" spans="19:19" ht="15.75">
      <c r="S10508" s="1"/>
    </row>
    <row r="10509" spans="19:19" ht="15.75">
      <c r="S10509" s="1"/>
    </row>
    <row r="10510" spans="19:19" ht="15.75">
      <c r="S10510" s="1"/>
    </row>
    <row r="10511" spans="19:19" ht="15.75">
      <c r="S10511" s="1"/>
    </row>
    <row r="10512" spans="19:19" ht="15.75">
      <c r="S10512" s="1"/>
    </row>
    <row r="10513" spans="19:19" ht="15.75">
      <c r="S10513" s="1"/>
    </row>
    <row r="10514" spans="19:19" ht="15.75">
      <c r="S10514" s="1"/>
    </row>
    <row r="10515" spans="19:19" ht="15.75">
      <c r="S10515" s="1"/>
    </row>
    <row r="10516" spans="19:19" ht="15.75">
      <c r="S10516" s="1"/>
    </row>
    <row r="10517" spans="19:19" ht="15.75">
      <c r="S10517" s="1"/>
    </row>
    <row r="10518" spans="19:19" ht="15.75">
      <c r="S10518" s="1"/>
    </row>
    <row r="10519" spans="19:19" ht="15.75">
      <c r="S10519" s="1"/>
    </row>
    <row r="10520" spans="19:19" ht="15.75">
      <c r="S10520" s="1"/>
    </row>
    <row r="10521" spans="19:19" ht="15.75">
      <c r="S10521" s="1"/>
    </row>
    <row r="10522" spans="19:19" ht="15.75">
      <c r="S10522" s="1"/>
    </row>
    <row r="10523" spans="19:19" ht="15.75">
      <c r="S10523" s="1"/>
    </row>
    <row r="10524" spans="19:19" ht="15.75">
      <c r="S10524" s="1"/>
    </row>
    <row r="10525" spans="19:19" ht="15.75">
      <c r="S10525" s="1"/>
    </row>
    <row r="10526" spans="19:19" ht="15.75">
      <c r="S10526" s="1"/>
    </row>
    <row r="10527" spans="19:19" ht="15.75">
      <c r="S10527" s="1"/>
    </row>
    <row r="10528" spans="19:19" ht="15.75">
      <c r="S10528" s="1"/>
    </row>
    <row r="10529" spans="19:19" ht="15.75">
      <c r="S10529" s="1"/>
    </row>
    <row r="10530" spans="19:19" ht="15.75">
      <c r="S10530" s="1"/>
    </row>
    <row r="10531" spans="19:19" ht="15.75">
      <c r="S10531" s="1"/>
    </row>
    <row r="10532" spans="19:19" ht="15.75">
      <c r="S10532" s="1"/>
    </row>
    <row r="10533" spans="19:19" ht="15.75">
      <c r="S10533" s="1"/>
    </row>
    <row r="10534" spans="19:19" ht="15.75">
      <c r="S10534" s="1"/>
    </row>
    <row r="10535" spans="19:19" ht="15.75">
      <c r="S10535" s="1"/>
    </row>
    <row r="10536" spans="19:19" ht="15.75">
      <c r="S10536" s="1"/>
    </row>
    <row r="10537" spans="19:19" ht="15.75">
      <c r="S10537" s="1"/>
    </row>
    <row r="10538" spans="19:19" ht="15.75">
      <c r="S10538" s="1"/>
    </row>
    <row r="10539" spans="19:19" ht="15.75">
      <c r="S10539" s="1"/>
    </row>
    <row r="10540" spans="19:19" ht="15.75">
      <c r="S10540" s="1"/>
    </row>
    <row r="10541" spans="19:19" ht="15.75">
      <c r="S10541" s="1"/>
    </row>
    <row r="10542" spans="19:19" ht="15.75">
      <c r="S10542" s="1"/>
    </row>
    <row r="10543" spans="19:19" ht="15.75">
      <c r="S10543" s="1"/>
    </row>
    <row r="10544" spans="19:19" ht="15.75">
      <c r="S10544" s="1"/>
    </row>
    <row r="10545" spans="19:19" ht="15.75">
      <c r="S10545" s="1"/>
    </row>
    <row r="10546" spans="19:19" ht="15.75">
      <c r="S10546" s="1"/>
    </row>
    <row r="10547" spans="19:19" ht="15.75">
      <c r="S10547" s="1"/>
    </row>
    <row r="10548" spans="19:19" ht="15.75">
      <c r="S10548" s="1"/>
    </row>
    <row r="10549" spans="19:19" ht="15.75">
      <c r="S10549" s="1"/>
    </row>
    <row r="10550" spans="19:19" ht="15.75">
      <c r="S10550" s="1"/>
    </row>
    <row r="10551" spans="19:19" ht="15.75">
      <c r="S10551" s="1"/>
    </row>
    <row r="10552" spans="19:19" ht="15.75">
      <c r="S10552" s="1"/>
    </row>
    <row r="10553" spans="19:19" ht="15.75">
      <c r="S10553" s="1"/>
    </row>
    <row r="10554" spans="19:19" ht="15.75">
      <c r="S10554" s="1"/>
    </row>
    <row r="10555" spans="19:19" ht="15.75">
      <c r="S10555" s="1"/>
    </row>
    <row r="10556" spans="19:19" ht="15.75">
      <c r="S10556" s="1"/>
    </row>
    <row r="10557" spans="19:19" ht="15.75">
      <c r="S10557" s="1"/>
    </row>
    <row r="10558" spans="19:19" ht="15.75">
      <c r="S10558" s="1"/>
    </row>
    <row r="10559" spans="19:19" ht="15.75">
      <c r="S10559" s="1"/>
    </row>
    <row r="10560" spans="19:19" ht="15.75">
      <c r="S10560" s="1"/>
    </row>
    <row r="10561" spans="19:19" ht="15.75">
      <c r="S10561" s="1"/>
    </row>
    <row r="10562" spans="19:19" ht="15.75">
      <c r="S10562" s="1"/>
    </row>
    <row r="10563" spans="19:19" ht="15.75">
      <c r="S10563" s="1"/>
    </row>
    <row r="10564" spans="19:19" ht="15.75">
      <c r="S10564" s="1"/>
    </row>
    <row r="10565" spans="19:19" ht="15.75">
      <c r="S10565" s="1"/>
    </row>
    <row r="10566" spans="19:19" ht="15.75">
      <c r="S10566" s="1"/>
    </row>
    <row r="10567" spans="19:19" ht="15.75">
      <c r="S10567" s="1"/>
    </row>
    <row r="10568" spans="19:19" ht="15.75">
      <c r="S10568" s="1"/>
    </row>
    <row r="10569" spans="19:19" ht="15.75">
      <c r="S10569" s="1"/>
    </row>
    <row r="10570" spans="19:19" ht="15.75">
      <c r="S10570" s="1"/>
    </row>
    <row r="10571" spans="19:19" ht="15.75">
      <c r="S10571" s="1"/>
    </row>
    <row r="10572" spans="19:19" ht="15.75">
      <c r="S10572" s="1"/>
    </row>
    <row r="10573" spans="19:19" ht="15.75">
      <c r="S10573" s="1"/>
    </row>
    <row r="10574" spans="19:19" ht="15.75">
      <c r="S10574" s="1"/>
    </row>
    <row r="10575" spans="19:19" ht="15.75">
      <c r="S10575" s="1"/>
    </row>
    <row r="10576" spans="19:19" ht="15.75">
      <c r="S10576" s="1"/>
    </row>
    <row r="10577" spans="19:19" ht="15.75">
      <c r="S10577" s="1"/>
    </row>
    <row r="10578" spans="19:19" ht="15.75">
      <c r="S10578" s="1"/>
    </row>
    <row r="10579" spans="19:19" ht="15.75">
      <c r="S10579" s="1"/>
    </row>
    <row r="10580" spans="19:19" ht="15.75">
      <c r="S10580" s="1"/>
    </row>
    <row r="10581" spans="19:19" ht="15.75">
      <c r="S10581" s="1"/>
    </row>
    <row r="10582" spans="19:19" ht="15.75">
      <c r="S10582" s="1"/>
    </row>
    <row r="10583" spans="19:19" ht="15.75">
      <c r="S10583" s="1"/>
    </row>
    <row r="10584" spans="19:19" ht="15.75">
      <c r="S10584" s="1"/>
    </row>
    <row r="10585" spans="19:19" ht="15.75">
      <c r="S10585" s="1"/>
    </row>
    <row r="10586" spans="19:19" ht="15.75">
      <c r="S10586" s="1"/>
    </row>
    <row r="10587" spans="19:19" ht="15.75">
      <c r="S10587" s="1"/>
    </row>
    <row r="10588" spans="19:19" ht="15.75">
      <c r="S10588" s="1"/>
    </row>
    <row r="10589" spans="19:19" ht="15.75">
      <c r="S10589" s="1"/>
    </row>
    <row r="10590" spans="19:19" ht="15.75">
      <c r="S10590" s="1"/>
    </row>
    <row r="10591" spans="19:19" ht="15.75">
      <c r="S10591" s="1"/>
    </row>
    <row r="10592" spans="19:19" ht="15.75">
      <c r="S10592" s="1"/>
    </row>
    <row r="10593" spans="19:19" ht="15.75">
      <c r="S10593" s="1"/>
    </row>
    <row r="10594" spans="19:19" ht="15.75">
      <c r="S10594" s="1"/>
    </row>
    <row r="10595" spans="19:19" ht="15.75">
      <c r="S10595" s="1"/>
    </row>
    <row r="10596" spans="19:19" ht="15.75">
      <c r="S10596" s="1"/>
    </row>
    <row r="10597" spans="19:19" ht="15.75">
      <c r="S10597" s="1"/>
    </row>
    <row r="10598" spans="19:19" ht="15.75">
      <c r="S10598" s="1"/>
    </row>
    <row r="10599" spans="19:19" ht="15.75">
      <c r="S10599" s="1"/>
    </row>
    <row r="10600" spans="19:19" ht="15.75">
      <c r="S10600" s="1"/>
    </row>
    <row r="10601" spans="19:19" ht="15.75">
      <c r="S10601" s="1"/>
    </row>
    <row r="10602" spans="19:19" ht="15.75">
      <c r="S10602" s="1"/>
    </row>
    <row r="10603" spans="19:19" ht="15.75">
      <c r="S10603" s="1"/>
    </row>
    <row r="10604" spans="19:19" ht="15.75">
      <c r="S10604" s="1"/>
    </row>
    <row r="10605" spans="19:19" ht="15.75">
      <c r="S10605" s="1"/>
    </row>
    <row r="10606" spans="19:19" ht="15.75">
      <c r="S10606" s="1"/>
    </row>
    <row r="10607" spans="19:19" ht="15.75">
      <c r="S10607" s="1"/>
    </row>
    <row r="10608" spans="19:19" ht="15.75">
      <c r="S10608" s="1"/>
    </row>
    <row r="10609" spans="19:19" ht="15.75">
      <c r="S10609" s="1"/>
    </row>
    <row r="10610" spans="19:19" ht="15.75">
      <c r="S10610" s="1"/>
    </row>
    <row r="10611" spans="19:19" ht="15.75">
      <c r="S10611" s="1"/>
    </row>
    <row r="10612" spans="19:19" ht="15.75">
      <c r="S10612" s="1"/>
    </row>
    <row r="10613" spans="19:19" ht="15.75">
      <c r="S10613" s="1"/>
    </row>
    <row r="10614" spans="19:19" ht="15.75">
      <c r="S10614" s="1"/>
    </row>
    <row r="10615" spans="19:19" ht="15.75">
      <c r="S10615" s="1"/>
    </row>
    <row r="10616" spans="19:19" ht="15.75">
      <c r="S10616" s="1"/>
    </row>
    <row r="10617" spans="19:19" ht="15.75">
      <c r="S10617" s="1"/>
    </row>
    <row r="10618" spans="19:19" ht="15.75">
      <c r="S10618" s="1"/>
    </row>
    <row r="10619" spans="19:19" ht="15.75">
      <c r="S10619" s="1"/>
    </row>
    <row r="10620" spans="19:19" ht="15.75">
      <c r="S10620" s="1"/>
    </row>
    <row r="10621" spans="19:19" ht="15.75">
      <c r="S10621" s="1"/>
    </row>
    <row r="10622" spans="19:19" ht="15.75">
      <c r="S10622" s="1"/>
    </row>
    <row r="10623" spans="19:19" ht="15.75">
      <c r="S10623" s="1"/>
    </row>
    <row r="10624" spans="19:19" ht="15.75">
      <c r="S10624" s="1"/>
    </row>
    <row r="10625" spans="19:19" ht="15.75">
      <c r="S10625" s="1"/>
    </row>
    <row r="10626" spans="19:19" ht="15.75">
      <c r="S10626" s="1"/>
    </row>
    <row r="10627" spans="19:19" ht="15.75">
      <c r="S10627" s="1"/>
    </row>
    <row r="10628" spans="19:19" ht="15.75">
      <c r="S10628" s="1"/>
    </row>
    <row r="10629" spans="19:19" ht="15.75">
      <c r="S10629" s="1"/>
    </row>
    <row r="10630" spans="19:19" ht="15.75">
      <c r="S10630" s="1"/>
    </row>
    <row r="10631" spans="19:19" ht="15.75">
      <c r="S10631" s="1"/>
    </row>
    <row r="10632" spans="19:19" ht="15.75">
      <c r="S10632" s="1"/>
    </row>
    <row r="10633" spans="19:19" ht="15.75">
      <c r="S10633" s="1"/>
    </row>
    <row r="10634" spans="19:19" ht="15.75">
      <c r="S10634" s="1"/>
    </row>
    <row r="10635" spans="19:19" ht="15.75">
      <c r="S10635" s="1"/>
    </row>
    <row r="10636" spans="19:19" ht="15.75">
      <c r="S10636" s="1"/>
    </row>
    <row r="10637" spans="19:19" ht="15.75">
      <c r="S10637" s="1"/>
    </row>
    <row r="10638" spans="19:19" ht="15.75">
      <c r="S10638" s="1"/>
    </row>
    <row r="10639" spans="19:19" ht="15.75">
      <c r="S10639" s="1"/>
    </row>
    <row r="10640" spans="19:19" ht="15.75">
      <c r="S10640" s="1"/>
    </row>
    <row r="10641" spans="19:19" ht="15.75">
      <c r="S10641" s="1"/>
    </row>
    <row r="10642" spans="19:19" ht="15.75">
      <c r="S10642" s="1"/>
    </row>
    <row r="10643" spans="19:19" ht="15.75">
      <c r="S10643" s="1"/>
    </row>
    <row r="10644" spans="19:19" ht="15.75">
      <c r="S10644" s="1"/>
    </row>
    <row r="10645" spans="19:19" ht="15.75">
      <c r="S10645" s="1"/>
    </row>
    <row r="10646" spans="19:19" ht="15.75">
      <c r="S10646" s="1"/>
    </row>
    <row r="10647" spans="19:19" ht="15.75">
      <c r="S10647" s="1"/>
    </row>
    <row r="10648" spans="19:19" ht="15.75">
      <c r="S10648" s="1"/>
    </row>
    <row r="10649" spans="19:19" ht="15.75">
      <c r="S10649" s="1"/>
    </row>
    <row r="10650" spans="19:19" ht="15.75">
      <c r="S10650" s="1"/>
    </row>
    <row r="10651" spans="19:19" ht="15.75">
      <c r="S10651" s="1"/>
    </row>
    <row r="10652" spans="19:19" ht="15.75">
      <c r="S10652" s="1"/>
    </row>
    <row r="10653" spans="19:19" ht="15.75">
      <c r="S10653" s="1"/>
    </row>
    <row r="10654" spans="19:19" ht="15.75">
      <c r="S10654" s="1"/>
    </row>
    <row r="10655" spans="19:19" ht="15.75">
      <c r="S10655" s="1"/>
    </row>
    <row r="10656" spans="19:19" ht="15.75">
      <c r="S10656" s="1"/>
    </row>
    <row r="10657" spans="19:19" ht="15.75">
      <c r="S10657" s="1"/>
    </row>
    <row r="10658" spans="19:19" ht="15.75">
      <c r="S10658" s="1"/>
    </row>
    <row r="10659" spans="19:19" ht="15.75">
      <c r="S10659" s="1"/>
    </row>
    <row r="10660" spans="19:19" ht="15.75">
      <c r="S10660" s="1"/>
    </row>
    <row r="10661" spans="19:19" ht="15.75">
      <c r="S10661" s="1"/>
    </row>
    <row r="10662" spans="19:19" ht="15.75">
      <c r="S10662" s="1"/>
    </row>
    <row r="10663" spans="19:19" ht="15.75">
      <c r="S10663" s="1"/>
    </row>
    <row r="10664" spans="19:19" ht="15.75">
      <c r="S10664" s="1"/>
    </row>
    <row r="10665" spans="19:19" ht="15.75">
      <c r="S10665" s="1"/>
    </row>
    <row r="10666" spans="19:19" ht="15.75">
      <c r="S10666" s="1"/>
    </row>
    <row r="10667" spans="19:19" ht="15.75">
      <c r="S10667" s="1"/>
    </row>
    <row r="10668" spans="19:19" ht="15.75">
      <c r="S10668" s="1"/>
    </row>
    <row r="10669" spans="19:19" ht="15.75">
      <c r="S10669" s="1"/>
    </row>
    <row r="10670" spans="19:19" ht="15.75">
      <c r="S10670" s="1"/>
    </row>
    <row r="10671" spans="19:19" ht="15.75">
      <c r="S10671" s="1"/>
    </row>
    <row r="10672" spans="19:19" ht="15.75">
      <c r="S10672" s="1"/>
    </row>
    <row r="10673" spans="19:19" ht="15.75">
      <c r="S10673" s="1"/>
    </row>
    <row r="10674" spans="19:19" ht="15.75">
      <c r="S10674" s="1"/>
    </row>
    <row r="10675" spans="19:19" ht="15.75">
      <c r="S10675" s="1"/>
    </row>
    <row r="10676" spans="19:19" ht="15.75">
      <c r="S10676" s="1"/>
    </row>
    <row r="10677" spans="19:19" ht="15.75">
      <c r="S10677" s="1"/>
    </row>
    <row r="10678" spans="19:19" ht="15.75">
      <c r="S10678" s="1"/>
    </row>
    <row r="10679" spans="19:19" ht="15.75">
      <c r="S10679" s="1"/>
    </row>
    <row r="10680" spans="19:19" ht="15.75">
      <c r="S10680" s="1"/>
    </row>
    <row r="10681" spans="19:19" ht="15.75">
      <c r="S10681" s="1"/>
    </row>
    <row r="10682" spans="19:19" ht="15.75">
      <c r="S10682" s="1"/>
    </row>
    <row r="10683" spans="19:19" ht="15.75">
      <c r="S10683" s="1"/>
    </row>
    <row r="10684" spans="19:19" ht="15.75">
      <c r="S10684" s="1"/>
    </row>
    <row r="10685" spans="19:19" ht="15.75">
      <c r="S10685" s="1"/>
    </row>
    <row r="10686" spans="19:19" ht="15.75">
      <c r="S10686" s="1"/>
    </row>
    <row r="10687" spans="19:19" ht="15.75">
      <c r="S10687" s="1"/>
    </row>
    <row r="10688" spans="19:19" ht="15.75">
      <c r="S10688" s="1"/>
    </row>
    <row r="10689" spans="19:19" ht="15.75">
      <c r="S10689" s="1"/>
    </row>
    <row r="10690" spans="19:19" ht="15.75">
      <c r="S10690" s="1"/>
    </row>
    <row r="10691" spans="19:19" ht="15.75">
      <c r="S10691" s="1"/>
    </row>
    <row r="10692" spans="19:19" ht="15.75">
      <c r="S10692" s="1"/>
    </row>
    <row r="10693" spans="19:19" ht="15.75">
      <c r="S10693" s="1"/>
    </row>
    <row r="10694" spans="19:19" ht="15.75">
      <c r="S10694" s="1"/>
    </row>
    <row r="10695" spans="19:19" ht="15.75">
      <c r="S10695" s="1"/>
    </row>
    <row r="10696" spans="19:19" ht="15.75">
      <c r="S10696" s="1"/>
    </row>
    <row r="10697" spans="19:19" ht="15.75">
      <c r="S10697" s="1"/>
    </row>
    <row r="10698" spans="19:19" ht="15.75">
      <c r="S10698" s="1"/>
    </row>
    <row r="10699" spans="19:19" ht="15.75">
      <c r="S10699" s="1"/>
    </row>
    <row r="10700" spans="19:19" ht="15.75">
      <c r="S10700" s="1"/>
    </row>
    <row r="10701" spans="19:19" ht="15.75">
      <c r="S10701" s="1"/>
    </row>
    <row r="10702" spans="19:19" ht="15.75">
      <c r="S10702" s="1"/>
    </row>
    <row r="10703" spans="19:19" ht="15.75">
      <c r="S10703" s="1"/>
    </row>
    <row r="10704" spans="19:19" ht="15.75">
      <c r="S10704" s="1"/>
    </row>
    <row r="10705" spans="19:19" ht="15.75">
      <c r="S10705" s="1"/>
    </row>
    <row r="10706" spans="19:19" ht="15.75">
      <c r="S10706" s="1"/>
    </row>
    <row r="10707" spans="19:19" ht="15.75">
      <c r="S10707" s="1"/>
    </row>
    <row r="10708" spans="19:19" ht="15.75">
      <c r="S10708" s="1"/>
    </row>
    <row r="10709" spans="19:19" ht="15.75">
      <c r="S10709" s="1"/>
    </row>
    <row r="10710" spans="19:19" ht="15.75">
      <c r="S10710" s="1"/>
    </row>
    <row r="10711" spans="19:19" ht="15.75">
      <c r="S10711" s="1"/>
    </row>
    <row r="10712" spans="19:19" ht="15.75">
      <c r="S10712" s="1"/>
    </row>
    <row r="10713" spans="19:19" ht="15.75">
      <c r="S10713" s="1"/>
    </row>
    <row r="10714" spans="19:19" ht="15.75">
      <c r="S10714" s="1"/>
    </row>
    <row r="10715" spans="19:19" ht="15.75">
      <c r="S10715" s="1"/>
    </row>
    <row r="10716" spans="19:19" ht="15.75">
      <c r="S10716" s="1"/>
    </row>
    <row r="10717" spans="19:19" ht="15.75">
      <c r="S10717" s="1"/>
    </row>
    <row r="10718" spans="19:19" ht="15.75">
      <c r="S10718" s="1"/>
    </row>
    <row r="10719" spans="19:19" ht="15.75">
      <c r="S10719" s="1"/>
    </row>
    <row r="10720" spans="19:19" ht="15.75">
      <c r="S10720" s="1"/>
    </row>
    <row r="10721" spans="19:19" ht="15.75">
      <c r="S10721" s="1"/>
    </row>
    <row r="10722" spans="19:19" ht="15.75">
      <c r="S10722" s="1"/>
    </row>
    <row r="10723" spans="19:19" ht="15.75">
      <c r="S10723" s="1"/>
    </row>
    <row r="10724" spans="19:19" ht="15.75">
      <c r="S10724" s="1"/>
    </row>
    <row r="10725" spans="19:19" ht="15.75">
      <c r="S10725" s="1"/>
    </row>
    <row r="10726" spans="19:19" ht="15.75">
      <c r="S10726" s="1"/>
    </row>
    <row r="10727" spans="19:19" ht="15.75">
      <c r="S10727" s="1"/>
    </row>
    <row r="10728" spans="19:19" ht="15.75">
      <c r="S10728" s="1"/>
    </row>
    <row r="10729" spans="19:19" ht="15.75">
      <c r="S10729" s="1"/>
    </row>
    <row r="10730" spans="19:19" ht="15.75">
      <c r="S10730" s="1"/>
    </row>
    <row r="10731" spans="19:19" ht="15.75">
      <c r="S10731" s="1"/>
    </row>
    <row r="10732" spans="19:19" ht="15.75">
      <c r="S10732" s="1"/>
    </row>
    <row r="10733" spans="19:19" ht="15.75">
      <c r="S10733" s="1"/>
    </row>
    <row r="10734" spans="19:19" ht="15.75">
      <c r="S10734" s="1"/>
    </row>
    <row r="10735" spans="19:19" ht="15.75">
      <c r="S10735" s="1"/>
    </row>
    <row r="10736" spans="19:19" ht="15.75">
      <c r="S10736" s="1"/>
    </row>
    <row r="10737" spans="19:19" ht="15.75">
      <c r="S10737" s="1"/>
    </row>
    <row r="10738" spans="19:19" ht="15.75">
      <c r="S10738" s="1"/>
    </row>
    <row r="10739" spans="19:19" ht="15.75">
      <c r="S10739" s="1"/>
    </row>
    <row r="10740" spans="19:19" ht="15.75">
      <c r="S10740" s="1"/>
    </row>
    <row r="10741" spans="19:19" ht="15.75">
      <c r="S10741" s="1"/>
    </row>
    <row r="10742" spans="19:19" ht="15.75">
      <c r="S10742" s="1"/>
    </row>
    <row r="10743" spans="19:19" ht="15.75">
      <c r="S10743" s="1"/>
    </row>
    <row r="10744" spans="19:19" ht="15.75">
      <c r="S10744" s="1"/>
    </row>
    <row r="10745" spans="19:19" ht="15.75">
      <c r="S10745" s="1"/>
    </row>
    <row r="10746" spans="19:19" ht="15.75">
      <c r="S10746" s="1"/>
    </row>
    <row r="10747" spans="19:19" ht="15.75">
      <c r="S10747" s="1"/>
    </row>
    <row r="10748" spans="19:19" ht="15.75">
      <c r="S10748" s="1"/>
    </row>
    <row r="10749" spans="19:19" ht="15.75">
      <c r="S10749" s="1"/>
    </row>
    <row r="10750" spans="19:19" ht="15.75">
      <c r="S10750" s="1"/>
    </row>
    <row r="10751" spans="19:19" ht="15.75">
      <c r="S10751" s="1"/>
    </row>
    <row r="10752" spans="19:19" ht="15.75">
      <c r="S10752" s="1"/>
    </row>
    <row r="10753" spans="19:19" ht="15.75">
      <c r="S10753" s="1"/>
    </row>
    <row r="10754" spans="19:19" ht="15.75">
      <c r="S10754" s="1"/>
    </row>
    <row r="10755" spans="19:19" ht="15.75">
      <c r="S10755" s="1"/>
    </row>
    <row r="10756" spans="19:19" ht="15.75">
      <c r="S10756" s="1"/>
    </row>
    <row r="10757" spans="19:19" ht="15.75">
      <c r="S10757" s="1"/>
    </row>
    <row r="10758" spans="19:19" ht="15.75">
      <c r="S10758" s="1"/>
    </row>
    <row r="10759" spans="19:19" ht="15.75">
      <c r="S10759" s="1"/>
    </row>
    <row r="10760" spans="19:19" ht="15.75">
      <c r="S10760" s="1"/>
    </row>
    <row r="10761" spans="19:19" ht="15.75">
      <c r="S10761" s="1"/>
    </row>
    <row r="10762" spans="19:19" ht="15.75">
      <c r="S10762" s="1"/>
    </row>
    <row r="10763" spans="19:19" ht="15.75">
      <c r="S10763" s="1"/>
    </row>
    <row r="10764" spans="19:19" ht="15.75">
      <c r="S10764" s="1"/>
    </row>
    <row r="10765" spans="19:19" ht="15.75">
      <c r="S10765" s="1"/>
    </row>
    <row r="10766" spans="19:19" ht="15.75">
      <c r="S10766" s="1"/>
    </row>
    <row r="10767" spans="19:19" ht="15.75">
      <c r="S10767" s="1"/>
    </row>
    <row r="10768" spans="19:19" ht="15.75">
      <c r="S10768" s="1"/>
    </row>
    <row r="10769" spans="19:19" ht="15.75">
      <c r="S10769" s="1"/>
    </row>
    <row r="10770" spans="19:19" ht="15.75">
      <c r="S10770" s="1"/>
    </row>
    <row r="10771" spans="19:19" ht="15.75">
      <c r="S10771" s="1"/>
    </row>
    <row r="10772" spans="19:19" ht="15.75">
      <c r="S10772" s="1"/>
    </row>
    <row r="10773" spans="19:19" ht="15.75">
      <c r="S10773" s="1"/>
    </row>
    <row r="10774" spans="19:19" ht="15.75">
      <c r="S10774" s="1"/>
    </row>
    <row r="10775" spans="19:19" ht="15.75">
      <c r="S10775" s="1"/>
    </row>
    <row r="10776" spans="19:19" ht="15.75">
      <c r="S10776" s="1"/>
    </row>
    <row r="10777" spans="19:19" ht="15.75">
      <c r="S10777" s="1"/>
    </row>
    <row r="10778" spans="19:19" ht="15.75">
      <c r="S10778" s="1"/>
    </row>
    <row r="10779" spans="19:19" ht="15.75">
      <c r="S10779" s="1"/>
    </row>
    <row r="10780" spans="19:19" ht="15.75">
      <c r="S10780" s="1"/>
    </row>
    <row r="10781" spans="19:19" ht="15.75">
      <c r="S10781" s="1"/>
    </row>
    <row r="10782" spans="19:19" ht="15.75">
      <c r="S10782" s="1"/>
    </row>
    <row r="10783" spans="19:19" ht="15.75">
      <c r="S10783" s="1"/>
    </row>
    <row r="10784" spans="19:19" ht="15.75">
      <c r="S10784" s="1"/>
    </row>
    <row r="10785" spans="19:19" ht="15.75">
      <c r="S10785" s="1"/>
    </row>
    <row r="10786" spans="19:19" ht="15.75">
      <c r="S10786" s="1"/>
    </row>
    <row r="10787" spans="19:19" ht="15.75">
      <c r="S10787" s="1"/>
    </row>
    <row r="10788" spans="19:19" ht="15.75">
      <c r="S10788" s="1"/>
    </row>
    <row r="10789" spans="19:19" ht="15.75">
      <c r="S10789" s="1"/>
    </row>
    <row r="10790" spans="19:19" ht="15.75">
      <c r="S10790" s="1"/>
    </row>
    <row r="10791" spans="19:19" ht="15.75">
      <c r="S10791" s="1"/>
    </row>
    <row r="10792" spans="19:19" ht="15.75">
      <c r="S10792" s="1"/>
    </row>
    <row r="10793" spans="19:19" ht="15.75">
      <c r="S10793" s="1"/>
    </row>
    <row r="10794" spans="19:19" ht="15.75">
      <c r="S10794" s="1"/>
    </row>
    <row r="10795" spans="19:19" ht="15.75">
      <c r="S10795" s="1"/>
    </row>
    <row r="10796" spans="19:19" ht="15.75">
      <c r="S10796" s="1"/>
    </row>
    <row r="10797" spans="19:19" ht="15.75">
      <c r="S10797" s="1"/>
    </row>
    <row r="10798" spans="19:19" ht="15.75">
      <c r="S10798" s="1"/>
    </row>
    <row r="10799" spans="19:19" ht="15.75">
      <c r="S10799" s="1"/>
    </row>
    <row r="10800" spans="19:19" ht="15.75">
      <c r="S10800" s="1"/>
    </row>
    <row r="10801" spans="19:19" ht="15.75">
      <c r="S10801" s="1"/>
    </row>
    <row r="10802" spans="19:19" ht="15.75">
      <c r="S10802" s="1"/>
    </row>
    <row r="10803" spans="19:19" ht="15.75">
      <c r="S10803" s="1"/>
    </row>
    <row r="10804" spans="19:19" ht="15.75">
      <c r="S10804" s="1"/>
    </row>
    <row r="10805" spans="19:19" ht="15.75">
      <c r="S10805" s="1"/>
    </row>
    <row r="10806" spans="19:19" ht="15.75">
      <c r="S10806" s="1"/>
    </row>
    <row r="10807" spans="19:19" ht="15.75">
      <c r="S10807" s="1"/>
    </row>
    <row r="10808" spans="19:19" ht="15.75">
      <c r="S10808" s="1"/>
    </row>
    <row r="10809" spans="19:19" ht="15.75">
      <c r="S10809" s="1"/>
    </row>
    <row r="10810" spans="19:19" ht="15.75">
      <c r="S10810" s="1"/>
    </row>
    <row r="10811" spans="19:19" ht="15.75">
      <c r="S10811" s="1"/>
    </row>
    <row r="10812" spans="19:19" ht="15.75">
      <c r="S10812" s="1"/>
    </row>
    <row r="10813" spans="19:19" ht="15.75">
      <c r="S10813" s="1"/>
    </row>
    <row r="10814" spans="19:19" ht="15.75">
      <c r="S10814" s="1"/>
    </row>
    <row r="10815" spans="19:19" ht="15.75">
      <c r="S10815" s="1"/>
    </row>
    <row r="10816" spans="19:19" ht="15.75">
      <c r="S10816" s="1"/>
    </row>
    <row r="10817" spans="19:19" ht="15.75">
      <c r="S10817" s="1"/>
    </row>
    <row r="10818" spans="19:19" ht="15.75">
      <c r="S10818" s="1"/>
    </row>
    <row r="10819" spans="19:19" ht="15.75">
      <c r="S10819" s="1"/>
    </row>
    <row r="10820" spans="19:19" ht="15.75">
      <c r="S10820" s="1"/>
    </row>
    <row r="10821" spans="19:19" ht="15.75">
      <c r="S10821" s="1"/>
    </row>
    <row r="10822" spans="19:19" ht="15.75">
      <c r="S10822" s="1"/>
    </row>
    <row r="10823" spans="19:19" ht="15.75">
      <c r="S10823" s="1"/>
    </row>
    <row r="10824" spans="19:19" ht="15.75">
      <c r="S10824" s="1"/>
    </row>
    <row r="10825" spans="19:19" ht="15.75">
      <c r="S10825" s="1"/>
    </row>
    <row r="10826" spans="19:19" ht="15.75">
      <c r="S10826" s="1"/>
    </row>
    <row r="10827" spans="19:19" ht="15.75">
      <c r="S10827" s="1"/>
    </row>
    <row r="10828" spans="19:19" ht="15.75">
      <c r="S10828" s="1"/>
    </row>
    <row r="10829" spans="19:19" ht="15.75">
      <c r="S10829" s="1"/>
    </row>
    <row r="10830" spans="19:19" ht="15.75">
      <c r="S10830" s="1"/>
    </row>
    <row r="10831" spans="19:19" ht="15.75">
      <c r="S10831" s="1"/>
    </row>
    <row r="10832" spans="19:19" ht="15.75">
      <c r="S10832" s="1"/>
    </row>
    <row r="10833" spans="19:19" ht="15.75">
      <c r="S10833" s="1"/>
    </row>
    <row r="10834" spans="19:19" ht="15.75">
      <c r="S10834" s="1"/>
    </row>
    <row r="10835" spans="19:19" ht="15.75">
      <c r="S10835" s="1"/>
    </row>
    <row r="10836" spans="19:19" ht="15.75">
      <c r="S10836" s="1"/>
    </row>
    <row r="10837" spans="19:19" ht="15.75">
      <c r="S10837" s="1"/>
    </row>
    <row r="10838" spans="19:19" ht="15.75">
      <c r="S10838" s="1"/>
    </row>
    <row r="10839" spans="19:19" ht="15.75">
      <c r="S10839" s="1"/>
    </row>
    <row r="10840" spans="19:19" ht="15.75">
      <c r="S10840" s="1"/>
    </row>
    <row r="10841" spans="19:19" ht="15.75">
      <c r="S10841" s="1"/>
    </row>
    <row r="10842" spans="19:19" ht="15.75">
      <c r="S10842" s="1"/>
    </row>
    <row r="10843" spans="19:19" ht="15.75">
      <c r="S10843" s="1"/>
    </row>
    <row r="10844" spans="19:19" ht="15.75">
      <c r="S10844" s="1"/>
    </row>
    <row r="10845" spans="19:19" ht="15.75">
      <c r="S10845" s="1"/>
    </row>
    <row r="10846" spans="19:19" ht="15.75">
      <c r="S10846" s="1"/>
    </row>
    <row r="10847" spans="19:19" ht="15.75">
      <c r="S10847" s="1"/>
    </row>
    <row r="10848" spans="19:19" ht="15.75">
      <c r="S10848" s="1"/>
    </row>
    <row r="10849" spans="19:19" ht="15.75">
      <c r="S10849" s="1"/>
    </row>
    <row r="10850" spans="19:19" ht="15.75">
      <c r="S10850" s="1"/>
    </row>
    <row r="10851" spans="19:19" ht="15.75">
      <c r="S10851" s="1"/>
    </row>
    <row r="10852" spans="19:19" ht="15.75">
      <c r="S10852" s="1"/>
    </row>
    <row r="10853" spans="19:19" ht="15.75">
      <c r="S10853" s="1"/>
    </row>
    <row r="10854" spans="19:19" ht="15.75">
      <c r="S10854" s="1"/>
    </row>
    <row r="10855" spans="19:19" ht="15.75">
      <c r="S10855" s="1"/>
    </row>
    <row r="10856" spans="19:19" ht="15.75">
      <c r="S10856" s="1"/>
    </row>
    <row r="10857" spans="19:19" ht="15.75">
      <c r="S10857" s="1"/>
    </row>
    <row r="10858" spans="19:19" ht="15.75">
      <c r="S10858" s="1"/>
    </row>
    <row r="10859" spans="19:19" ht="15.75">
      <c r="S10859" s="1"/>
    </row>
    <row r="10860" spans="19:19" ht="15.75">
      <c r="S10860" s="1"/>
    </row>
    <row r="10861" spans="19:19" ht="15.75">
      <c r="S10861" s="1"/>
    </row>
    <row r="10862" spans="19:19" ht="15.75">
      <c r="S10862" s="1"/>
    </row>
    <row r="10863" spans="19:19" ht="15.75">
      <c r="S10863" s="1"/>
    </row>
    <row r="10864" spans="19:19" ht="15.75">
      <c r="S10864" s="1"/>
    </row>
    <row r="10865" spans="19:19" ht="15.75">
      <c r="S10865" s="1"/>
    </row>
    <row r="10866" spans="19:19" ht="15.75">
      <c r="S10866" s="1"/>
    </row>
    <row r="10867" spans="19:19" ht="15.75">
      <c r="S10867" s="1"/>
    </row>
    <row r="10868" spans="19:19" ht="15.75">
      <c r="S10868" s="1"/>
    </row>
    <row r="10869" spans="19:19" ht="15.75">
      <c r="S10869" s="1"/>
    </row>
    <row r="10870" spans="19:19" ht="15.75">
      <c r="S10870" s="1"/>
    </row>
    <row r="10871" spans="19:19" ht="15.75">
      <c r="S10871" s="1"/>
    </row>
    <row r="10872" spans="19:19" ht="15.75">
      <c r="S10872" s="1"/>
    </row>
    <row r="10873" spans="19:19" ht="15.75">
      <c r="S10873" s="1"/>
    </row>
    <row r="10874" spans="19:19" ht="15.75">
      <c r="S10874" s="1"/>
    </row>
    <row r="10875" spans="19:19" ht="15.75">
      <c r="S10875" s="1"/>
    </row>
    <row r="10876" spans="19:19" ht="15.75">
      <c r="S10876" s="1"/>
    </row>
    <row r="10877" spans="19:19" ht="15.75">
      <c r="S10877" s="1"/>
    </row>
    <row r="10878" spans="19:19" ht="15.75">
      <c r="S10878" s="1"/>
    </row>
    <row r="10879" spans="19:19" ht="15.75">
      <c r="S10879" s="1"/>
    </row>
    <row r="10880" spans="19:19" ht="15.75">
      <c r="S10880" s="1"/>
    </row>
    <row r="10881" spans="19:19" ht="15.75">
      <c r="S10881" s="1"/>
    </row>
    <row r="10882" spans="19:19" ht="15.75">
      <c r="S10882" s="1"/>
    </row>
    <row r="10883" spans="19:19" ht="15.75">
      <c r="S10883" s="1"/>
    </row>
    <row r="10884" spans="19:19" ht="15.75">
      <c r="S10884" s="1"/>
    </row>
    <row r="10885" spans="19:19" ht="15.75">
      <c r="S10885" s="1"/>
    </row>
    <row r="10886" spans="19:19" ht="15.75">
      <c r="S10886" s="1"/>
    </row>
    <row r="10887" spans="19:19" ht="15.75">
      <c r="S10887" s="1"/>
    </row>
    <row r="10888" spans="19:19" ht="15.75">
      <c r="S10888" s="1"/>
    </row>
    <row r="10889" spans="19:19" ht="15.75">
      <c r="S10889" s="1"/>
    </row>
    <row r="10890" spans="19:19" ht="15.75">
      <c r="S10890" s="1"/>
    </row>
    <row r="10891" spans="19:19" ht="15.75">
      <c r="S10891" s="1"/>
    </row>
    <row r="10892" spans="19:19" ht="15.75">
      <c r="S10892" s="1"/>
    </row>
    <row r="10893" spans="19:19" ht="15.75">
      <c r="S10893" s="1"/>
    </row>
    <row r="10894" spans="19:19" ht="15.75">
      <c r="S10894" s="1"/>
    </row>
    <row r="10895" spans="19:19" ht="15.75">
      <c r="S10895" s="1"/>
    </row>
    <row r="10896" spans="19:19" ht="15.75">
      <c r="S10896" s="1"/>
    </row>
    <row r="10897" spans="19:19" ht="15.75">
      <c r="S10897" s="1"/>
    </row>
    <row r="10898" spans="19:19" ht="15.75">
      <c r="S10898" s="1"/>
    </row>
    <row r="10899" spans="19:19" ht="15.75">
      <c r="S10899" s="1"/>
    </row>
    <row r="10900" spans="19:19" ht="15.75">
      <c r="S10900" s="1"/>
    </row>
    <row r="10901" spans="19:19" ht="15.75">
      <c r="S10901" s="1"/>
    </row>
    <row r="10902" spans="19:19" ht="15.75">
      <c r="S10902" s="1"/>
    </row>
    <row r="10903" spans="19:19" ht="15.75">
      <c r="S10903" s="1"/>
    </row>
    <row r="10904" spans="19:19" ht="15.75">
      <c r="S10904" s="1"/>
    </row>
    <row r="10905" spans="19:19" ht="15.75">
      <c r="S10905" s="1"/>
    </row>
    <row r="10906" spans="19:19" ht="15.75">
      <c r="S10906" s="1"/>
    </row>
    <row r="10907" spans="19:19" ht="15.75">
      <c r="S10907" s="1"/>
    </row>
    <row r="10908" spans="19:19" ht="15.75">
      <c r="S10908" s="1"/>
    </row>
    <row r="10909" spans="19:19" ht="15.75">
      <c r="S10909" s="1"/>
    </row>
    <row r="10910" spans="19:19" ht="15.75">
      <c r="S10910" s="1"/>
    </row>
    <row r="10911" spans="19:19" ht="15.75">
      <c r="S10911" s="1"/>
    </row>
    <row r="10912" spans="19:19" ht="15.75">
      <c r="S10912" s="1"/>
    </row>
    <row r="10913" spans="19:19" ht="15.75">
      <c r="S10913" s="1"/>
    </row>
    <row r="10914" spans="19:19" ht="15.75">
      <c r="S10914" s="1"/>
    </row>
    <row r="10915" spans="19:19" ht="15.75">
      <c r="S10915" s="1"/>
    </row>
    <row r="10916" spans="19:19" ht="15.75">
      <c r="S10916" s="1"/>
    </row>
    <row r="10917" spans="19:19" ht="15.75">
      <c r="S10917" s="1"/>
    </row>
    <row r="10918" spans="19:19" ht="15.75">
      <c r="S10918" s="1"/>
    </row>
    <row r="10919" spans="19:19" ht="15.75">
      <c r="S10919" s="1"/>
    </row>
    <row r="10920" spans="19:19" ht="15.75">
      <c r="S10920" s="1"/>
    </row>
    <row r="10921" spans="19:19" ht="15.75">
      <c r="S10921" s="1"/>
    </row>
    <row r="10922" spans="19:19" ht="15.75">
      <c r="S10922" s="1"/>
    </row>
    <row r="10923" spans="19:19" ht="15.75">
      <c r="S10923" s="1"/>
    </row>
    <row r="10924" spans="19:19" ht="15.75">
      <c r="S10924" s="1"/>
    </row>
    <row r="10925" spans="19:19" ht="15.75">
      <c r="S10925" s="1"/>
    </row>
    <row r="10926" spans="19:19" ht="15.75">
      <c r="S10926" s="1"/>
    </row>
    <row r="10927" spans="19:19" ht="15.75">
      <c r="S10927" s="1"/>
    </row>
    <row r="10928" spans="19:19" ht="15.75">
      <c r="S10928" s="1"/>
    </row>
    <row r="10929" spans="19:19" ht="15.75">
      <c r="S10929" s="1"/>
    </row>
    <row r="10930" spans="19:19" ht="15.75">
      <c r="S10930" s="1"/>
    </row>
    <row r="10931" spans="19:19" ht="15.75">
      <c r="S10931" s="1"/>
    </row>
    <row r="10932" spans="19:19" ht="15.75">
      <c r="S10932" s="1"/>
    </row>
    <row r="10933" spans="19:19" ht="15.75">
      <c r="S10933" s="1"/>
    </row>
    <row r="10934" spans="19:19" ht="15.75">
      <c r="S10934" s="1"/>
    </row>
    <row r="10935" spans="19:19" ht="15.75">
      <c r="S10935" s="1"/>
    </row>
    <row r="10936" spans="19:19" ht="15.75">
      <c r="S10936" s="1"/>
    </row>
    <row r="10937" spans="19:19" ht="15.75">
      <c r="S10937" s="1"/>
    </row>
    <row r="10938" spans="19:19" ht="15.75">
      <c r="S10938" s="1"/>
    </row>
    <row r="10939" spans="19:19" ht="15.75">
      <c r="S10939" s="1"/>
    </row>
    <row r="10940" spans="19:19" ht="15.75">
      <c r="S10940" s="1"/>
    </row>
    <row r="10941" spans="19:19" ht="15.75">
      <c r="S10941" s="1"/>
    </row>
    <row r="10942" spans="19:19" ht="15.75">
      <c r="S10942" s="1"/>
    </row>
    <row r="10943" spans="19:19" ht="15.75">
      <c r="S10943" s="1"/>
    </row>
    <row r="10944" spans="19:19" ht="15.75">
      <c r="S10944" s="1"/>
    </row>
    <row r="10945" spans="19:19" ht="15.75">
      <c r="S10945" s="1"/>
    </row>
    <row r="10946" spans="19:19" ht="15.75">
      <c r="S10946" s="1"/>
    </row>
    <row r="10947" spans="19:19" ht="15.75">
      <c r="S10947" s="1"/>
    </row>
    <row r="10948" spans="19:19" ht="15.75">
      <c r="S10948" s="1"/>
    </row>
    <row r="10949" spans="19:19" ht="15.75">
      <c r="S10949" s="1"/>
    </row>
    <row r="10950" spans="19:19" ht="15.75">
      <c r="S10950" s="1"/>
    </row>
    <row r="10951" spans="19:19" ht="15.75">
      <c r="S10951" s="1"/>
    </row>
    <row r="10952" spans="19:19" ht="15.75">
      <c r="S10952" s="1"/>
    </row>
    <row r="10953" spans="19:19" ht="15.75">
      <c r="S10953" s="1"/>
    </row>
    <row r="10954" spans="19:19" ht="15.75">
      <c r="S10954" s="1"/>
    </row>
    <row r="10955" spans="19:19" ht="15.75">
      <c r="S10955" s="1"/>
    </row>
    <row r="10956" spans="19:19" ht="15.75">
      <c r="S10956" s="1"/>
    </row>
    <row r="10957" spans="19:19" ht="15.75">
      <c r="S10957" s="1"/>
    </row>
    <row r="10958" spans="19:19" ht="15.75">
      <c r="S10958" s="1"/>
    </row>
    <row r="10959" spans="19:19" ht="15.75">
      <c r="S10959" s="1"/>
    </row>
    <row r="10960" spans="19:19" ht="15.75">
      <c r="S10960" s="1"/>
    </row>
    <row r="10961" spans="19:19" ht="15.75">
      <c r="S10961" s="1"/>
    </row>
    <row r="10962" spans="19:19" ht="15.75">
      <c r="S10962" s="1"/>
    </row>
    <row r="10963" spans="19:19" ht="15.75">
      <c r="S10963" s="1"/>
    </row>
    <row r="10964" spans="19:19" ht="15.75">
      <c r="S10964" s="1"/>
    </row>
    <row r="10965" spans="19:19" ht="15.75">
      <c r="S10965" s="1"/>
    </row>
    <row r="10966" spans="19:19" ht="15.75">
      <c r="S10966" s="1"/>
    </row>
    <row r="10967" spans="19:19" ht="15.75">
      <c r="S10967" s="1"/>
    </row>
    <row r="10968" spans="19:19" ht="15.75">
      <c r="S10968" s="1"/>
    </row>
    <row r="10969" spans="19:19" ht="15.75">
      <c r="S10969" s="1"/>
    </row>
    <row r="10970" spans="19:19" ht="15.75">
      <c r="S10970" s="1"/>
    </row>
    <row r="10971" spans="19:19" ht="15.75">
      <c r="S10971" s="1"/>
    </row>
    <row r="10972" spans="19:19" ht="15.75">
      <c r="S10972" s="1"/>
    </row>
    <row r="10973" spans="19:19" ht="15.75">
      <c r="S10973" s="1"/>
    </row>
    <row r="10974" spans="19:19" ht="15.75">
      <c r="S10974" s="1"/>
    </row>
    <row r="10975" spans="19:19" ht="15.75">
      <c r="S10975" s="1"/>
    </row>
    <row r="10976" spans="19:19" ht="15.75">
      <c r="S10976" s="1"/>
    </row>
    <row r="10977" spans="19:19" ht="15.75">
      <c r="S10977" s="1"/>
    </row>
    <row r="10978" spans="19:19" ht="15.75">
      <c r="S10978" s="1"/>
    </row>
    <row r="10979" spans="19:19" ht="15.75">
      <c r="S10979" s="1"/>
    </row>
    <row r="10980" spans="19:19" ht="15.75">
      <c r="S10980" s="1"/>
    </row>
    <row r="10981" spans="19:19" ht="15.75">
      <c r="S10981" s="1"/>
    </row>
    <row r="10982" spans="19:19" ht="15.75">
      <c r="S10982" s="1"/>
    </row>
    <row r="10983" spans="19:19" ht="15.75">
      <c r="S10983" s="1"/>
    </row>
    <row r="10984" spans="19:19" ht="15.75">
      <c r="S10984" s="1"/>
    </row>
    <row r="10985" spans="19:19" ht="15.75">
      <c r="S10985" s="1"/>
    </row>
    <row r="10986" spans="19:19" ht="15.75">
      <c r="S10986" s="1"/>
    </row>
    <row r="10987" spans="19:19" ht="15.75">
      <c r="S10987" s="1"/>
    </row>
    <row r="10988" spans="19:19" ht="15.75">
      <c r="S10988" s="1"/>
    </row>
    <row r="10989" spans="19:19" ht="15.75">
      <c r="S10989" s="1"/>
    </row>
    <row r="10990" spans="19:19" ht="15.75">
      <c r="S10990" s="1"/>
    </row>
    <row r="10991" spans="19:19" ht="15.75">
      <c r="S10991" s="1"/>
    </row>
    <row r="10992" spans="19:19" ht="15.75">
      <c r="S10992" s="1"/>
    </row>
    <row r="10993" spans="19:19" ht="15.75">
      <c r="S10993" s="1"/>
    </row>
    <row r="10994" spans="19:19" ht="15.75">
      <c r="S10994" s="1"/>
    </row>
    <row r="10995" spans="19:19" ht="15.75">
      <c r="S10995" s="1"/>
    </row>
    <row r="10996" spans="19:19" ht="15.75">
      <c r="S10996" s="1"/>
    </row>
    <row r="10997" spans="19:19" ht="15.75">
      <c r="S10997" s="1"/>
    </row>
    <row r="10998" spans="19:19" ht="15.75">
      <c r="S10998" s="1"/>
    </row>
    <row r="10999" spans="19:19" ht="15.75">
      <c r="S10999" s="1"/>
    </row>
    <row r="11000" spans="19:19" ht="15.75">
      <c r="S11000" s="1"/>
    </row>
    <row r="11001" spans="19:19" ht="15.75">
      <c r="S11001" s="1"/>
    </row>
    <row r="11002" spans="19:19" ht="15.75">
      <c r="S11002" s="1"/>
    </row>
    <row r="11003" spans="19:19" ht="15.75">
      <c r="S11003" s="1"/>
    </row>
    <row r="11004" spans="19:19" ht="15.75">
      <c r="S11004" s="1"/>
    </row>
    <row r="11005" spans="19:19" ht="15.75">
      <c r="S11005" s="1"/>
    </row>
    <row r="11006" spans="19:19" ht="15.75">
      <c r="S11006" s="1"/>
    </row>
    <row r="11007" spans="19:19" ht="15.75">
      <c r="S11007" s="1"/>
    </row>
    <row r="11008" spans="19:19" ht="15.75">
      <c r="S11008" s="1"/>
    </row>
    <row r="11009" spans="19:19" ht="15.75">
      <c r="S11009" s="1"/>
    </row>
    <row r="11010" spans="19:19" ht="15.75">
      <c r="S11010" s="1"/>
    </row>
    <row r="11011" spans="19:19" ht="15.75">
      <c r="S11011" s="1"/>
    </row>
    <row r="11012" spans="19:19" ht="15.75">
      <c r="S11012" s="1"/>
    </row>
    <row r="11013" spans="19:19" ht="15.75">
      <c r="S11013" s="1"/>
    </row>
    <row r="11014" spans="19:19" ht="15.75">
      <c r="S11014" s="1"/>
    </row>
    <row r="11015" spans="19:19" ht="15.75">
      <c r="S11015" s="1"/>
    </row>
    <row r="11016" spans="19:19" ht="15.75">
      <c r="S11016" s="1"/>
    </row>
    <row r="11017" spans="19:19" ht="15.75">
      <c r="S11017" s="1"/>
    </row>
    <row r="11018" spans="19:19" ht="15.75">
      <c r="S11018" s="1"/>
    </row>
    <row r="11019" spans="19:19" ht="15.75">
      <c r="S11019" s="1"/>
    </row>
    <row r="11020" spans="19:19" ht="15.75">
      <c r="S11020" s="1"/>
    </row>
    <row r="11021" spans="19:19" ht="15.75">
      <c r="S11021" s="1"/>
    </row>
    <row r="11022" spans="19:19" ht="15.75">
      <c r="S11022" s="1"/>
    </row>
    <row r="11023" spans="19:19" ht="15.75">
      <c r="S11023" s="1"/>
    </row>
    <row r="11024" spans="19:19" ht="15.75">
      <c r="S11024" s="1"/>
    </row>
    <row r="11025" spans="19:19" ht="15.75">
      <c r="S11025" s="1"/>
    </row>
    <row r="11026" spans="19:19" ht="15.75">
      <c r="S11026" s="1"/>
    </row>
    <row r="11027" spans="19:19" ht="15.75">
      <c r="S11027" s="1"/>
    </row>
    <row r="11028" spans="19:19" ht="15.75">
      <c r="S11028" s="1"/>
    </row>
    <row r="11029" spans="19:19" ht="15.75">
      <c r="S11029" s="1"/>
    </row>
    <row r="11030" spans="19:19" ht="15.75">
      <c r="S11030" s="1"/>
    </row>
    <row r="11031" spans="19:19" ht="15.75">
      <c r="S11031" s="1"/>
    </row>
    <row r="11032" spans="19:19" ht="15.75">
      <c r="S11032" s="1"/>
    </row>
    <row r="11033" spans="19:19" ht="15.75">
      <c r="S11033" s="1"/>
    </row>
    <row r="11034" spans="19:19" ht="15.75">
      <c r="S11034" s="1"/>
    </row>
    <row r="11035" spans="19:19" ht="15.75">
      <c r="S11035" s="1"/>
    </row>
    <row r="11036" spans="19:19" ht="15.75">
      <c r="S11036" s="1"/>
    </row>
    <row r="11037" spans="19:19" ht="15.75">
      <c r="S11037" s="1"/>
    </row>
    <row r="11038" spans="19:19" ht="15.75">
      <c r="S11038" s="1"/>
    </row>
    <row r="11039" spans="19:19" ht="15.75">
      <c r="S11039" s="1"/>
    </row>
    <row r="11040" spans="19:19" ht="15.75">
      <c r="S11040" s="1"/>
    </row>
    <row r="11041" spans="19:19" ht="15.75">
      <c r="S11041" s="1"/>
    </row>
    <row r="11042" spans="19:19" ht="15.75">
      <c r="S11042" s="1"/>
    </row>
    <row r="11043" spans="19:19" ht="15.75">
      <c r="S11043" s="1"/>
    </row>
    <row r="11044" spans="19:19" ht="15.75">
      <c r="S11044" s="1"/>
    </row>
    <row r="11045" spans="19:19" ht="15.75">
      <c r="S11045" s="1"/>
    </row>
    <row r="11046" spans="19:19" ht="15.75">
      <c r="S11046" s="1"/>
    </row>
    <row r="11047" spans="19:19" ht="15.75">
      <c r="S11047" s="1"/>
    </row>
    <row r="11048" spans="19:19" ht="15.75">
      <c r="S11048" s="1"/>
    </row>
    <row r="11049" spans="19:19" ht="15.75">
      <c r="S11049" s="1"/>
    </row>
    <row r="11050" spans="19:19" ht="15.75">
      <c r="S11050" s="1"/>
    </row>
    <row r="11051" spans="19:19" ht="15.75">
      <c r="S11051" s="1"/>
    </row>
    <row r="11052" spans="19:19" ht="15.75">
      <c r="S11052" s="1"/>
    </row>
    <row r="11053" spans="19:19" ht="15.75">
      <c r="S11053" s="1"/>
    </row>
    <row r="11054" spans="19:19" ht="15.75">
      <c r="S11054" s="1"/>
    </row>
    <row r="11055" spans="19:19" ht="15.75">
      <c r="S11055" s="1"/>
    </row>
    <row r="11056" spans="19:19" ht="15.75">
      <c r="S11056" s="1"/>
    </row>
    <row r="11057" spans="19:19" ht="15.75">
      <c r="S11057" s="1"/>
    </row>
    <row r="11058" spans="19:19" ht="15.75">
      <c r="S11058" s="1"/>
    </row>
    <row r="11059" spans="19:19" ht="15.75">
      <c r="S11059" s="1"/>
    </row>
    <row r="11060" spans="19:19" ht="15.75">
      <c r="S11060" s="1"/>
    </row>
    <row r="11061" spans="19:19" ht="15.75">
      <c r="S11061" s="1"/>
    </row>
    <row r="11062" spans="19:19" ht="15.75">
      <c r="S11062" s="1"/>
    </row>
    <row r="11063" spans="19:19" ht="15.75">
      <c r="S11063" s="1"/>
    </row>
    <row r="11064" spans="19:19" ht="15.75">
      <c r="S11064" s="1"/>
    </row>
    <row r="11065" spans="19:19" ht="15.75">
      <c r="S11065" s="1"/>
    </row>
    <row r="11066" spans="19:19" ht="15.75">
      <c r="S11066" s="1"/>
    </row>
    <row r="11067" spans="19:19" ht="15.75">
      <c r="S11067" s="1"/>
    </row>
    <row r="11068" spans="19:19" ht="15.75">
      <c r="S11068" s="1"/>
    </row>
    <row r="11069" spans="19:19" ht="15.75">
      <c r="S11069" s="1"/>
    </row>
    <row r="11070" spans="19:19" ht="15.75">
      <c r="S11070" s="1"/>
    </row>
    <row r="11071" spans="19:19" ht="15.75">
      <c r="S11071" s="1"/>
    </row>
    <row r="11072" spans="19:19" ht="15.75">
      <c r="S11072" s="1"/>
    </row>
    <row r="11073" spans="19:19" ht="15.75">
      <c r="S11073" s="1"/>
    </row>
    <row r="11074" spans="19:19" ht="15.75">
      <c r="S11074" s="1"/>
    </row>
    <row r="11075" spans="19:19" ht="15.75">
      <c r="S11075" s="1"/>
    </row>
    <row r="11076" spans="19:19" ht="15.75">
      <c r="S11076" s="1"/>
    </row>
    <row r="11077" spans="19:19" ht="15.75">
      <c r="S11077" s="1"/>
    </row>
    <row r="11078" spans="19:19" ht="15.75">
      <c r="S11078" s="1"/>
    </row>
    <row r="11079" spans="19:19" ht="15.75">
      <c r="S11079" s="1"/>
    </row>
    <row r="11080" spans="19:19" ht="15.75">
      <c r="S11080" s="1"/>
    </row>
    <row r="11081" spans="19:19" ht="15.75">
      <c r="S11081" s="1"/>
    </row>
    <row r="11082" spans="19:19" ht="15.75">
      <c r="S11082" s="1"/>
    </row>
    <row r="11083" spans="19:19" ht="15.75">
      <c r="S11083" s="1"/>
    </row>
    <row r="11084" spans="19:19" ht="15.75">
      <c r="S11084" s="1"/>
    </row>
    <row r="11085" spans="19:19" ht="15.75">
      <c r="S11085" s="1"/>
    </row>
    <row r="11086" spans="19:19" ht="15.75">
      <c r="S11086" s="1"/>
    </row>
    <row r="11087" spans="19:19" ht="15.75">
      <c r="S11087" s="1"/>
    </row>
    <row r="11088" spans="19:19" ht="15.75">
      <c r="S11088" s="1"/>
    </row>
    <row r="11089" spans="19:19" ht="15.75">
      <c r="S11089" s="1"/>
    </row>
    <row r="11090" spans="19:19" ht="15.75">
      <c r="S11090" s="1"/>
    </row>
    <row r="11091" spans="19:19" ht="15.75">
      <c r="S11091" s="1"/>
    </row>
    <row r="11092" spans="19:19" ht="15.75">
      <c r="S11092" s="1"/>
    </row>
    <row r="11093" spans="19:19" ht="15.75">
      <c r="S11093" s="1"/>
    </row>
    <row r="11094" spans="19:19" ht="15.75">
      <c r="S11094" s="1"/>
    </row>
    <row r="11095" spans="19:19" ht="15.75">
      <c r="S11095" s="1"/>
    </row>
    <row r="11096" spans="19:19" ht="15.75">
      <c r="S11096" s="1"/>
    </row>
    <row r="11097" spans="19:19" ht="15.75">
      <c r="S11097" s="1"/>
    </row>
    <row r="11098" spans="19:19" ht="15.75">
      <c r="S11098" s="1"/>
    </row>
    <row r="11099" spans="19:19" ht="15.75">
      <c r="S11099" s="1"/>
    </row>
    <row r="11100" spans="19:19" ht="15.75">
      <c r="S11100" s="1"/>
    </row>
    <row r="11101" spans="19:19" ht="15.75">
      <c r="S11101" s="1"/>
    </row>
    <row r="11102" spans="19:19" ht="15.75">
      <c r="S11102" s="1"/>
    </row>
    <row r="11103" spans="19:19" ht="15.75">
      <c r="S11103" s="1"/>
    </row>
    <row r="11104" spans="19:19" ht="15.75">
      <c r="S11104" s="1"/>
    </row>
    <row r="11105" spans="19:19" ht="15.75">
      <c r="S11105" s="1"/>
    </row>
    <row r="11106" spans="19:19" ht="15.75">
      <c r="S11106" s="1"/>
    </row>
    <row r="11107" spans="19:19" ht="15.75">
      <c r="S11107" s="1"/>
    </row>
    <row r="11108" spans="19:19" ht="15.75">
      <c r="S11108" s="1"/>
    </row>
    <row r="11109" spans="19:19" ht="15.75">
      <c r="S11109" s="1"/>
    </row>
    <row r="11110" spans="19:19" ht="15.75">
      <c r="S11110" s="1"/>
    </row>
    <row r="11111" spans="19:19" ht="15.75">
      <c r="S11111" s="1"/>
    </row>
    <row r="11112" spans="19:19" ht="15.75">
      <c r="S11112" s="1"/>
    </row>
    <row r="11113" spans="19:19" ht="15.75">
      <c r="S11113" s="1"/>
    </row>
    <row r="11114" spans="19:19" ht="15.75">
      <c r="S11114" s="1"/>
    </row>
    <row r="11115" spans="19:19" ht="15.75">
      <c r="S11115" s="1"/>
    </row>
    <row r="11116" spans="19:19" ht="15.75">
      <c r="S11116" s="1"/>
    </row>
    <row r="11117" spans="19:19" ht="15.75">
      <c r="S11117" s="1"/>
    </row>
    <row r="11118" spans="19:19" ht="15.75">
      <c r="S11118" s="1"/>
    </row>
    <row r="11119" spans="19:19" ht="15.75">
      <c r="S11119" s="1"/>
    </row>
    <row r="11120" spans="19:19" ht="15.75">
      <c r="S11120" s="1"/>
    </row>
    <row r="11121" spans="19:19" ht="15.75">
      <c r="S11121" s="1"/>
    </row>
    <row r="11122" spans="19:19" ht="15.75">
      <c r="S11122" s="1"/>
    </row>
    <row r="11123" spans="19:19" ht="15.75">
      <c r="S11123" s="1"/>
    </row>
    <row r="11124" spans="19:19" ht="15.75">
      <c r="S11124" s="1"/>
    </row>
    <row r="11125" spans="19:19" ht="15.75">
      <c r="S11125" s="1"/>
    </row>
    <row r="11126" spans="19:19" ht="15.75">
      <c r="S11126" s="1"/>
    </row>
    <row r="11127" spans="19:19" ht="15.75">
      <c r="S11127" s="1"/>
    </row>
    <row r="11128" spans="19:19" ht="15.75">
      <c r="S11128" s="1"/>
    </row>
    <row r="11129" spans="19:19" ht="15.75">
      <c r="S11129" s="1"/>
    </row>
    <row r="11130" spans="19:19" ht="15.75">
      <c r="S11130" s="1"/>
    </row>
    <row r="11131" spans="19:19" ht="15.75">
      <c r="S11131" s="1"/>
    </row>
    <row r="11132" spans="19:19" ht="15.75">
      <c r="S11132" s="1"/>
    </row>
    <row r="11133" spans="19:19" ht="15.75">
      <c r="S11133" s="1"/>
    </row>
    <row r="11134" spans="19:19" ht="15.75">
      <c r="S11134" s="1"/>
    </row>
    <row r="11135" spans="19:19" ht="15.75">
      <c r="S11135" s="1"/>
    </row>
    <row r="11136" spans="19:19" ht="15.75">
      <c r="S11136" s="1"/>
    </row>
    <row r="11137" spans="19:19" ht="15.75">
      <c r="S11137" s="1"/>
    </row>
    <row r="11138" spans="19:19" ht="15.75">
      <c r="S11138" s="1"/>
    </row>
    <row r="11139" spans="19:19" ht="15.75">
      <c r="S11139" s="1"/>
    </row>
    <row r="11140" spans="19:19" ht="15.75">
      <c r="S11140" s="1"/>
    </row>
    <row r="11141" spans="19:19" ht="15.75">
      <c r="S11141" s="1"/>
    </row>
    <row r="11142" spans="19:19" ht="15.75">
      <c r="S11142" s="1"/>
    </row>
    <row r="11143" spans="19:19" ht="15.75">
      <c r="S11143" s="1"/>
    </row>
    <row r="11144" spans="19:19" ht="15.75">
      <c r="S11144" s="1"/>
    </row>
    <row r="11145" spans="19:19" ht="15.75">
      <c r="S11145" s="1"/>
    </row>
    <row r="11146" spans="19:19" ht="15.75">
      <c r="S11146" s="1"/>
    </row>
    <row r="11147" spans="19:19" ht="15.75">
      <c r="S11147" s="1"/>
    </row>
    <row r="11148" spans="19:19" ht="15.75">
      <c r="S11148" s="1"/>
    </row>
    <row r="11149" spans="19:19" ht="15.75">
      <c r="S11149" s="1"/>
    </row>
    <row r="11150" spans="19:19" ht="15.75">
      <c r="S11150" s="1"/>
    </row>
    <row r="11151" spans="19:19" ht="15.75">
      <c r="S11151" s="1"/>
    </row>
    <row r="11152" spans="19:19" ht="15.75">
      <c r="S11152" s="1"/>
    </row>
    <row r="11153" spans="19:19" ht="15.75">
      <c r="S11153" s="1"/>
    </row>
    <row r="11154" spans="19:19" ht="15.75">
      <c r="S11154" s="1"/>
    </row>
    <row r="11155" spans="19:19" ht="15.75">
      <c r="S11155" s="1"/>
    </row>
    <row r="11156" spans="19:19" ht="15.75">
      <c r="S11156" s="1"/>
    </row>
    <row r="11157" spans="19:19" ht="15.75">
      <c r="S11157" s="1"/>
    </row>
    <row r="11158" spans="19:19" ht="15.75">
      <c r="S11158" s="1"/>
    </row>
    <row r="11159" spans="19:19" ht="15.75">
      <c r="S11159" s="1"/>
    </row>
    <row r="11160" spans="19:19" ht="15.75">
      <c r="S11160" s="1"/>
    </row>
    <row r="11161" spans="19:19" ht="15.75">
      <c r="S11161" s="1"/>
    </row>
    <row r="11162" spans="19:19" ht="15.75">
      <c r="S11162" s="1"/>
    </row>
    <row r="11163" spans="19:19" ht="15.75">
      <c r="S11163" s="1"/>
    </row>
    <row r="11164" spans="19:19" ht="15.75">
      <c r="S11164" s="1"/>
    </row>
    <row r="11165" spans="19:19" ht="15.75">
      <c r="S11165" s="1"/>
    </row>
    <row r="11166" spans="19:19" ht="15.75">
      <c r="S11166" s="1"/>
    </row>
    <row r="11167" spans="19:19" ht="15.75">
      <c r="S11167" s="1"/>
    </row>
    <row r="11168" spans="19:19" ht="15.75">
      <c r="S11168" s="1"/>
    </row>
    <row r="11169" spans="19:19" ht="15.75">
      <c r="S11169" s="1"/>
    </row>
    <row r="11170" spans="19:19" ht="15.75">
      <c r="S11170" s="1"/>
    </row>
    <row r="11171" spans="19:19" ht="15.75">
      <c r="S11171" s="1"/>
    </row>
    <row r="11172" spans="19:19" ht="15.75">
      <c r="S11172" s="1"/>
    </row>
    <row r="11173" spans="19:19" ht="15.75">
      <c r="S11173" s="1"/>
    </row>
    <row r="11174" spans="19:19" ht="15.75">
      <c r="S11174" s="1"/>
    </row>
    <row r="11175" spans="19:19" ht="15.75">
      <c r="S11175" s="1"/>
    </row>
    <row r="11176" spans="19:19" ht="15.75">
      <c r="S11176" s="1"/>
    </row>
    <row r="11177" spans="19:19" ht="15.75">
      <c r="S11177" s="1"/>
    </row>
    <row r="11178" spans="19:19" ht="15.75">
      <c r="S11178" s="1"/>
    </row>
    <row r="11179" spans="19:19" ht="15.75">
      <c r="S11179" s="1"/>
    </row>
    <row r="11180" spans="19:19" ht="15.75">
      <c r="S11180" s="1"/>
    </row>
    <row r="11181" spans="19:19" ht="15.75">
      <c r="S11181" s="1"/>
    </row>
    <row r="11182" spans="19:19" ht="15.75">
      <c r="S11182" s="1"/>
    </row>
    <row r="11183" spans="19:19" ht="15.75">
      <c r="S11183" s="1"/>
    </row>
    <row r="11184" spans="19:19" ht="15.75">
      <c r="S11184" s="1"/>
    </row>
    <row r="11185" spans="19:19" ht="15.75">
      <c r="S11185" s="1"/>
    </row>
    <row r="11186" spans="19:19" ht="15.75">
      <c r="S11186" s="1"/>
    </row>
    <row r="11187" spans="19:19" ht="15.75">
      <c r="S11187" s="1"/>
    </row>
    <row r="11188" spans="19:19" ht="15.75">
      <c r="S11188" s="1"/>
    </row>
    <row r="11189" spans="19:19" ht="15.75">
      <c r="S11189" s="1"/>
    </row>
    <row r="11190" spans="19:19" ht="15.75">
      <c r="S11190" s="1"/>
    </row>
    <row r="11191" spans="19:19" ht="15.75">
      <c r="S11191" s="1"/>
    </row>
    <row r="11192" spans="19:19" ht="15.75">
      <c r="S11192" s="1"/>
    </row>
    <row r="11193" spans="19:19" ht="15.75">
      <c r="S11193" s="1"/>
    </row>
    <row r="11194" spans="19:19" ht="15.75">
      <c r="S11194" s="1"/>
    </row>
    <row r="11195" spans="19:19" ht="15.75">
      <c r="S11195" s="1"/>
    </row>
    <row r="11196" spans="19:19" ht="15.75">
      <c r="S11196" s="1"/>
    </row>
    <row r="11197" spans="19:19" ht="15.75">
      <c r="S11197" s="1"/>
    </row>
    <row r="11198" spans="19:19" ht="15.75">
      <c r="S11198" s="1"/>
    </row>
    <row r="11199" spans="19:19" ht="15.75">
      <c r="S11199" s="1"/>
    </row>
    <row r="11200" spans="19:19" ht="15.75">
      <c r="S11200" s="1"/>
    </row>
    <row r="11201" spans="19:19" ht="15.75">
      <c r="S11201" s="1"/>
    </row>
    <row r="11202" spans="19:19" ht="15.75">
      <c r="S11202" s="1"/>
    </row>
    <row r="11203" spans="19:19" ht="15.75">
      <c r="S11203" s="1"/>
    </row>
    <row r="11204" spans="19:19" ht="15.75">
      <c r="S11204" s="1"/>
    </row>
    <row r="11205" spans="19:19" ht="15.75">
      <c r="S11205" s="1"/>
    </row>
    <row r="11206" spans="19:19" ht="15.75">
      <c r="S11206" s="1"/>
    </row>
    <row r="11207" spans="19:19" ht="15.75">
      <c r="S11207" s="1"/>
    </row>
    <row r="11208" spans="19:19" ht="15.75">
      <c r="S11208" s="1"/>
    </row>
    <row r="11209" spans="19:19" ht="15.75">
      <c r="S11209" s="1"/>
    </row>
    <row r="11210" spans="19:19" ht="15.75">
      <c r="S11210" s="1"/>
    </row>
    <row r="11211" spans="19:19" ht="15.75">
      <c r="S11211" s="1"/>
    </row>
    <row r="11212" spans="19:19" ht="15.75">
      <c r="S11212" s="1"/>
    </row>
    <row r="11213" spans="19:19" ht="15.75">
      <c r="S11213" s="1"/>
    </row>
    <row r="11214" spans="19:19" ht="15.75">
      <c r="S11214" s="1"/>
    </row>
    <row r="11215" spans="19:19" ht="15.75">
      <c r="S11215" s="1"/>
    </row>
    <row r="11216" spans="19:19" ht="15.75">
      <c r="S11216" s="1"/>
    </row>
    <row r="11217" spans="19:19" ht="15.75">
      <c r="S11217" s="1"/>
    </row>
    <row r="11218" spans="19:19" ht="15.75">
      <c r="S11218" s="1"/>
    </row>
    <row r="11219" spans="19:19" ht="15.75">
      <c r="S11219" s="1"/>
    </row>
    <row r="11220" spans="19:19" ht="15.75">
      <c r="S11220" s="1"/>
    </row>
    <row r="11221" spans="19:19" ht="15.75">
      <c r="S11221" s="1"/>
    </row>
    <row r="11222" spans="19:19" ht="15.75">
      <c r="S11222" s="1"/>
    </row>
    <row r="11223" spans="19:19" ht="15.75">
      <c r="S11223" s="1"/>
    </row>
    <row r="11224" spans="19:19" ht="15.75">
      <c r="S11224" s="1"/>
    </row>
    <row r="11225" spans="19:19" ht="15.75">
      <c r="S11225" s="1"/>
    </row>
    <row r="11226" spans="19:19" ht="15.75">
      <c r="S11226" s="1"/>
    </row>
    <row r="11227" spans="19:19" ht="15.75">
      <c r="S11227" s="1"/>
    </row>
    <row r="11228" spans="19:19" ht="15.75">
      <c r="S11228" s="1"/>
    </row>
    <row r="11229" spans="19:19" ht="15.75">
      <c r="S11229" s="1"/>
    </row>
    <row r="11230" spans="19:19" ht="15.75">
      <c r="S11230" s="1"/>
    </row>
    <row r="11231" spans="19:19" ht="15.75">
      <c r="S11231" s="1"/>
    </row>
    <row r="11232" spans="19:19" ht="15.75">
      <c r="S11232" s="1"/>
    </row>
    <row r="11233" spans="19:19" ht="15.75">
      <c r="S11233" s="1"/>
    </row>
    <row r="11234" spans="19:19" ht="15.75">
      <c r="S11234" s="1"/>
    </row>
    <row r="11235" spans="19:19" ht="15.75">
      <c r="S11235" s="1"/>
    </row>
    <row r="11236" spans="19:19" ht="15.75">
      <c r="S11236" s="1"/>
    </row>
    <row r="11237" spans="19:19" ht="15.75">
      <c r="S11237" s="1"/>
    </row>
    <row r="11238" spans="19:19" ht="15.75">
      <c r="S11238" s="1"/>
    </row>
    <row r="11239" spans="19:19" ht="15.75">
      <c r="S11239" s="1"/>
    </row>
    <row r="11240" spans="19:19" ht="15.75">
      <c r="S11240" s="1"/>
    </row>
    <row r="11241" spans="19:19" ht="15.75">
      <c r="S11241" s="1"/>
    </row>
    <row r="11242" spans="19:19" ht="15.75">
      <c r="S11242" s="1"/>
    </row>
    <row r="11243" spans="19:19" ht="15.75">
      <c r="S11243" s="1"/>
    </row>
    <row r="11244" spans="19:19" ht="15.75">
      <c r="S11244" s="1"/>
    </row>
    <row r="11245" spans="19:19" ht="15.75">
      <c r="S11245" s="1"/>
    </row>
    <row r="11246" spans="19:19" ht="15.75">
      <c r="S11246" s="1"/>
    </row>
    <row r="11247" spans="19:19" ht="15.75">
      <c r="S11247" s="1"/>
    </row>
    <row r="11248" spans="19:19" ht="15.75">
      <c r="S11248" s="1"/>
    </row>
    <row r="11249" spans="19:19" ht="15.75">
      <c r="S11249" s="1"/>
    </row>
    <row r="11250" spans="19:19" ht="15.75">
      <c r="S11250" s="1"/>
    </row>
    <row r="11251" spans="19:19" ht="15.75">
      <c r="S11251" s="1"/>
    </row>
    <row r="11252" spans="19:19" ht="15.75">
      <c r="S11252" s="1"/>
    </row>
    <row r="11253" spans="19:19" ht="15.75">
      <c r="S11253" s="1"/>
    </row>
    <row r="11254" spans="19:19" ht="15.75">
      <c r="S11254" s="1"/>
    </row>
    <row r="11255" spans="19:19" ht="15.75">
      <c r="S11255" s="1"/>
    </row>
    <row r="11256" spans="19:19" ht="15.75">
      <c r="S11256" s="1"/>
    </row>
    <row r="11257" spans="19:19" ht="15.75">
      <c r="S11257" s="1"/>
    </row>
    <row r="11258" spans="19:19" ht="15.75">
      <c r="S11258" s="1"/>
    </row>
    <row r="11259" spans="19:19" ht="15.75">
      <c r="S11259" s="1"/>
    </row>
    <row r="11260" spans="19:19" ht="15.75">
      <c r="S11260" s="1"/>
    </row>
    <row r="11261" spans="19:19" ht="15.75">
      <c r="S11261" s="1"/>
    </row>
    <row r="11262" spans="19:19" ht="15.75">
      <c r="S11262" s="1"/>
    </row>
    <row r="11263" spans="19:19" ht="15.75">
      <c r="S11263" s="1"/>
    </row>
    <row r="11264" spans="19:19" ht="15.75">
      <c r="S11264" s="1"/>
    </row>
    <row r="11265" spans="19:19" ht="15.75">
      <c r="S11265" s="1"/>
    </row>
    <row r="11266" spans="19:19" ht="15.75">
      <c r="S11266" s="1"/>
    </row>
    <row r="11267" spans="19:19" ht="15.75">
      <c r="S11267" s="1"/>
    </row>
    <row r="11268" spans="19:19" ht="15.75">
      <c r="S11268" s="1"/>
    </row>
    <row r="11269" spans="19:19" ht="15.75">
      <c r="S11269" s="1"/>
    </row>
    <row r="11270" spans="19:19" ht="15.75">
      <c r="S11270" s="1"/>
    </row>
    <row r="11271" spans="19:19" ht="15.75">
      <c r="S11271" s="1"/>
    </row>
    <row r="11272" spans="19:19" ht="15.75">
      <c r="S11272" s="1"/>
    </row>
    <row r="11273" spans="19:19" ht="15.75">
      <c r="S11273" s="1"/>
    </row>
    <row r="11274" spans="19:19" ht="15.75">
      <c r="S11274" s="1"/>
    </row>
    <row r="11275" spans="19:19" ht="15.75">
      <c r="S11275" s="1"/>
    </row>
    <row r="11276" spans="19:19" ht="15.75">
      <c r="S11276" s="1"/>
    </row>
    <row r="11277" spans="19:19" ht="15.75">
      <c r="S11277" s="1"/>
    </row>
    <row r="11278" spans="19:19" ht="15.75">
      <c r="S11278" s="1"/>
    </row>
    <row r="11279" spans="19:19" ht="15.75">
      <c r="S11279" s="1"/>
    </row>
    <row r="11280" spans="19:19" ht="15.75">
      <c r="S11280" s="1"/>
    </row>
    <row r="11281" spans="19:19" ht="15.75">
      <c r="S11281" s="1"/>
    </row>
    <row r="11282" spans="19:19" ht="15.75">
      <c r="S11282" s="1"/>
    </row>
    <row r="11283" spans="19:19" ht="15.75">
      <c r="S11283" s="1"/>
    </row>
    <row r="11284" spans="19:19" ht="15.75">
      <c r="S11284" s="1"/>
    </row>
    <row r="11285" spans="19:19" ht="15.75">
      <c r="S11285" s="1"/>
    </row>
    <row r="11286" spans="19:19" ht="15.75">
      <c r="S11286" s="1"/>
    </row>
    <row r="11287" spans="19:19" ht="15.75">
      <c r="S11287" s="1"/>
    </row>
    <row r="11288" spans="19:19" ht="15.75">
      <c r="S11288" s="1"/>
    </row>
    <row r="11289" spans="19:19" ht="15.75">
      <c r="S11289" s="1"/>
    </row>
    <row r="11290" spans="19:19" ht="15.75">
      <c r="S11290" s="1"/>
    </row>
    <row r="11291" spans="19:19" ht="15.75">
      <c r="S11291" s="1"/>
    </row>
    <row r="11292" spans="19:19" ht="15.75">
      <c r="S11292" s="1"/>
    </row>
    <row r="11293" spans="19:19" ht="15.75">
      <c r="S11293" s="1"/>
    </row>
    <row r="11294" spans="19:19" ht="15.75">
      <c r="S11294" s="1"/>
    </row>
    <row r="11295" spans="19:19" ht="15.75">
      <c r="S11295" s="1"/>
    </row>
    <row r="11296" spans="19:19" ht="15.75">
      <c r="S11296" s="1"/>
    </row>
    <row r="11297" spans="19:19" ht="15.75">
      <c r="S11297" s="1"/>
    </row>
    <row r="11298" spans="19:19" ht="15.75">
      <c r="S11298" s="1"/>
    </row>
    <row r="11299" spans="19:19" ht="15.75">
      <c r="S11299" s="1"/>
    </row>
    <row r="11300" spans="19:19" ht="15.75">
      <c r="S11300" s="1"/>
    </row>
    <row r="11301" spans="19:19" ht="15.75">
      <c r="S11301" s="1"/>
    </row>
    <row r="11302" spans="19:19" ht="15.75">
      <c r="S11302" s="1"/>
    </row>
    <row r="11303" spans="19:19" ht="15.75">
      <c r="S11303" s="1"/>
    </row>
    <row r="11304" spans="19:19" ht="15.75">
      <c r="S11304" s="1"/>
    </row>
    <row r="11305" spans="19:19" ht="15.75">
      <c r="S11305" s="1"/>
    </row>
    <row r="11306" spans="19:19" ht="15.75">
      <c r="S11306" s="1"/>
    </row>
    <row r="11307" spans="19:19" ht="15.75">
      <c r="S11307" s="1"/>
    </row>
    <row r="11308" spans="19:19" ht="15.75">
      <c r="S11308" s="1"/>
    </row>
    <row r="11309" spans="19:19" ht="15.75">
      <c r="S11309" s="1"/>
    </row>
    <row r="11310" spans="19:19" ht="15.75">
      <c r="S11310" s="1"/>
    </row>
    <row r="11311" spans="19:19" ht="15.75">
      <c r="S11311" s="1"/>
    </row>
    <row r="11312" spans="19:19" ht="15.75">
      <c r="S11312" s="1"/>
    </row>
    <row r="11313" spans="19:19" ht="15.75">
      <c r="S11313" s="1"/>
    </row>
    <row r="11314" spans="19:19" ht="15.75">
      <c r="S11314" s="1"/>
    </row>
    <row r="11315" spans="19:19" ht="15.75">
      <c r="S11315" s="1"/>
    </row>
    <row r="11316" spans="19:19" ht="15.75">
      <c r="S11316" s="1"/>
    </row>
    <row r="11317" spans="19:19" ht="15.75">
      <c r="S11317" s="1"/>
    </row>
    <row r="11318" spans="19:19" ht="15.75">
      <c r="S11318" s="1"/>
    </row>
    <row r="11319" spans="19:19" ht="15.75">
      <c r="S11319" s="1"/>
    </row>
    <row r="11320" spans="19:19" ht="15.75">
      <c r="S11320" s="1"/>
    </row>
    <row r="11321" spans="19:19" ht="15.75">
      <c r="S11321" s="1"/>
    </row>
    <row r="11322" spans="19:19" ht="15.75">
      <c r="S11322" s="1"/>
    </row>
    <row r="11323" spans="19:19" ht="15.75">
      <c r="S11323" s="1"/>
    </row>
    <row r="11324" spans="19:19" ht="15.75">
      <c r="S11324" s="1"/>
    </row>
    <row r="11325" spans="19:19" ht="15.75">
      <c r="S11325" s="1"/>
    </row>
    <row r="11326" spans="19:19" ht="15.75">
      <c r="S11326" s="1"/>
    </row>
    <row r="11327" spans="19:19" ht="15.75">
      <c r="S11327" s="1"/>
    </row>
    <row r="11328" spans="19:19" ht="15.75">
      <c r="S11328" s="1"/>
    </row>
    <row r="11329" spans="19:19" ht="15.75">
      <c r="S11329" s="1"/>
    </row>
    <row r="11330" spans="19:19" ht="15.75">
      <c r="S11330" s="1"/>
    </row>
    <row r="11331" spans="19:19" ht="15.75">
      <c r="S11331" s="1"/>
    </row>
    <row r="11332" spans="19:19" ht="15.75">
      <c r="S11332" s="1"/>
    </row>
    <row r="11333" spans="19:19" ht="15.75">
      <c r="S11333" s="1"/>
    </row>
    <row r="11334" spans="19:19" ht="15.75">
      <c r="S11334" s="1"/>
    </row>
    <row r="11335" spans="19:19" ht="15.75">
      <c r="S11335" s="1"/>
    </row>
    <row r="11336" spans="19:19" ht="15.75">
      <c r="S11336" s="1"/>
    </row>
    <row r="11337" spans="19:19" ht="15.75">
      <c r="S11337" s="1"/>
    </row>
    <row r="11338" spans="19:19" ht="15.75">
      <c r="S11338" s="1"/>
    </row>
    <row r="11339" spans="19:19" ht="15.75">
      <c r="S11339" s="1"/>
    </row>
    <row r="11340" spans="19:19" ht="15.75">
      <c r="S11340" s="1"/>
    </row>
    <row r="11341" spans="19:19" ht="15.75">
      <c r="S11341" s="1"/>
    </row>
    <row r="11342" spans="19:19" ht="15.75">
      <c r="S11342" s="1"/>
    </row>
    <row r="11343" spans="19:19" ht="15.75">
      <c r="S11343" s="1"/>
    </row>
    <row r="11344" spans="19:19" ht="15.75">
      <c r="S11344" s="1"/>
    </row>
    <row r="11345" spans="19:19" ht="15.75">
      <c r="S11345" s="1"/>
    </row>
    <row r="11346" spans="19:19" ht="15.75">
      <c r="S11346" s="1"/>
    </row>
    <row r="11347" spans="19:19" ht="15.75">
      <c r="S11347" s="1"/>
    </row>
    <row r="11348" spans="19:19" ht="15.75">
      <c r="S11348" s="1"/>
    </row>
    <row r="11349" spans="19:19" ht="15.75">
      <c r="S11349" s="1"/>
    </row>
    <row r="11350" spans="19:19" ht="15.75">
      <c r="S11350" s="1"/>
    </row>
    <row r="11351" spans="19:19" ht="15.75">
      <c r="S11351" s="1"/>
    </row>
    <row r="11352" spans="19:19" ht="15.75">
      <c r="S11352" s="1"/>
    </row>
    <row r="11353" spans="19:19" ht="15.75">
      <c r="S11353" s="1"/>
    </row>
    <row r="11354" spans="19:19" ht="15.75">
      <c r="S11354" s="1"/>
    </row>
    <row r="11355" spans="19:19" ht="15.75">
      <c r="S11355" s="1"/>
    </row>
    <row r="11356" spans="19:19" ht="15.75">
      <c r="S11356" s="1"/>
    </row>
    <row r="11357" spans="19:19" ht="15.75">
      <c r="S11357" s="1"/>
    </row>
    <row r="11358" spans="19:19" ht="15.75">
      <c r="S11358" s="1"/>
    </row>
    <row r="11359" spans="19:19" ht="15.75">
      <c r="S11359" s="1"/>
    </row>
    <row r="11360" spans="19:19" ht="15.75">
      <c r="S11360" s="1"/>
    </row>
    <row r="11361" spans="19:19" ht="15.75">
      <c r="S11361" s="1"/>
    </row>
    <row r="11362" spans="19:19" ht="15.75">
      <c r="S11362" s="1"/>
    </row>
    <row r="11363" spans="19:19" ht="15.75">
      <c r="S11363" s="1"/>
    </row>
    <row r="11364" spans="19:19" ht="15.75">
      <c r="S11364" s="1"/>
    </row>
    <row r="11365" spans="19:19" ht="15.75">
      <c r="S11365" s="1"/>
    </row>
    <row r="11366" spans="19:19" ht="15.75">
      <c r="S11366" s="1"/>
    </row>
    <row r="11367" spans="19:19" ht="15.75">
      <c r="S11367" s="1"/>
    </row>
    <row r="11368" spans="19:19" ht="15.75">
      <c r="S11368" s="1"/>
    </row>
    <row r="11369" spans="19:19" ht="15.75">
      <c r="S11369" s="1"/>
    </row>
    <row r="11370" spans="19:19" ht="15.75">
      <c r="S11370" s="1"/>
    </row>
    <row r="11371" spans="19:19" ht="15.75">
      <c r="S11371" s="1"/>
    </row>
    <row r="11372" spans="19:19" ht="15.75">
      <c r="S11372" s="1"/>
    </row>
    <row r="11373" spans="19:19" ht="15.75">
      <c r="S11373" s="1"/>
    </row>
    <row r="11374" spans="19:19" ht="15.75">
      <c r="S11374" s="1"/>
    </row>
    <row r="11375" spans="19:19" ht="15.75">
      <c r="S11375" s="1"/>
    </row>
    <row r="11376" spans="19:19" ht="15.75">
      <c r="S11376" s="1"/>
    </row>
    <row r="11377" spans="19:19" ht="15.75">
      <c r="S11377" s="1"/>
    </row>
    <row r="11378" spans="19:19" ht="15.75">
      <c r="S11378" s="1"/>
    </row>
    <row r="11379" spans="19:19" ht="15.75">
      <c r="S11379" s="1"/>
    </row>
    <row r="11380" spans="19:19" ht="15.75">
      <c r="S11380" s="1"/>
    </row>
    <row r="11381" spans="19:19" ht="15.75">
      <c r="S11381" s="1"/>
    </row>
    <row r="11382" spans="19:19" ht="15.75">
      <c r="S11382" s="1"/>
    </row>
    <row r="11383" spans="19:19" ht="15.75">
      <c r="S11383" s="1"/>
    </row>
    <row r="11384" spans="19:19" ht="15.75">
      <c r="S11384" s="1"/>
    </row>
    <row r="11385" spans="19:19" ht="15.75">
      <c r="S11385" s="1"/>
    </row>
    <row r="11386" spans="19:19" ht="15.75">
      <c r="S11386" s="1"/>
    </row>
    <row r="11387" spans="19:19" ht="15.75">
      <c r="S11387" s="1"/>
    </row>
    <row r="11388" spans="19:19" ht="15.75">
      <c r="S11388" s="1"/>
    </row>
    <row r="11389" spans="19:19" ht="15.75">
      <c r="S11389" s="1"/>
    </row>
    <row r="11390" spans="19:19" ht="15.75">
      <c r="S11390" s="1"/>
    </row>
    <row r="11391" spans="19:19" ht="15.75">
      <c r="S11391" s="1"/>
    </row>
    <row r="11392" spans="19:19" ht="15.75">
      <c r="S11392" s="1"/>
    </row>
    <row r="11393" spans="19:19" ht="15.75">
      <c r="S11393" s="1"/>
    </row>
    <row r="11394" spans="19:19" ht="15.75">
      <c r="S11394" s="1"/>
    </row>
    <row r="11395" spans="19:19" ht="15.75">
      <c r="S11395" s="1"/>
    </row>
    <row r="11396" spans="19:19" ht="15.75">
      <c r="S11396" s="1"/>
    </row>
    <row r="11397" spans="19:19" ht="15.75">
      <c r="S11397" s="1"/>
    </row>
    <row r="11398" spans="19:19" ht="15.75">
      <c r="S11398" s="1"/>
    </row>
    <row r="11399" spans="19:19" ht="15.75">
      <c r="S11399" s="1"/>
    </row>
    <row r="11400" spans="19:19" ht="15.75">
      <c r="S11400" s="1"/>
    </row>
    <row r="11401" spans="19:19" ht="15.75">
      <c r="S11401" s="1"/>
    </row>
    <row r="11402" spans="19:19" ht="15.75">
      <c r="S11402" s="1"/>
    </row>
    <row r="11403" spans="19:19" ht="15.75">
      <c r="S11403" s="1"/>
    </row>
    <row r="11404" spans="19:19" ht="15.75">
      <c r="S11404" s="1"/>
    </row>
    <row r="11405" spans="19:19" ht="15.75">
      <c r="S11405" s="1"/>
    </row>
    <row r="11406" spans="19:19" ht="15.75">
      <c r="S11406" s="1"/>
    </row>
    <row r="11407" spans="19:19" ht="15.75">
      <c r="S11407" s="1"/>
    </row>
    <row r="11408" spans="19:19" ht="15.75">
      <c r="S11408" s="1"/>
    </row>
    <row r="11409" spans="19:19" ht="15.75">
      <c r="S11409" s="1"/>
    </row>
    <row r="11410" spans="19:19" ht="15.75">
      <c r="S11410" s="1"/>
    </row>
    <row r="11411" spans="19:19" ht="15.75">
      <c r="S11411" s="1"/>
    </row>
    <row r="11412" spans="19:19" ht="15.75">
      <c r="S11412" s="1"/>
    </row>
    <row r="11413" spans="19:19" ht="15.75">
      <c r="S11413" s="1"/>
    </row>
    <row r="11414" spans="19:19" ht="15.75">
      <c r="S11414" s="1"/>
    </row>
    <row r="11415" spans="19:19" ht="15.75">
      <c r="S11415" s="1"/>
    </row>
    <row r="11416" spans="19:19" ht="15.75">
      <c r="S11416" s="1"/>
    </row>
    <row r="11417" spans="19:19" ht="15.75">
      <c r="S11417" s="1"/>
    </row>
    <row r="11418" spans="19:19" ht="15.75">
      <c r="S11418" s="1"/>
    </row>
    <row r="11419" spans="19:19" ht="15.75">
      <c r="S11419" s="1"/>
    </row>
    <row r="11420" spans="19:19" ht="15.75">
      <c r="S11420" s="1"/>
    </row>
    <row r="11421" spans="19:19" ht="15.75">
      <c r="S11421" s="1"/>
    </row>
    <row r="11422" spans="19:19" ht="15.75">
      <c r="S11422" s="1"/>
    </row>
    <row r="11423" spans="19:19" ht="15.75">
      <c r="S11423" s="1"/>
    </row>
    <row r="11424" spans="19:19" ht="15.75">
      <c r="S11424" s="1"/>
    </row>
    <row r="11425" spans="19:19" ht="15.75">
      <c r="S11425" s="1"/>
    </row>
    <row r="11426" spans="19:19" ht="15.75">
      <c r="S11426" s="1"/>
    </row>
    <row r="11427" spans="19:19" ht="15.75">
      <c r="S11427" s="1"/>
    </row>
    <row r="11428" spans="19:19" ht="15.75">
      <c r="S11428" s="1"/>
    </row>
    <row r="11429" spans="19:19" ht="15.75">
      <c r="S11429" s="1"/>
    </row>
    <row r="11430" spans="19:19" ht="15.75">
      <c r="S11430" s="1"/>
    </row>
    <row r="11431" spans="19:19" ht="15.75">
      <c r="S11431" s="1"/>
    </row>
    <row r="11432" spans="19:19" ht="15.75">
      <c r="S11432" s="1"/>
    </row>
    <row r="11433" spans="19:19" ht="15.75">
      <c r="S11433" s="1"/>
    </row>
    <row r="11434" spans="19:19" ht="15.75">
      <c r="S11434" s="1"/>
    </row>
    <row r="11435" spans="19:19" ht="15.75">
      <c r="S11435" s="1"/>
    </row>
    <row r="11436" spans="19:19" ht="15.75">
      <c r="S11436" s="1"/>
    </row>
    <row r="11437" spans="19:19" ht="15.75">
      <c r="S11437" s="1"/>
    </row>
    <row r="11438" spans="19:19" ht="15.75">
      <c r="S11438" s="1"/>
    </row>
    <row r="11439" spans="19:19" ht="15.75">
      <c r="S11439" s="1"/>
    </row>
    <row r="11440" spans="19:19" ht="15.75">
      <c r="S11440" s="1"/>
    </row>
    <row r="11441" spans="19:19" ht="15.75">
      <c r="S11441" s="1"/>
    </row>
    <row r="11442" spans="19:19" ht="15.75">
      <c r="S11442" s="1"/>
    </row>
    <row r="11443" spans="19:19" ht="15.75">
      <c r="S11443" s="1"/>
    </row>
    <row r="11444" spans="19:19" ht="15.75">
      <c r="S11444" s="1"/>
    </row>
    <row r="11445" spans="19:19" ht="15.75">
      <c r="S11445" s="1"/>
    </row>
    <row r="11446" spans="19:19" ht="15.75">
      <c r="S11446" s="1"/>
    </row>
    <row r="11447" spans="19:19" ht="15.75">
      <c r="S11447" s="1"/>
    </row>
    <row r="11448" spans="19:19" ht="15.75">
      <c r="S11448" s="1"/>
    </row>
    <row r="11449" spans="19:19" ht="15.75">
      <c r="S11449" s="1"/>
    </row>
    <row r="11450" spans="19:19" ht="15.75">
      <c r="S11450" s="1"/>
    </row>
    <row r="11451" spans="19:19" ht="15.75">
      <c r="S11451" s="1"/>
    </row>
    <row r="11452" spans="19:19" ht="15.75">
      <c r="S11452" s="1"/>
    </row>
    <row r="11453" spans="19:19" ht="15.75">
      <c r="S11453" s="1"/>
    </row>
    <row r="11454" spans="19:19" ht="15.75">
      <c r="S11454" s="1"/>
    </row>
    <row r="11455" spans="19:19" ht="15.75">
      <c r="S11455" s="1"/>
    </row>
    <row r="11456" spans="19:19" ht="15.75">
      <c r="S11456" s="1"/>
    </row>
    <row r="11457" spans="19:19" ht="15.75">
      <c r="S11457" s="1"/>
    </row>
    <row r="11458" spans="19:19" ht="15.75">
      <c r="S11458" s="1"/>
    </row>
    <row r="11459" spans="19:19" ht="15.75">
      <c r="S11459" s="1"/>
    </row>
    <row r="11460" spans="19:19" ht="15.75">
      <c r="S11460" s="1"/>
    </row>
    <row r="11461" spans="19:19" ht="15.75">
      <c r="S11461" s="1"/>
    </row>
    <row r="11462" spans="19:19" ht="15.75">
      <c r="S11462" s="1"/>
    </row>
    <row r="11463" spans="19:19" ht="15.75">
      <c r="S11463" s="1"/>
    </row>
    <row r="11464" spans="19:19" ht="15.75">
      <c r="S11464" s="1"/>
    </row>
    <row r="11465" spans="19:19" ht="15.75">
      <c r="S11465" s="1"/>
    </row>
    <row r="11466" spans="19:19" ht="15.75">
      <c r="S11466" s="1"/>
    </row>
    <row r="11467" spans="19:19" ht="15.75">
      <c r="S11467" s="1"/>
    </row>
    <row r="11468" spans="19:19" ht="15.75">
      <c r="S11468" s="1"/>
    </row>
    <row r="11469" spans="19:19" ht="15.75">
      <c r="S11469" s="1"/>
    </row>
    <row r="11470" spans="19:19" ht="15.75">
      <c r="S11470" s="1"/>
    </row>
    <row r="11471" spans="19:19" ht="15.75">
      <c r="S11471" s="1"/>
    </row>
    <row r="11472" spans="19:19" ht="15.75">
      <c r="S11472" s="1"/>
    </row>
    <row r="11473" spans="19:19" ht="15.75">
      <c r="S11473" s="1"/>
    </row>
    <row r="11474" spans="19:19" ht="15.75">
      <c r="S11474" s="1"/>
    </row>
    <row r="11475" spans="19:19" ht="15.75">
      <c r="S11475" s="1"/>
    </row>
    <row r="11476" spans="19:19" ht="15.75">
      <c r="S11476" s="1"/>
    </row>
    <row r="11477" spans="19:19" ht="15.75">
      <c r="S11477" s="1"/>
    </row>
    <row r="11478" spans="19:19" ht="15.75">
      <c r="S11478" s="1"/>
    </row>
    <row r="11479" spans="19:19" ht="15.75">
      <c r="S11479" s="1"/>
    </row>
    <row r="11480" spans="19:19" ht="15.75">
      <c r="S11480" s="1"/>
    </row>
    <row r="11481" spans="19:19" ht="15.75">
      <c r="S11481" s="1"/>
    </row>
    <row r="11482" spans="19:19" ht="15.75">
      <c r="S11482" s="1"/>
    </row>
    <row r="11483" spans="19:19" ht="15.75">
      <c r="S11483" s="1"/>
    </row>
    <row r="11484" spans="19:19" ht="15.75">
      <c r="S11484" s="1"/>
    </row>
    <row r="11485" spans="19:19" ht="15.75">
      <c r="S11485" s="1"/>
    </row>
    <row r="11486" spans="19:19" ht="15.75">
      <c r="S11486" s="1"/>
    </row>
    <row r="11487" spans="19:19" ht="15.75">
      <c r="S11487" s="1"/>
    </row>
    <row r="11488" spans="19:19" ht="15.75">
      <c r="S11488" s="1"/>
    </row>
    <row r="11489" spans="19:19" ht="15.75">
      <c r="S11489" s="1"/>
    </row>
    <row r="11490" spans="19:19" ht="15.75">
      <c r="S11490" s="1"/>
    </row>
    <row r="11491" spans="19:19" ht="15.75">
      <c r="S11491" s="1"/>
    </row>
    <row r="11492" spans="19:19" ht="15.75">
      <c r="S11492" s="1"/>
    </row>
    <row r="11493" spans="19:19" ht="15.75">
      <c r="S11493" s="1"/>
    </row>
    <row r="11494" spans="19:19" ht="15.75">
      <c r="S11494" s="1"/>
    </row>
    <row r="11495" spans="19:19" ht="15.75">
      <c r="S11495" s="1"/>
    </row>
    <row r="11496" spans="19:19" ht="15.75">
      <c r="S11496" s="1"/>
    </row>
    <row r="11497" spans="19:19" ht="15.75">
      <c r="S11497" s="1"/>
    </row>
    <row r="11498" spans="19:19" ht="15.75">
      <c r="S11498" s="1"/>
    </row>
    <row r="11499" spans="19:19" ht="15.75">
      <c r="S11499" s="1"/>
    </row>
    <row r="11500" spans="19:19" ht="15.75">
      <c r="S11500" s="1"/>
    </row>
    <row r="11501" spans="19:19" ht="15.75">
      <c r="S11501" s="1"/>
    </row>
    <row r="11502" spans="19:19" ht="15.75">
      <c r="S11502" s="1"/>
    </row>
    <row r="11503" spans="19:19" ht="15.75">
      <c r="S11503" s="1"/>
    </row>
    <row r="11504" spans="19:19" ht="15.75">
      <c r="S11504" s="1"/>
    </row>
    <row r="11505" spans="19:19" ht="15.75">
      <c r="S11505" s="1"/>
    </row>
    <row r="11506" spans="19:19" ht="15.75">
      <c r="S11506" s="1"/>
    </row>
    <row r="11507" spans="19:19" ht="15.75">
      <c r="S11507" s="1"/>
    </row>
    <row r="11508" spans="19:19" ht="15.75">
      <c r="S11508" s="1"/>
    </row>
    <row r="11509" spans="19:19" ht="15.75">
      <c r="S11509" s="1"/>
    </row>
    <row r="11510" spans="19:19" ht="15.75">
      <c r="S11510" s="1"/>
    </row>
    <row r="11511" spans="19:19" ht="15.75">
      <c r="S11511" s="1"/>
    </row>
    <row r="11512" spans="19:19" ht="15.75">
      <c r="S11512" s="1"/>
    </row>
    <row r="11513" spans="19:19" ht="15.75">
      <c r="S11513" s="1"/>
    </row>
    <row r="11514" spans="19:19" ht="15.75">
      <c r="S11514" s="1"/>
    </row>
    <row r="11515" spans="19:19" ht="15.75">
      <c r="S11515" s="1"/>
    </row>
    <row r="11516" spans="19:19" ht="15.75">
      <c r="S11516" s="1"/>
    </row>
    <row r="11517" spans="19:19" ht="15.75">
      <c r="S11517" s="1"/>
    </row>
    <row r="11518" spans="19:19" ht="15.75">
      <c r="S11518" s="1"/>
    </row>
    <row r="11519" spans="19:19" ht="15.75">
      <c r="S11519" s="1"/>
    </row>
    <row r="11520" spans="19:19" ht="15.75">
      <c r="S11520" s="1"/>
    </row>
    <row r="11521" spans="19:19" ht="15.75">
      <c r="S11521" s="1"/>
    </row>
    <row r="11522" spans="19:19" ht="15.75">
      <c r="S11522" s="1"/>
    </row>
    <row r="11523" spans="19:19" ht="15.75">
      <c r="S11523" s="1"/>
    </row>
    <row r="11524" spans="19:19" ht="15.75">
      <c r="S11524" s="1"/>
    </row>
    <row r="11525" spans="19:19" ht="15.75">
      <c r="S11525" s="1"/>
    </row>
    <row r="11526" spans="19:19" ht="15.75">
      <c r="S11526" s="1"/>
    </row>
    <row r="11527" spans="19:19" ht="15.75">
      <c r="S11527" s="1"/>
    </row>
    <row r="11528" spans="19:19" ht="15.75">
      <c r="S11528" s="1"/>
    </row>
    <row r="11529" spans="19:19" ht="15.75">
      <c r="S11529" s="1"/>
    </row>
    <row r="11530" spans="19:19" ht="15.75">
      <c r="S11530" s="1"/>
    </row>
    <row r="11531" spans="19:19" ht="15.75">
      <c r="S11531" s="1"/>
    </row>
    <row r="11532" spans="19:19" ht="15.75">
      <c r="S11532" s="1"/>
    </row>
    <row r="11533" spans="19:19" ht="15.75">
      <c r="S11533" s="1"/>
    </row>
    <row r="11534" spans="19:19" ht="15.75">
      <c r="S11534" s="1"/>
    </row>
    <row r="11535" spans="19:19" ht="15.75">
      <c r="S11535" s="1"/>
    </row>
    <row r="11536" spans="19:19" ht="15.75">
      <c r="S11536" s="1"/>
    </row>
    <row r="11537" spans="19:19" ht="15.75">
      <c r="S11537" s="1"/>
    </row>
    <row r="11538" spans="19:19" ht="15.75">
      <c r="S11538" s="1"/>
    </row>
    <row r="11539" spans="19:19" ht="15.75">
      <c r="S11539" s="1"/>
    </row>
    <row r="11540" spans="19:19" ht="15.75">
      <c r="S11540" s="1"/>
    </row>
    <row r="11541" spans="19:19" ht="15.75">
      <c r="S11541" s="1"/>
    </row>
    <row r="11542" spans="19:19" ht="15.75">
      <c r="S11542" s="1"/>
    </row>
    <row r="11543" spans="19:19" ht="15.75">
      <c r="S11543" s="1"/>
    </row>
    <row r="11544" spans="19:19" ht="15.75">
      <c r="S11544" s="1"/>
    </row>
    <row r="11545" spans="19:19" ht="15.75">
      <c r="S11545" s="1"/>
    </row>
    <row r="11546" spans="19:19" ht="15.75">
      <c r="S11546" s="1"/>
    </row>
    <row r="11547" spans="19:19" ht="15.75">
      <c r="S11547" s="1"/>
    </row>
    <row r="11548" spans="19:19" ht="15.75">
      <c r="S11548" s="1"/>
    </row>
    <row r="11549" spans="19:19" ht="15.75">
      <c r="S11549" s="1"/>
    </row>
    <row r="11550" spans="19:19" ht="15.75">
      <c r="S11550" s="1"/>
    </row>
    <row r="11551" spans="19:19" ht="15.75">
      <c r="S11551" s="1"/>
    </row>
    <row r="11552" spans="19:19" ht="15.75">
      <c r="S11552" s="1"/>
    </row>
    <row r="11553" spans="19:19" ht="15.75">
      <c r="S11553" s="1"/>
    </row>
    <row r="11554" spans="19:19" ht="15.75">
      <c r="S11554" s="1"/>
    </row>
    <row r="11555" spans="19:19" ht="15.75">
      <c r="S11555" s="1"/>
    </row>
    <row r="11556" spans="19:19" ht="15.75">
      <c r="S11556" s="1"/>
    </row>
    <row r="11557" spans="19:19" ht="15.75">
      <c r="S11557" s="1"/>
    </row>
    <row r="11558" spans="19:19" ht="15.75">
      <c r="S11558" s="1"/>
    </row>
    <row r="11559" spans="19:19" ht="15.75">
      <c r="S11559" s="1"/>
    </row>
    <row r="11560" spans="19:19" ht="15.75">
      <c r="S11560" s="1"/>
    </row>
    <row r="11561" spans="19:19" ht="15.75">
      <c r="S11561" s="1"/>
    </row>
    <row r="11562" spans="19:19" ht="15.75">
      <c r="S11562" s="1"/>
    </row>
    <row r="11563" spans="19:19" ht="15.75">
      <c r="S11563" s="1"/>
    </row>
    <row r="11564" spans="19:19" ht="15.75">
      <c r="S11564" s="1"/>
    </row>
    <row r="11565" spans="19:19" ht="15.75">
      <c r="S11565" s="1"/>
    </row>
    <row r="11566" spans="19:19" ht="15.75">
      <c r="S11566" s="1"/>
    </row>
    <row r="11567" spans="19:19" ht="15.75">
      <c r="S11567" s="1"/>
    </row>
    <row r="11568" spans="19:19" ht="15.75">
      <c r="S11568" s="1"/>
    </row>
    <row r="11569" spans="19:19" ht="15.75">
      <c r="S11569" s="1"/>
    </row>
    <row r="11570" spans="19:19" ht="15.75">
      <c r="S11570" s="1"/>
    </row>
    <row r="11571" spans="19:19" ht="15.75">
      <c r="S11571" s="1"/>
    </row>
    <row r="11572" spans="19:19" ht="15.75">
      <c r="S11572" s="1"/>
    </row>
    <row r="11573" spans="19:19" ht="15.75">
      <c r="S11573" s="1"/>
    </row>
    <row r="11574" spans="19:19" ht="15.75">
      <c r="S11574" s="1"/>
    </row>
    <row r="11575" spans="19:19" ht="15.75">
      <c r="S11575" s="1"/>
    </row>
    <row r="11576" spans="19:19" ht="15.75">
      <c r="S11576" s="1"/>
    </row>
    <row r="11577" spans="19:19" ht="15.75">
      <c r="S11577" s="1"/>
    </row>
    <row r="11578" spans="19:19" ht="15.75">
      <c r="S11578" s="1"/>
    </row>
    <row r="11579" spans="19:19" ht="15.75">
      <c r="S11579" s="1"/>
    </row>
    <row r="11580" spans="19:19" ht="15.75">
      <c r="S11580" s="1"/>
    </row>
    <row r="11581" spans="19:19" ht="15.75">
      <c r="S11581" s="1"/>
    </row>
    <row r="11582" spans="19:19" ht="15.75">
      <c r="S11582" s="1"/>
    </row>
    <row r="11583" spans="19:19" ht="15.75">
      <c r="S11583" s="1"/>
    </row>
    <row r="11584" spans="19:19" ht="15.75">
      <c r="S11584" s="1"/>
    </row>
    <row r="11585" spans="19:19" ht="15.75">
      <c r="S11585" s="1"/>
    </row>
    <row r="11586" spans="19:19" ht="15.75">
      <c r="S11586" s="1"/>
    </row>
    <row r="11587" spans="19:19" ht="15.75">
      <c r="S11587" s="1"/>
    </row>
    <row r="11588" spans="19:19" ht="15.75">
      <c r="S11588" s="1"/>
    </row>
    <row r="11589" spans="19:19" ht="15.75">
      <c r="S11589" s="1"/>
    </row>
    <row r="11590" spans="19:19" ht="15.75">
      <c r="S11590" s="1"/>
    </row>
    <row r="11591" spans="19:19" ht="15.75">
      <c r="S11591" s="1"/>
    </row>
    <row r="11592" spans="19:19" ht="15.75">
      <c r="S11592" s="1"/>
    </row>
    <row r="11593" spans="19:19" ht="15.75">
      <c r="S11593" s="1"/>
    </row>
    <row r="11594" spans="19:19" ht="15.75">
      <c r="S11594" s="1"/>
    </row>
    <row r="11595" spans="19:19" ht="15.75">
      <c r="S11595" s="1"/>
    </row>
    <row r="11596" spans="19:19" ht="15.75">
      <c r="S11596" s="1"/>
    </row>
    <row r="11597" spans="19:19" ht="15.75">
      <c r="S11597" s="1"/>
    </row>
    <row r="11598" spans="19:19" ht="15.75">
      <c r="S11598" s="1"/>
    </row>
    <row r="11599" spans="19:19" ht="15.75">
      <c r="S11599" s="1"/>
    </row>
    <row r="11600" spans="19:19" ht="15.75">
      <c r="S11600" s="1"/>
    </row>
    <row r="11601" spans="19:19" ht="15.75">
      <c r="S11601" s="1"/>
    </row>
    <row r="11602" spans="19:19" ht="15.75">
      <c r="S11602" s="1"/>
    </row>
    <row r="11603" spans="19:19" ht="15.75">
      <c r="S11603" s="1"/>
    </row>
    <row r="11604" spans="19:19" ht="15.75">
      <c r="S11604" s="1"/>
    </row>
    <row r="11605" spans="19:19" ht="15.75">
      <c r="S11605" s="1"/>
    </row>
    <row r="11606" spans="19:19" ht="15.75">
      <c r="S11606" s="1"/>
    </row>
    <row r="11607" spans="19:19" ht="15.75">
      <c r="S11607" s="1"/>
    </row>
    <row r="11608" spans="19:19" ht="15.75">
      <c r="S11608" s="1"/>
    </row>
    <row r="11609" spans="19:19" ht="15.75">
      <c r="S11609" s="1"/>
    </row>
    <row r="11610" spans="19:19" ht="15.75">
      <c r="S11610" s="1"/>
    </row>
    <row r="11611" spans="19:19" ht="15.75">
      <c r="S11611" s="1"/>
    </row>
    <row r="11612" spans="19:19" ht="15.75">
      <c r="S11612" s="1"/>
    </row>
    <row r="11613" spans="19:19" ht="15.75">
      <c r="S11613" s="1"/>
    </row>
    <row r="11614" spans="19:19" ht="15.75">
      <c r="S11614" s="1"/>
    </row>
    <row r="11615" spans="19:19" ht="15.75">
      <c r="S11615" s="1"/>
    </row>
    <row r="11616" spans="19:19" ht="15.75">
      <c r="S11616" s="1"/>
    </row>
    <row r="11617" spans="19:19" ht="15.75">
      <c r="S11617" s="1"/>
    </row>
    <row r="11618" spans="19:19" ht="15.75">
      <c r="S11618" s="1"/>
    </row>
    <row r="11619" spans="19:19" ht="15.75">
      <c r="S11619" s="1"/>
    </row>
    <row r="11620" spans="19:19" ht="15.75">
      <c r="S11620" s="1"/>
    </row>
    <row r="11621" spans="19:19" ht="15.75">
      <c r="S11621" s="1"/>
    </row>
    <row r="11622" spans="19:19" ht="15.75">
      <c r="S11622" s="1"/>
    </row>
    <row r="11623" spans="19:19" ht="15.75">
      <c r="S11623" s="1"/>
    </row>
    <row r="11624" spans="19:19" ht="15.75">
      <c r="S11624" s="1"/>
    </row>
    <row r="11625" spans="19:19" ht="15.75">
      <c r="S11625" s="1"/>
    </row>
    <row r="11626" spans="19:19" ht="15.75">
      <c r="S11626" s="1"/>
    </row>
    <row r="11627" spans="19:19" ht="15.75">
      <c r="S11627" s="1"/>
    </row>
    <row r="11628" spans="19:19" ht="15.75">
      <c r="S11628" s="1"/>
    </row>
    <row r="11629" spans="19:19" ht="15.75">
      <c r="S11629" s="1"/>
    </row>
    <row r="11630" spans="19:19" ht="15.75">
      <c r="S11630" s="1"/>
    </row>
    <row r="11631" spans="19:19" ht="15.75">
      <c r="S11631" s="1"/>
    </row>
    <row r="11632" spans="19:19" ht="15.75">
      <c r="S11632" s="1"/>
    </row>
    <row r="11633" spans="19:19" ht="15.75">
      <c r="S11633" s="1"/>
    </row>
    <row r="11634" spans="19:19" ht="15.75">
      <c r="S11634" s="1"/>
    </row>
    <row r="11635" spans="19:19" ht="15.75">
      <c r="S11635" s="1"/>
    </row>
    <row r="11636" spans="19:19" ht="15.75">
      <c r="S11636" s="1"/>
    </row>
    <row r="11637" spans="19:19" ht="15.75">
      <c r="S11637" s="1"/>
    </row>
    <row r="11638" spans="19:19" ht="15.75">
      <c r="S11638" s="1"/>
    </row>
    <row r="11639" spans="19:19" ht="15.75">
      <c r="S11639" s="1"/>
    </row>
    <row r="11640" spans="19:19" ht="15.75">
      <c r="S11640" s="1"/>
    </row>
    <row r="11641" spans="19:19" ht="15.75">
      <c r="S11641" s="1"/>
    </row>
    <row r="11642" spans="19:19" ht="15.75">
      <c r="S11642" s="1"/>
    </row>
    <row r="11643" spans="19:19" ht="15.75">
      <c r="S11643" s="1"/>
    </row>
    <row r="11644" spans="19:19" ht="15.75">
      <c r="S11644" s="1"/>
    </row>
    <row r="11645" spans="19:19" ht="15.75">
      <c r="S11645" s="1"/>
    </row>
    <row r="11646" spans="19:19" ht="15.75">
      <c r="S11646" s="1"/>
    </row>
    <row r="11647" spans="19:19" ht="15.75">
      <c r="S11647" s="1"/>
    </row>
    <row r="11648" spans="19:19" ht="15.75">
      <c r="S11648" s="1"/>
    </row>
    <row r="11649" spans="19:19" ht="15.75">
      <c r="S11649" s="1"/>
    </row>
    <row r="11650" spans="19:19" ht="15.75">
      <c r="S11650" s="1"/>
    </row>
    <row r="11651" spans="19:19" ht="15.75">
      <c r="S11651" s="1"/>
    </row>
    <row r="11652" spans="19:19" ht="15.75">
      <c r="S11652" s="1"/>
    </row>
    <row r="11653" spans="19:19" ht="15.75">
      <c r="S11653" s="1"/>
    </row>
    <row r="11654" spans="19:19" ht="15.75">
      <c r="S11654" s="1"/>
    </row>
    <row r="11655" spans="19:19" ht="15.75">
      <c r="S11655" s="1"/>
    </row>
    <row r="11656" spans="19:19" ht="15.75">
      <c r="S11656" s="1"/>
    </row>
    <row r="11657" spans="19:19" ht="15.75">
      <c r="S11657" s="1"/>
    </row>
    <row r="11658" spans="19:19" ht="15.75">
      <c r="S11658" s="1"/>
    </row>
    <row r="11659" spans="19:19" ht="15.75">
      <c r="S11659" s="1"/>
    </row>
    <row r="11660" spans="19:19" ht="15.75">
      <c r="S11660" s="1"/>
    </row>
    <row r="11661" spans="19:19" ht="15.75">
      <c r="S11661" s="1"/>
    </row>
    <row r="11662" spans="19:19" ht="15.75">
      <c r="S11662" s="1"/>
    </row>
    <row r="11663" spans="19:19" ht="15.75">
      <c r="S11663" s="1"/>
    </row>
    <row r="11664" spans="19:19" ht="15.75">
      <c r="S11664" s="1"/>
    </row>
    <row r="11665" spans="19:19" ht="15.75">
      <c r="S11665" s="1"/>
    </row>
    <row r="11666" spans="19:19" ht="15.75">
      <c r="S11666" s="1"/>
    </row>
    <row r="11667" spans="19:19" ht="15.75">
      <c r="S11667" s="1"/>
    </row>
    <row r="11668" spans="19:19" ht="15.75">
      <c r="S11668" s="1"/>
    </row>
    <row r="11669" spans="19:19" ht="15.75">
      <c r="S11669" s="1"/>
    </row>
    <row r="11670" spans="19:19" ht="15.75">
      <c r="S11670" s="1"/>
    </row>
    <row r="11671" spans="19:19" ht="15.75">
      <c r="S11671" s="1"/>
    </row>
    <row r="11672" spans="19:19" ht="15.75">
      <c r="S11672" s="1"/>
    </row>
    <row r="11673" spans="19:19" ht="15.75">
      <c r="S11673" s="1"/>
    </row>
    <row r="11674" spans="19:19" ht="15.75">
      <c r="S11674" s="1"/>
    </row>
    <row r="11675" spans="19:19" ht="15.75">
      <c r="S11675" s="1"/>
    </row>
    <row r="11676" spans="19:19" ht="15.75">
      <c r="S11676" s="1"/>
    </row>
    <row r="11677" spans="19:19" ht="15.75">
      <c r="S11677" s="1"/>
    </row>
    <row r="11678" spans="19:19" ht="15.75">
      <c r="S11678" s="1"/>
    </row>
    <row r="11679" spans="19:19" ht="15.75">
      <c r="S11679" s="1"/>
    </row>
    <row r="11680" spans="19:19" ht="15.75">
      <c r="S11680" s="1"/>
    </row>
    <row r="11681" spans="19:19" ht="15.75">
      <c r="S11681" s="1"/>
    </row>
    <row r="11682" spans="19:19" ht="15.75">
      <c r="S11682" s="1"/>
    </row>
    <row r="11683" spans="19:19" ht="15.75">
      <c r="S11683" s="1"/>
    </row>
    <row r="11684" spans="19:19" ht="15.75">
      <c r="S11684" s="1"/>
    </row>
    <row r="11685" spans="19:19" ht="15.75">
      <c r="S11685" s="1"/>
    </row>
    <row r="11686" spans="19:19" ht="15.75">
      <c r="S11686" s="1"/>
    </row>
    <row r="11687" spans="19:19" ht="15.75">
      <c r="S11687" s="1"/>
    </row>
    <row r="11688" spans="19:19" ht="15.75">
      <c r="S11688" s="1"/>
    </row>
    <row r="11689" spans="19:19" ht="15.75">
      <c r="S11689" s="1"/>
    </row>
    <row r="11690" spans="19:19" ht="15.75">
      <c r="S11690" s="1"/>
    </row>
    <row r="11691" spans="19:19" ht="15.75">
      <c r="S11691" s="1"/>
    </row>
    <row r="11692" spans="19:19" ht="15.75">
      <c r="S11692" s="1"/>
    </row>
    <row r="11693" spans="19:19" ht="15.75">
      <c r="S11693" s="1"/>
    </row>
    <row r="11694" spans="19:19" ht="15.75">
      <c r="S11694" s="1"/>
    </row>
    <row r="11695" spans="19:19" ht="15.75">
      <c r="S11695" s="1"/>
    </row>
    <row r="11696" spans="19:19" ht="15.75">
      <c r="S11696" s="1"/>
    </row>
    <row r="11697" spans="19:19" ht="15.75">
      <c r="S11697" s="1"/>
    </row>
    <row r="11698" spans="19:19" ht="15.75">
      <c r="S11698" s="1"/>
    </row>
    <row r="11699" spans="19:19" ht="15.75">
      <c r="S11699" s="1"/>
    </row>
    <row r="11700" spans="19:19" ht="15.75">
      <c r="S11700" s="1"/>
    </row>
    <row r="11701" spans="19:19" ht="15.75">
      <c r="S11701" s="1"/>
    </row>
    <row r="11702" spans="19:19" ht="15.75">
      <c r="S11702" s="1"/>
    </row>
    <row r="11703" spans="19:19" ht="15.75">
      <c r="S11703" s="1"/>
    </row>
    <row r="11704" spans="19:19" ht="15.75">
      <c r="S11704" s="1"/>
    </row>
    <row r="11705" spans="19:19" ht="15.75">
      <c r="S11705" s="1"/>
    </row>
    <row r="11706" spans="19:19" ht="15.75">
      <c r="S11706" s="1"/>
    </row>
    <row r="11707" spans="19:19" ht="15.75">
      <c r="S11707" s="1"/>
    </row>
    <row r="11708" spans="19:19" ht="15.75">
      <c r="S11708" s="1"/>
    </row>
    <row r="11709" spans="19:19" ht="15.75">
      <c r="S11709" s="1"/>
    </row>
    <row r="11710" spans="19:19" ht="15.75">
      <c r="S11710" s="1"/>
    </row>
    <row r="11711" spans="19:19" ht="15.75">
      <c r="S11711" s="1"/>
    </row>
    <row r="11712" spans="19:19" ht="15.75">
      <c r="S11712" s="1"/>
    </row>
    <row r="11713" spans="19:19" ht="15.75">
      <c r="S11713" s="1"/>
    </row>
    <row r="11714" spans="19:19" ht="15.75">
      <c r="S11714" s="1"/>
    </row>
    <row r="11715" spans="19:19" ht="15.75">
      <c r="S11715" s="1"/>
    </row>
    <row r="11716" spans="19:19" ht="15.75">
      <c r="S11716" s="1"/>
    </row>
    <row r="11717" spans="19:19" ht="15.75">
      <c r="S11717" s="1"/>
    </row>
    <row r="11718" spans="19:19" ht="15.75">
      <c r="S11718" s="1"/>
    </row>
    <row r="11719" spans="19:19" ht="15.75">
      <c r="S11719" s="1"/>
    </row>
    <row r="11720" spans="19:19" ht="15.75">
      <c r="S11720" s="1"/>
    </row>
    <row r="11721" spans="19:19" ht="15.75">
      <c r="S11721" s="1"/>
    </row>
    <row r="11722" spans="19:19" ht="15.75">
      <c r="S11722" s="1"/>
    </row>
    <row r="11723" spans="19:19" ht="15.75">
      <c r="S11723" s="1"/>
    </row>
    <row r="11724" spans="19:19" ht="15.75">
      <c r="S11724" s="1"/>
    </row>
    <row r="11725" spans="19:19" ht="15.75">
      <c r="S11725" s="1"/>
    </row>
    <row r="11726" spans="19:19" ht="15.75">
      <c r="S11726" s="1"/>
    </row>
    <row r="11727" spans="19:19" ht="15.75">
      <c r="S11727" s="1"/>
    </row>
    <row r="11728" spans="19:19" ht="15.75">
      <c r="S11728" s="1"/>
    </row>
    <row r="11729" spans="19:19" ht="15.75">
      <c r="S11729" s="1"/>
    </row>
    <row r="11730" spans="19:19" ht="15.75">
      <c r="S11730" s="1"/>
    </row>
    <row r="11731" spans="19:19" ht="15.75">
      <c r="S11731" s="1"/>
    </row>
    <row r="11732" spans="19:19" ht="15.75">
      <c r="S11732" s="1"/>
    </row>
    <row r="11733" spans="19:19" ht="15.75">
      <c r="S11733" s="1"/>
    </row>
    <row r="11734" spans="19:19" ht="15.75">
      <c r="S11734" s="1"/>
    </row>
    <row r="11735" spans="19:19" ht="15.75">
      <c r="S11735" s="1"/>
    </row>
    <row r="11736" spans="19:19" ht="15.75">
      <c r="S11736" s="1"/>
    </row>
    <row r="11737" spans="19:19" ht="15.75">
      <c r="S11737" s="1"/>
    </row>
    <row r="11738" spans="19:19" ht="15.75">
      <c r="S11738" s="1"/>
    </row>
    <row r="11739" spans="19:19" ht="15.75">
      <c r="S11739" s="1"/>
    </row>
    <row r="11740" spans="19:19" ht="15.75">
      <c r="S11740" s="1"/>
    </row>
    <row r="11741" spans="19:19" ht="15.75">
      <c r="S11741" s="1"/>
    </row>
    <row r="11742" spans="19:19" ht="15.75">
      <c r="S11742" s="1"/>
    </row>
    <row r="11743" spans="19:19" ht="15.75">
      <c r="S11743" s="1"/>
    </row>
    <row r="11744" spans="19:19" ht="15.75">
      <c r="S11744" s="1"/>
    </row>
    <row r="11745" spans="19:19" ht="15.75">
      <c r="S11745" s="1"/>
    </row>
    <row r="11746" spans="19:19" ht="15.75">
      <c r="S11746" s="1"/>
    </row>
    <row r="11747" spans="19:19" ht="15.75">
      <c r="S11747" s="1"/>
    </row>
    <row r="11748" spans="19:19" ht="15.75">
      <c r="S11748" s="1"/>
    </row>
    <row r="11749" spans="19:19" ht="15.75">
      <c r="S11749" s="1"/>
    </row>
    <row r="11750" spans="19:19" ht="15.75">
      <c r="S11750" s="1"/>
    </row>
    <row r="11751" spans="19:19" ht="15.75">
      <c r="S11751" s="1"/>
    </row>
    <row r="11752" spans="19:19" ht="15.75">
      <c r="S11752" s="1"/>
    </row>
    <row r="11753" spans="19:19" ht="15.75">
      <c r="S11753" s="1"/>
    </row>
    <row r="11754" spans="19:19" ht="15.75">
      <c r="S11754" s="1"/>
    </row>
    <row r="11755" spans="19:19" ht="15.75">
      <c r="S11755" s="1"/>
    </row>
    <row r="11756" spans="19:19" ht="15.75">
      <c r="S11756" s="1"/>
    </row>
    <row r="11757" spans="19:19" ht="15.75">
      <c r="S11757" s="1"/>
    </row>
    <row r="11758" spans="19:19" ht="15.75">
      <c r="S11758" s="1"/>
    </row>
    <row r="11759" spans="19:19" ht="15.75">
      <c r="S11759" s="1"/>
    </row>
    <row r="11760" spans="19:19" ht="15.75">
      <c r="S11760" s="1"/>
    </row>
    <row r="11761" spans="19:19" ht="15.75">
      <c r="S11761" s="1"/>
    </row>
    <row r="11762" spans="19:19" ht="15.75">
      <c r="S11762" s="1"/>
    </row>
    <row r="11763" spans="19:19" ht="15.75">
      <c r="S11763" s="1"/>
    </row>
    <row r="11764" spans="19:19" ht="15.75">
      <c r="S11764" s="1"/>
    </row>
    <row r="11765" spans="19:19" ht="15.75">
      <c r="S11765" s="1"/>
    </row>
    <row r="11766" spans="19:19" ht="15.75">
      <c r="S11766" s="1"/>
    </row>
    <row r="11767" spans="19:19" ht="15.75">
      <c r="S11767" s="1"/>
    </row>
    <row r="11768" spans="19:19" ht="15.75">
      <c r="S11768" s="1"/>
    </row>
    <row r="11769" spans="19:19" ht="15.75">
      <c r="S11769" s="1"/>
    </row>
    <row r="11770" spans="19:19" ht="15.75">
      <c r="S11770" s="1"/>
    </row>
    <row r="11771" spans="19:19" ht="15.75">
      <c r="S11771" s="1"/>
    </row>
    <row r="11772" spans="19:19" ht="15.75">
      <c r="S11772" s="1"/>
    </row>
    <row r="11773" spans="19:19" ht="15.75">
      <c r="S11773" s="1"/>
    </row>
    <row r="11774" spans="19:19" ht="15.75">
      <c r="S11774" s="1"/>
    </row>
    <row r="11775" spans="19:19" ht="15.75">
      <c r="S11775" s="1"/>
    </row>
    <row r="11776" spans="19:19" ht="15.75">
      <c r="S11776" s="1"/>
    </row>
    <row r="11777" spans="19:19" ht="15.75">
      <c r="S11777" s="1"/>
    </row>
    <row r="11778" spans="19:19" ht="15.75">
      <c r="S11778" s="1"/>
    </row>
    <row r="11779" spans="19:19" ht="15.75">
      <c r="S11779" s="1"/>
    </row>
    <row r="11780" spans="19:19" ht="15.75">
      <c r="S11780" s="1"/>
    </row>
    <row r="11781" spans="19:19" ht="15.75">
      <c r="S11781" s="1"/>
    </row>
    <row r="11782" spans="19:19" ht="15.75">
      <c r="S11782" s="1"/>
    </row>
    <row r="11783" spans="19:19" ht="15.75">
      <c r="S11783" s="1"/>
    </row>
    <row r="11784" spans="19:19" ht="15.75">
      <c r="S11784" s="1"/>
    </row>
    <row r="11785" spans="19:19" ht="15.75">
      <c r="S11785" s="1"/>
    </row>
    <row r="11786" spans="19:19" ht="15.75">
      <c r="S11786" s="1"/>
    </row>
    <row r="11787" spans="19:19" ht="15.75">
      <c r="S11787" s="1"/>
    </row>
    <row r="11788" spans="19:19" ht="15.75">
      <c r="S11788" s="1"/>
    </row>
    <row r="11789" spans="19:19" ht="15.75">
      <c r="S11789" s="1"/>
    </row>
    <row r="11790" spans="19:19" ht="15.75">
      <c r="S11790" s="1"/>
    </row>
    <row r="11791" spans="19:19" ht="15.75">
      <c r="S11791" s="1"/>
    </row>
    <row r="11792" spans="19:19" ht="15.75">
      <c r="S11792" s="1"/>
    </row>
    <row r="11793" spans="19:19" ht="15.75">
      <c r="S11793" s="1"/>
    </row>
    <row r="11794" spans="19:19" ht="15.75">
      <c r="S11794" s="1"/>
    </row>
    <row r="11795" spans="19:19" ht="15.75">
      <c r="S11795" s="1"/>
    </row>
    <row r="11796" spans="19:19" ht="15.75">
      <c r="S11796" s="1"/>
    </row>
    <row r="11797" spans="19:19" ht="15.75">
      <c r="S11797" s="1"/>
    </row>
    <row r="11798" spans="19:19" ht="15.75">
      <c r="S11798" s="1"/>
    </row>
    <row r="11799" spans="19:19" ht="15.75">
      <c r="S11799" s="1"/>
    </row>
    <row r="11800" spans="19:19" ht="15.75">
      <c r="S11800" s="1"/>
    </row>
    <row r="11801" spans="19:19" ht="15.75">
      <c r="S11801" s="1"/>
    </row>
    <row r="11802" spans="19:19" ht="15.75">
      <c r="S11802" s="1"/>
    </row>
    <row r="11803" spans="19:19" ht="15.75">
      <c r="S11803" s="1"/>
    </row>
    <row r="11804" spans="19:19" ht="15.75">
      <c r="S11804" s="1"/>
    </row>
    <row r="11805" spans="19:19" ht="15.75">
      <c r="S11805" s="1"/>
    </row>
    <row r="11806" spans="19:19" ht="15.75">
      <c r="S11806" s="1"/>
    </row>
    <row r="11807" spans="19:19" ht="15.75">
      <c r="S11807" s="1"/>
    </row>
    <row r="11808" spans="19:19" ht="15.75">
      <c r="S11808" s="1"/>
    </row>
    <row r="11809" spans="19:19" ht="15.75">
      <c r="S11809" s="1"/>
    </row>
    <row r="11810" spans="19:19" ht="15.75">
      <c r="S11810" s="1"/>
    </row>
    <row r="11811" spans="19:19" ht="15.75">
      <c r="S11811" s="1"/>
    </row>
    <row r="11812" spans="19:19" ht="15.75">
      <c r="S11812" s="1"/>
    </row>
    <row r="11813" spans="19:19" ht="15.75">
      <c r="S11813" s="1"/>
    </row>
    <row r="11814" spans="19:19" ht="15.75">
      <c r="S11814" s="1"/>
    </row>
    <row r="11815" spans="19:19" ht="15.75">
      <c r="S11815" s="1"/>
    </row>
    <row r="11816" spans="19:19" ht="15.75">
      <c r="S11816" s="1"/>
    </row>
    <row r="11817" spans="19:19" ht="15.75">
      <c r="S11817" s="1"/>
    </row>
    <row r="11818" spans="19:19" ht="15.75">
      <c r="S11818" s="1"/>
    </row>
    <row r="11819" spans="19:19" ht="15.75">
      <c r="S11819" s="1"/>
    </row>
    <row r="11820" spans="19:19" ht="15.75">
      <c r="S11820" s="1"/>
    </row>
    <row r="11821" spans="19:19" ht="15.75">
      <c r="S11821" s="1"/>
    </row>
    <row r="11822" spans="19:19" ht="15.75">
      <c r="S11822" s="1"/>
    </row>
    <row r="11823" spans="19:19" ht="15.75">
      <c r="S11823" s="1"/>
    </row>
    <row r="11824" spans="19:19" ht="15.75">
      <c r="S11824" s="1"/>
    </row>
    <row r="11825" spans="19:19" ht="15.75">
      <c r="S11825" s="1"/>
    </row>
    <row r="11826" spans="19:19" ht="15.75">
      <c r="S11826" s="1"/>
    </row>
    <row r="11827" spans="19:19" ht="15.75">
      <c r="S11827" s="1"/>
    </row>
    <row r="11828" spans="19:19" ht="15.75">
      <c r="S11828" s="1"/>
    </row>
    <row r="11829" spans="19:19" ht="15.75">
      <c r="S11829" s="1"/>
    </row>
    <row r="11830" spans="19:19" ht="15.75">
      <c r="S11830" s="1"/>
    </row>
    <row r="11831" spans="19:19" ht="15.75">
      <c r="S11831" s="1"/>
    </row>
    <row r="11832" spans="19:19" ht="15.75">
      <c r="S11832" s="1"/>
    </row>
    <row r="11833" spans="19:19" ht="15.75">
      <c r="S11833" s="1"/>
    </row>
    <row r="11834" spans="19:19" ht="15.75">
      <c r="S11834" s="1"/>
    </row>
    <row r="11835" spans="19:19" ht="15.75">
      <c r="S11835" s="1"/>
    </row>
    <row r="11836" spans="19:19" ht="15.75">
      <c r="S11836" s="1"/>
    </row>
    <row r="11837" spans="19:19" ht="15.75">
      <c r="S11837" s="1"/>
    </row>
    <row r="11838" spans="19:19" ht="15.75">
      <c r="S11838" s="1"/>
    </row>
    <row r="11839" spans="19:19" ht="15.75">
      <c r="S11839" s="1"/>
    </row>
    <row r="11840" spans="19:19" ht="15.75">
      <c r="S11840" s="1"/>
    </row>
    <row r="11841" spans="19:19" ht="15.75">
      <c r="S11841" s="1"/>
    </row>
    <row r="11842" spans="19:19" ht="15.75">
      <c r="S11842" s="1"/>
    </row>
    <row r="11843" spans="19:19" ht="15.75">
      <c r="S11843" s="1"/>
    </row>
    <row r="11844" spans="19:19" ht="15.75">
      <c r="S11844" s="1"/>
    </row>
    <row r="11845" spans="19:19" ht="15.75">
      <c r="S11845" s="1"/>
    </row>
    <row r="11846" spans="19:19" ht="15.75">
      <c r="S11846" s="1"/>
    </row>
    <row r="11847" spans="19:19" ht="15.75">
      <c r="S11847" s="1"/>
    </row>
    <row r="11848" spans="19:19" ht="15.75">
      <c r="S11848" s="1"/>
    </row>
    <row r="11849" spans="19:19" ht="15.75">
      <c r="S11849" s="1"/>
    </row>
    <row r="11850" spans="19:19" ht="15.75">
      <c r="S11850" s="1"/>
    </row>
    <row r="11851" spans="19:19" ht="15.75">
      <c r="S11851" s="1"/>
    </row>
    <row r="11852" spans="19:19" ht="15.75">
      <c r="S11852" s="1"/>
    </row>
    <row r="11853" spans="19:19" ht="15.75">
      <c r="S11853" s="1"/>
    </row>
    <row r="11854" spans="19:19" ht="15.75">
      <c r="S11854" s="1"/>
    </row>
    <row r="11855" spans="19:19" ht="15.75">
      <c r="S11855" s="1"/>
    </row>
    <row r="11856" spans="19:19" ht="15.75">
      <c r="S11856" s="1"/>
    </row>
    <row r="11857" spans="19:19" ht="15.75">
      <c r="S11857" s="1"/>
    </row>
    <row r="11858" spans="19:19" ht="15.75">
      <c r="S11858" s="1"/>
    </row>
    <row r="11859" spans="19:19" ht="15.75">
      <c r="S11859" s="1"/>
    </row>
    <row r="11860" spans="19:19" ht="15.75">
      <c r="S11860" s="1"/>
    </row>
    <row r="11861" spans="19:19" ht="15.75">
      <c r="S11861" s="1"/>
    </row>
    <row r="11862" spans="19:19" ht="15.75">
      <c r="S11862" s="1"/>
    </row>
    <row r="11863" spans="19:19" ht="15.75">
      <c r="S11863" s="1"/>
    </row>
    <row r="11864" spans="19:19" ht="15.75">
      <c r="S11864" s="1"/>
    </row>
    <row r="11865" spans="19:19" ht="15.75">
      <c r="S11865" s="1"/>
    </row>
    <row r="11866" spans="19:19" ht="15.75">
      <c r="S11866" s="1"/>
    </row>
    <row r="11867" spans="19:19" ht="15.75">
      <c r="S11867" s="1"/>
    </row>
    <row r="11868" spans="19:19" ht="15.75">
      <c r="S11868" s="1"/>
    </row>
    <row r="11869" spans="19:19" ht="15.75">
      <c r="S11869" s="1"/>
    </row>
    <row r="11870" spans="19:19" ht="15.75">
      <c r="S11870" s="1"/>
    </row>
    <row r="11871" spans="19:19" ht="15.75">
      <c r="S11871" s="1"/>
    </row>
    <row r="11872" spans="19:19" ht="15.75">
      <c r="S11872" s="1"/>
    </row>
    <row r="11873" spans="19:19" ht="15.75">
      <c r="S11873" s="1"/>
    </row>
    <row r="11874" spans="19:19" ht="15.75">
      <c r="S11874" s="1"/>
    </row>
    <row r="11875" spans="19:19" ht="15.75">
      <c r="S11875" s="1"/>
    </row>
    <row r="11876" spans="19:19" ht="15.75">
      <c r="S11876" s="1"/>
    </row>
    <row r="11877" spans="19:19" ht="15.75">
      <c r="S11877" s="1"/>
    </row>
    <row r="11878" spans="19:19" ht="15.75">
      <c r="S11878" s="1"/>
    </row>
    <row r="11879" spans="19:19" ht="15.75">
      <c r="S11879" s="1"/>
    </row>
    <row r="11880" spans="19:19" ht="15.75">
      <c r="S11880" s="1"/>
    </row>
    <row r="11881" spans="19:19" ht="15.75">
      <c r="S11881" s="1"/>
    </row>
    <row r="11882" spans="19:19" ht="15.75">
      <c r="S11882" s="1"/>
    </row>
    <row r="11883" spans="19:19" ht="15.75">
      <c r="S11883" s="1"/>
    </row>
    <row r="11884" spans="19:19" ht="15.75">
      <c r="S11884" s="1"/>
    </row>
    <row r="11885" spans="19:19" ht="15.75">
      <c r="S11885" s="1"/>
    </row>
    <row r="11886" spans="19:19" ht="15.75">
      <c r="S11886" s="1"/>
    </row>
    <row r="11887" spans="19:19" ht="15.75">
      <c r="S11887" s="1"/>
    </row>
    <row r="11888" spans="19:19" ht="15.75">
      <c r="S11888" s="1"/>
    </row>
    <row r="11889" spans="19:19" ht="15.75">
      <c r="S11889" s="1"/>
    </row>
    <row r="11890" spans="19:19" ht="15.75">
      <c r="S11890" s="1"/>
    </row>
    <row r="11891" spans="19:19" ht="15.75">
      <c r="S11891" s="1"/>
    </row>
    <row r="11892" spans="19:19" ht="15.75">
      <c r="S11892" s="1"/>
    </row>
    <row r="11893" spans="19:19" ht="15.75">
      <c r="S11893" s="1"/>
    </row>
    <row r="11894" spans="19:19" ht="15.75">
      <c r="S11894" s="1"/>
    </row>
    <row r="11895" spans="19:19" ht="15.75">
      <c r="S11895" s="1"/>
    </row>
    <row r="11896" spans="19:19" ht="15.75">
      <c r="S11896" s="1"/>
    </row>
    <row r="11897" spans="19:19" ht="15.75">
      <c r="S11897" s="1"/>
    </row>
    <row r="11898" spans="19:19" ht="15.75">
      <c r="S11898" s="1"/>
    </row>
    <row r="11899" spans="19:19" ht="15.75">
      <c r="S11899" s="1"/>
    </row>
    <row r="11900" spans="19:19" ht="15.75">
      <c r="S11900" s="1"/>
    </row>
    <row r="11901" spans="19:19" ht="15.75">
      <c r="S11901" s="1"/>
    </row>
    <row r="11902" spans="19:19" ht="15.75">
      <c r="S11902" s="1"/>
    </row>
    <row r="11903" spans="19:19" ht="15.75">
      <c r="S11903" s="1"/>
    </row>
    <row r="11904" spans="19:19" ht="15.75">
      <c r="S11904" s="1"/>
    </row>
    <row r="11905" spans="19:19" ht="15.75">
      <c r="S11905" s="1"/>
    </row>
    <row r="11906" spans="19:19" ht="15.75">
      <c r="S11906" s="1"/>
    </row>
    <row r="11907" spans="19:19" ht="15.75">
      <c r="S11907" s="1"/>
    </row>
    <row r="11908" spans="19:19" ht="15.75">
      <c r="S11908" s="1"/>
    </row>
    <row r="11909" spans="19:19" ht="15.75">
      <c r="S11909" s="1"/>
    </row>
    <row r="11910" spans="19:19" ht="15.75">
      <c r="S11910" s="1"/>
    </row>
    <row r="11911" spans="19:19" ht="15.75">
      <c r="S11911" s="1"/>
    </row>
    <row r="11912" spans="19:19" ht="15.75">
      <c r="S11912" s="1"/>
    </row>
    <row r="11913" spans="19:19" ht="15.75">
      <c r="S11913" s="1"/>
    </row>
    <row r="11914" spans="19:19" ht="15.75">
      <c r="S11914" s="1"/>
    </row>
    <row r="11915" spans="19:19" ht="15.75">
      <c r="S11915" s="1"/>
    </row>
    <row r="11916" spans="19:19" ht="15.75">
      <c r="S11916" s="1"/>
    </row>
    <row r="11917" spans="19:19" ht="15.75">
      <c r="S11917" s="1"/>
    </row>
    <row r="11918" spans="19:19" ht="15.75">
      <c r="S11918" s="1"/>
    </row>
    <row r="11919" spans="19:19" ht="15.75">
      <c r="S11919" s="1"/>
    </row>
    <row r="11920" spans="19:19" ht="15.75">
      <c r="S11920" s="1"/>
    </row>
    <row r="11921" spans="19:19" ht="15.75">
      <c r="S11921" s="1"/>
    </row>
    <row r="11922" spans="19:19" ht="15.75">
      <c r="S11922" s="1"/>
    </row>
    <row r="11923" spans="19:19" ht="15.75">
      <c r="S11923" s="1"/>
    </row>
    <row r="11924" spans="19:19" ht="15.75">
      <c r="S11924" s="1"/>
    </row>
    <row r="11925" spans="19:19" ht="15.75">
      <c r="S11925" s="1"/>
    </row>
    <row r="11926" spans="19:19" ht="15.75">
      <c r="S11926" s="1"/>
    </row>
    <row r="11927" spans="19:19" ht="15.75">
      <c r="S11927" s="1"/>
    </row>
    <row r="11928" spans="19:19" ht="15.75">
      <c r="S11928" s="1"/>
    </row>
    <row r="11929" spans="19:19" ht="15.75">
      <c r="S11929" s="1"/>
    </row>
    <row r="11930" spans="19:19" ht="15.75">
      <c r="S11930" s="1"/>
    </row>
    <row r="11931" spans="19:19" ht="15.75">
      <c r="S11931" s="1"/>
    </row>
    <row r="11932" spans="19:19" ht="15.75">
      <c r="S11932" s="1"/>
    </row>
    <row r="11933" spans="19:19" ht="15.75">
      <c r="S11933" s="1"/>
    </row>
    <row r="11934" spans="19:19" ht="15.75">
      <c r="S11934" s="1"/>
    </row>
    <row r="11935" spans="19:19" ht="15.75">
      <c r="S11935" s="1"/>
    </row>
    <row r="11936" spans="19:19" ht="15.75">
      <c r="S11936" s="1"/>
    </row>
    <row r="11937" spans="19:19" ht="15.75">
      <c r="S11937" s="1"/>
    </row>
    <row r="11938" spans="19:19" ht="15.75">
      <c r="S11938" s="1"/>
    </row>
    <row r="11939" spans="19:19" ht="15.75">
      <c r="S11939" s="1"/>
    </row>
    <row r="11940" spans="19:19" ht="15.75">
      <c r="S11940" s="1"/>
    </row>
    <row r="11941" spans="19:19" ht="15.75">
      <c r="S11941" s="1"/>
    </row>
    <row r="11942" spans="19:19" ht="15.75">
      <c r="S11942" s="1"/>
    </row>
    <row r="11943" spans="19:19" ht="15.75">
      <c r="S11943" s="1"/>
    </row>
    <row r="11944" spans="19:19" ht="15.75">
      <c r="S11944" s="1"/>
    </row>
    <row r="11945" spans="19:19" ht="15.75">
      <c r="S11945" s="1"/>
    </row>
    <row r="11946" spans="19:19" ht="15.75">
      <c r="S11946" s="1"/>
    </row>
    <row r="11947" spans="19:19" ht="15.75">
      <c r="S11947" s="1"/>
    </row>
    <row r="11948" spans="19:19" ht="15.75">
      <c r="S11948" s="1"/>
    </row>
    <row r="11949" spans="19:19" ht="15.75">
      <c r="S11949" s="1"/>
    </row>
    <row r="11950" spans="19:19" ht="15.75">
      <c r="S11950" s="1"/>
    </row>
    <row r="11951" spans="19:19" ht="15.75">
      <c r="S11951" s="1"/>
    </row>
    <row r="11952" spans="19:19" ht="15.75">
      <c r="S11952" s="1"/>
    </row>
    <row r="11953" spans="19:19" ht="15.75">
      <c r="S11953" s="1"/>
    </row>
    <row r="11954" spans="19:19" ht="15.75">
      <c r="S11954" s="1"/>
    </row>
    <row r="11955" spans="19:19" ht="15.75">
      <c r="S11955" s="1"/>
    </row>
    <row r="11956" spans="19:19" ht="15.75">
      <c r="S11956" s="1"/>
    </row>
    <row r="11957" spans="19:19" ht="15.75">
      <c r="S11957" s="1"/>
    </row>
    <row r="11958" spans="19:19" ht="15.75">
      <c r="S11958" s="1"/>
    </row>
    <row r="11959" spans="19:19" ht="15.75">
      <c r="S11959" s="1"/>
    </row>
    <row r="11960" spans="19:19" ht="15.75">
      <c r="S11960" s="1"/>
    </row>
    <row r="11961" spans="19:19" ht="15.75">
      <c r="S11961" s="1"/>
    </row>
    <row r="11962" spans="19:19" ht="15.75">
      <c r="S11962" s="1"/>
    </row>
    <row r="11963" spans="19:19" ht="15.75">
      <c r="S11963" s="1"/>
    </row>
    <row r="11964" spans="19:19" ht="15.75">
      <c r="S11964" s="1"/>
    </row>
    <row r="11965" spans="19:19" ht="15.75">
      <c r="S11965" s="1"/>
    </row>
    <row r="11966" spans="19:19" ht="15.75">
      <c r="S11966" s="1"/>
    </row>
    <row r="11967" spans="19:19" ht="15.75">
      <c r="S11967" s="1"/>
    </row>
    <row r="11968" spans="19:19" ht="15.75">
      <c r="S11968" s="1"/>
    </row>
    <row r="11969" spans="19:19" ht="15.75">
      <c r="S11969" s="1"/>
    </row>
    <row r="11970" spans="19:19" ht="15.75">
      <c r="S11970" s="1"/>
    </row>
    <row r="11971" spans="19:19" ht="15.75">
      <c r="S11971" s="1"/>
    </row>
    <row r="11972" spans="19:19" ht="15.75">
      <c r="S11972" s="1"/>
    </row>
    <row r="11973" spans="19:19" ht="15.75">
      <c r="S11973" s="1"/>
    </row>
    <row r="11974" spans="19:19" ht="15.75">
      <c r="S11974" s="1"/>
    </row>
    <row r="11975" spans="19:19" ht="15.75">
      <c r="S11975" s="1"/>
    </row>
    <row r="11976" spans="19:19" ht="15.75">
      <c r="S11976" s="1"/>
    </row>
    <row r="11977" spans="19:19" ht="15.75">
      <c r="S11977" s="1"/>
    </row>
    <row r="11978" spans="19:19" ht="15.75">
      <c r="S11978" s="1"/>
    </row>
    <row r="11979" spans="19:19" ht="15.75">
      <c r="S11979" s="1"/>
    </row>
    <row r="11980" spans="19:19" ht="15.75">
      <c r="S11980" s="1"/>
    </row>
    <row r="11981" spans="19:19" ht="15.75">
      <c r="S11981" s="1"/>
    </row>
    <row r="11982" spans="19:19" ht="15.75">
      <c r="S11982" s="1"/>
    </row>
    <row r="11983" spans="19:19" ht="15.75">
      <c r="S11983" s="1"/>
    </row>
    <row r="11984" spans="19:19" ht="15.75">
      <c r="S11984" s="1"/>
    </row>
    <row r="11985" spans="19:19" ht="15.75">
      <c r="S11985" s="1"/>
    </row>
    <row r="11986" spans="19:19" ht="15.75">
      <c r="S11986" s="1"/>
    </row>
    <row r="11987" spans="19:19" ht="15.75">
      <c r="S11987" s="1"/>
    </row>
    <row r="11988" spans="19:19" ht="15.75">
      <c r="S11988" s="1"/>
    </row>
    <row r="11989" spans="19:19" ht="15.75">
      <c r="S11989" s="1"/>
    </row>
    <row r="11990" spans="19:19" ht="15.75">
      <c r="S11990" s="1"/>
    </row>
    <row r="11991" spans="19:19" ht="15.75">
      <c r="S11991" s="1"/>
    </row>
    <row r="11992" spans="19:19" ht="15.75">
      <c r="S11992" s="1"/>
    </row>
    <row r="11993" spans="19:19" ht="15.75">
      <c r="S11993" s="1"/>
    </row>
    <row r="11994" spans="19:19" ht="15.75">
      <c r="S11994" s="1"/>
    </row>
    <row r="11995" spans="19:19" ht="15.75">
      <c r="S11995" s="1"/>
    </row>
    <row r="11996" spans="19:19" ht="15.75">
      <c r="S11996" s="1"/>
    </row>
    <row r="11997" spans="19:19" ht="15.75">
      <c r="S11997" s="1"/>
    </row>
    <row r="11998" spans="19:19" ht="15.75">
      <c r="S11998" s="1"/>
    </row>
    <row r="11999" spans="19:19" ht="15.75">
      <c r="S11999" s="1"/>
    </row>
    <row r="12000" spans="19:19" ht="15.75">
      <c r="S12000" s="1"/>
    </row>
    <row r="12001" spans="19:19" ht="15.75">
      <c r="S12001" s="1"/>
    </row>
    <row r="12002" spans="19:19" ht="15.75">
      <c r="S12002" s="1"/>
    </row>
    <row r="12003" spans="19:19" ht="15.75">
      <c r="S12003" s="1"/>
    </row>
    <row r="12004" spans="19:19" ht="15.75">
      <c r="S12004" s="1"/>
    </row>
    <row r="12005" spans="19:19" ht="15.75">
      <c r="S12005" s="1"/>
    </row>
    <row r="12006" spans="19:19" ht="15.75">
      <c r="S12006" s="1"/>
    </row>
    <row r="12007" spans="19:19" ht="15.75">
      <c r="S12007" s="1"/>
    </row>
    <row r="12008" spans="19:19" ht="15.75">
      <c r="S12008" s="1"/>
    </row>
    <row r="12009" spans="19:19" ht="15.75">
      <c r="S12009" s="1"/>
    </row>
    <row r="12010" spans="19:19" ht="15.75">
      <c r="S12010" s="1"/>
    </row>
    <row r="12011" spans="19:19" ht="15.75">
      <c r="S12011" s="1"/>
    </row>
    <row r="12012" spans="19:19" ht="15.75">
      <c r="S12012" s="1"/>
    </row>
    <row r="12013" spans="19:19" ht="15.75">
      <c r="S12013" s="1"/>
    </row>
    <row r="12014" spans="19:19" ht="15.75">
      <c r="S12014" s="1"/>
    </row>
    <row r="12015" spans="19:19" ht="15.75">
      <c r="S12015" s="1"/>
    </row>
    <row r="12016" spans="19:19" ht="15.75">
      <c r="S12016" s="1"/>
    </row>
    <row r="12017" spans="19:19" ht="15.75">
      <c r="S12017" s="1"/>
    </row>
    <row r="12018" spans="19:19" ht="15.75">
      <c r="S12018" s="1"/>
    </row>
    <row r="12019" spans="19:19" ht="15.75">
      <c r="S12019" s="1"/>
    </row>
    <row r="12020" spans="19:19" ht="15.75">
      <c r="S12020" s="1"/>
    </row>
    <row r="12021" spans="19:19" ht="15.75">
      <c r="S12021" s="1"/>
    </row>
    <row r="12022" spans="19:19" ht="15.75">
      <c r="S12022" s="1"/>
    </row>
    <row r="12023" spans="19:19" ht="15.75">
      <c r="S12023" s="1"/>
    </row>
    <row r="12024" spans="19:19" ht="15.75">
      <c r="S12024" s="1"/>
    </row>
    <row r="12025" spans="19:19" ht="15.75">
      <c r="S12025" s="1"/>
    </row>
    <row r="12026" spans="19:19" ht="15.75">
      <c r="S12026" s="1"/>
    </row>
    <row r="12027" spans="19:19" ht="15.75">
      <c r="S12027" s="1"/>
    </row>
    <row r="12028" spans="19:19" ht="15.75">
      <c r="S12028" s="1"/>
    </row>
    <row r="12029" spans="19:19" ht="15.75">
      <c r="S12029" s="1"/>
    </row>
    <row r="12030" spans="19:19" ht="15.75">
      <c r="S12030" s="1"/>
    </row>
    <row r="12031" spans="19:19" ht="15.75">
      <c r="S12031" s="1"/>
    </row>
    <row r="12032" spans="19:19" ht="15.75">
      <c r="S12032" s="1"/>
    </row>
    <row r="12033" spans="19:19" ht="15.75">
      <c r="S12033" s="1"/>
    </row>
    <row r="12034" spans="19:19" ht="15.75">
      <c r="S12034" s="1"/>
    </row>
    <row r="12035" spans="19:19" ht="15.75">
      <c r="S12035" s="1"/>
    </row>
    <row r="12036" spans="19:19" ht="15.75">
      <c r="S12036" s="1"/>
    </row>
    <row r="12037" spans="19:19" ht="15.75">
      <c r="S12037" s="1"/>
    </row>
    <row r="12038" spans="19:19" ht="15.75">
      <c r="S12038" s="1"/>
    </row>
    <row r="12039" spans="19:19" ht="15.75">
      <c r="S12039" s="1"/>
    </row>
    <row r="12040" spans="19:19" ht="15.75">
      <c r="S12040" s="1"/>
    </row>
    <row r="12041" spans="19:19" ht="15.75">
      <c r="S12041" s="1"/>
    </row>
    <row r="12042" spans="19:19" ht="15.75">
      <c r="S12042" s="1"/>
    </row>
    <row r="12043" spans="19:19" ht="15.75">
      <c r="S12043" s="1"/>
    </row>
    <row r="12044" spans="19:19" ht="15.75">
      <c r="S12044" s="1"/>
    </row>
    <row r="12045" spans="19:19" ht="15.75">
      <c r="S12045" s="1"/>
    </row>
    <row r="12046" spans="19:19" ht="15.75">
      <c r="S12046" s="1"/>
    </row>
    <row r="12047" spans="19:19" ht="15.75">
      <c r="S12047" s="1"/>
    </row>
    <row r="12048" spans="19:19" ht="15.75">
      <c r="S12048" s="1"/>
    </row>
    <row r="12049" spans="19:19" ht="15.75">
      <c r="S12049" s="1"/>
    </row>
    <row r="12050" spans="19:19" ht="15.75">
      <c r="S12050" s="1"/>
    </row>
    <row r="12051" spans="19:19" ht="15.75">
      <c r="S12051" s="1"/>
    </row>
    <row r="12052" spans="19:19" ht="15.75">
      <c r="S12052" s="1"/>
    </row>
    <row r="12053" spans="19:19" ht="15.75">
      <c r="S12053" s="1"/>
    </row>
    <row r="12054" spans="19:19" ht="15.75">
      <c r="S12054" s="1"/>
    </row>
    <row r="12055" spans="19:19" ht="15.75">
      <c r="S12055" s="1"/>
    </row>
    <row r="12056" spans="19:19" ht="15.75">
      <c r="S12056" s="1"/>
    </row>
    <row r="12057" spans="19:19" ht="15.75">
      <c r="S12057" s="1"/>
    </row>
    <row r="12058" spans="19:19" ht="15.75">
      <c r="S12058" s="1"/>
    </row>
    <row r="12059" spans="19:19" ht="15.75">
      <c r="S12059" s="1"/>
    </row>
    <row r="12060" spans="19:19" ht="15.75">
      <c r="S12060" s="1"/>
    </row>
    <row r="12061" spans="19:19" ht="15.75">
      <c r="S12061" s="1"/>
    </row>
    <row r="12062" spans="19:19" ht="15.75">
      <c r="S12062" s="1"/>
    </row>
    <row r="12063" spans="19:19" ht="15.75">
      <c r="S12063" s="1"/>
    </row>
    <row r="12064" spans="19:19" ht="15.75">
      <c r="S12064" s="1"/>
    </row>
    <row r="12065" spans="19:19" ht="15.75">
      <c r="S12065" s="1"/>
    </row>
    <row r="12066" spans="19:19" ht="15.75">
      <c r="S12066" s="1"/>
    </row>
    <row r="12067" spans="19:19" ht="15.75">
      <c r="S12067" s="1"/>
    </row>
    <row r="12068" spans="19:19" ht="15.75">
      <c r="S12068" s="1"/>
    </row>
    <row r="12069" spans="19:19" ht="15.75">
      <c r="S12069" s="1"/>
    </row>
    <row r="12070" spans="19:19" ht="15.75">
      <c r="S12070" s="1"/>
    </row>
    <row r="12071" spans="19:19" ht="15.75">
      <c r="S12071" s="1"/>
    </row>
    <row r="12072" spans="19:19" ht="15.75">
      <c r="S12072" s="1"/>
    </row>
    <row r="12073" spans="19:19" ht="15.75">
      <c r="S12073" s="1"/>
    </row>
    <row r="12074" spans="19:19" ht="15.75">
      <c r="S12074" s="1"/>
    </row>
    <row r="12075" spans="19:19" ht="15.75">
      <c r="S12075" s="1"/>
    </row>
    <row r="12076" spans="19:19" ht="15.75">
      <c r="S12076" s="1"/>
    </row>
    <row r="12077" spans="19:19" ht="15.75">
      <c r="S12077" s="1"/>
    </row>
    <row r="12078" spans="19:19" ht="15.75">
      <c r="S12078" s="1"/>
    </row>
    <row r="12079" spans="19:19" ht="15.75">
      <c r="S12079" s="1"/>
    </row>
    <row r="12080" spans="19:19" ht="15.75">
      <c r="S12080" s="1"/>
    </row>
    <row r="12081" spans="19:19" ht="15.75">
      <c r="S12081" s="1"/>
    </row>
    <row r="12082" spans="19:19" ht="15.75">
      <c r="S12082" s="1"/>
    </row>
    <row r="12083" spans="19:19" ht="15.75">
      <c r="S12083" s="1"/>
    </row>
    <row r="12084" spans="19:19" ht="15.75">
      <c r="S12084" s="1"/>
    </row>
    <row r="12085" spans="19:19" ht="15.75">
      <c r="S12085" s="1"/>
    </row>
    <row r="12086" spans="19:19" ht="15.75">
      <c r="S12086" s="1"/>
    </row>
    <row r="12087" spans="19:19" ht="15.75">
      <c r="S12087" s="1"/>
    </row>
    <row r="12088" spans="19:19" ht="15.75">
      <c r="S12088" s="1"/>
    </row>
    <row r="12089" spans="19:19" ht="15.75">
      <c r="S12089" s="1"/>
    </row>
    <row r="12090" spans="19:19" ht="15.75">
      <c r="S12090" s="1"/>
    </row>
    <row r="12091" spans="19:19" ht="15.75">
      <c r="S12091" s="1"/>
    </row>
    <row r="12092" spans="19:19" ht="15.75">
      <c r="S12092" s="1"/>
    </row>
    <row r="12093" spans="19:19" ht="15.75">
      <c r="S12093" s="1"/>
    </row>
    <row r="12094" spans="19:19" ht="15.75">
      <c r="S12094" s="1"/>
    </row>
    <row r="12095" spans="19:19" ht="15.75">
      <c r="S12095" s="1"/>
    </row>
    <row r="12096" spans="19:19" ht="15.75">
      <c r="S12096" s="1"/>
    </row>
    <row r="12097" spans="19:19" ht="15.75">
      <c r="S12097" s="1"/>
    </row>
    <row r="12098" spans="19:19" ht="15.75">
      <c r="S12098" s="1"/>
    </row>
    <row r="12099" spans="19:19" ht="15.75">
      <c r="S12099" s="1"/>
    </row>
    <row r="12100" spans="19:19" ht="15.75">
      <c r="S12100" s="1"/>
    </row>
    <row r="12101" spans="19:19" ht="15.75">
      <c r="S12101" s="1"/>
    </row>
    <row r="12102" spans="19:19" ht="15.75">
      <c r="S12102" s="1"/>
    </row>
    <row r="12103" spans="19:19" ht="15.75">
      <c r="S12103" s="1"/>
    </row>
    <row r="12104" spans="19:19" ht="15.75">
      <c r="S12104" s="1"/>
    </row>
    <row r="12105" spans="19:19" ht="15.75">
      <c r="S12105" s="1"/>
    </row>
    <row r="12106" spans="19:19" ht="15.75">
      <c r="S12106" s="1"/>
    </row>
    <row r="12107" spans="19:19" ht="15.75">
      <c r="S12107" s="1"/>
    </row>
    <row r="12108" spans="19:19" ht="15.75">
      <c r="S12108" s="1"/>
    </row>
    <row r="12109" spans="19:19" ht="15.75">
      <c r="S12109" s="1"/>
    </row>
    <row r="12110" spans="19:19" ht="15.75">
      <c r="S12110" s="1"/>
    </row>
    <row r="12111" spans="19:19" ht="15.75">
      <c r="S12111" s="1"/>
    </row>
    <row r="12112" spans="19:19" ht="15.75">
      <c r="S12112" s="1"/>
    </row>
    <row r="12113" spans="19:19" ht="15.75">
      <c r="S12113" s="1"/>
    </row>
    <row r="12114" spans="19:19" ht="15.75">
      <c r="S12114" s="1"/>
    </row>
    <row r="12115" spans="19:19" ht="15.75">
      <c r="S12115" s="1"/>
    </row>
    <row r="12116" spans="19:19" ht="15.75">
      <c r="S12116" s="1"/>
    </row>
    <row r="12117" spans="19:19" ht="15.75">
      <c r="S12117" s="1"/>
    </row>
    <row r="12118" spans="19:19" ht="15.75">
      <c r="S12118" s="1"/>
    </row>
    <row r="12119" spans="19:19" ht="15.75">
      <c r="S12119" s="1"/>
    </row>
    <row r="12120" spans="19:19" ht="15.75">
      <c r="S12120" s="1"/>
    </row>
    <row r="12121" spans="19:19" ht="15.75">
      <c r="S12121" s="1"/>
    </row>
    <row r="12122" spans="19:19" ht="15.75">
      <c r="S12122" s="1"/>
    </row>
    <row r="12123" spans="19:19" ht="15.75">
      <c r="S12123" s="1"/>
    </row>
    <row r="12124" spans="19:19" ht="15.75">
      <c r="S12124" s="1"/>
    </row>
    <row r="12125" spans="19:19" ht="15.75">
      <c r="S12125" s="1"/>
    </row>
    <row r="12126" spans="19:19" ht="15.75">
      <c r="S12126" s="1"/>
    </row>
    <row r="12127" spans="19:19" ht="15.75">
      <c r="S12127" s="1"/>
    </row>
    <row r="12128" spans="19:19" ht="15.75">
      <c r="S12128" s="1"/>
    </row>
    <row r="12129" spans="19:19" ht="15.75">
      <c r="S12129" s="1"/>
    </row>
    <row r="12130" spans="19:19" ht="15.75">
      <c r="S12130" s="1"/>
    </row>
    <row r="12131" spans="19:19" ht="15.75">
      <c r="S12131" s="1"/>
    </row>
    <row r="12132" spans="19:19" ht="15.75">
      <c r="S12132" s="1"/>
    </row>
    <row r="12133" spans="19:19" ht="15.75">
      <c r="S12133" s="1"/>
    </row>
    <row r="12134" spans="19:19" ht="15.75">
      <c r="S12134" s="1"/>
    </row>
    <row r="12135" spans="19:19" ht="15.75">
      <c r="S12135" s="1"/>
    </row>
    <row r="12136" spans="19:19" ht="15.75">
      <c r="S12136" s="1"/>
    </row>
    <row r="12137" spans="19:19" ht="15.75">
      <c r="S12137" s="1"/>
    </row>
    <row r="12138" spans="19:19" ht="15.75">
      <c r="S12138" s="1"/>
    </row>
    <row r="12139" spans="19:19" ht="15.75">
      <c r="S12139" s="1"/>
    </row>
    <row r="12140" spans="19:19" ht="15.75">
      <c r="S12140" s="1"/>
    </row>
    <row r="12141" spans="19:19" ht="15.75">
      <c r="S12141" s="1"/>
    </row>
    <row r="12142" spans="19:19" ht="15.75">
      <c r="S12142" s="1"/>
    </row>
    <row r="12143" spans="19:19" ht="15.75">
      <c r="S12143" s="1"/>
    </row>
    <row r="12144" spans="19:19" ht="15.75">
      <c r="S12144" s="1"/>
    </row>
    <row r="12145" spans="19:19" ht="15.75">
      <c r="S12145" s="1"/>
    </row>
    <row r="12146" spans="19:19" ht="15.75">
      <c r="S12146" s="1"/>
    </row>
    <row r="12147" spans="19:19" ht="15.75">
      <c r="S12147" s="1"/>
    </row>
    <row r="12148" spans="19:19" ht="15.75">
      <c r="S12148" s="1"/>
    </row>
    <row r="12149" spans="19:19" ht="15.75">
      <c r="S12149" s="1"/>
    </row>
    <row r="12150" spans="19:19" ht="15.75">
      <c r="S12150" s="1"/>
    </row>
    <row r="12151" spans="19:19" ht="15.75">
      <c r="S12151" s="1"/>
    </row>
    <row r="12152" spans="19:19" ht="15.75">
      <c r="S12152" s="1"/>
    </row>
    <row r="12153" spans="19:19" ht="15.75">
      <c r="S12153" s="1"/>
    </row>
    <row r="12154" spans="19:19" ht="15.75">
      <c r="S12154" s="1"/>
    </row>
    <row r="12155" spans="19:19" ht="15.75">
      <c r="S12155" s="1"/>
    </row>
    <row r="12156" spans="19:19" ht="15.75">
      <c r="S12156" s="1"/>
    </row>
    <row r="12157" spans="19:19" ht="15.75">
      <c r="S12157" s="1"/>
    </row>
    <row r="12158" spans="19:19" ht="15.75">
      <c r="S12158" s="1"/>
    </row>
    <row r="12159" spans="19:19" ht="15.75">
      <c r="S12159" s="1"/>
    </row>
    <row r="12160" spans="19:19" ht="15.75">
      <c r="S12160" s="1"/>
    </row>
    <row r="12161" spans="19:19" ht="15.75">
      <c r="S12161" s="1"/>
    </row>
    <row r="12162" spans="19:19" ht="15.75">
      <c r="S12162" s="1"/>
    </row>
    <row r="12163" spans="19:19" ht="15.75">
      <c r="S12163" s="1"/>
    </row>
    <row r="12164" spans="19:19" ht="15.75">
      <c r="S12164" s="1"/>
    </row>
    <row r="12165" spans="19:19" ht="15.75">
      <c r="S12165" s="1"/>
    </row>
    <row r="12166" spans="19:19" ht="15.75">
      <c r="S12166" s="1"/>
    </row>
    <row r="12167" spans="19:19" ht="15.75">
      <c r="S12167" s="1"/>
    </row>
    <row r="12168" spans="19:19" ht="15.75">
      <c r="S12168" s="1"/>
    </row>
    <row r="12169" spans="19:19" ht="15.75">
      <c r="S12169" s="1"/>
    </row>
    <row r="12170" spans="19:19" ht="15.75">
      <c r="S12170" s="1"/>
    </row>
    <row r="12171" spans="19:19" ht="15.75">
      <c r="S12171" s="1"/>
    </row>
    <row r="12172" spans="19:19" ht="15.75">
      <c r="S12172" s="1"/>
    </row>
    <row r="12173" spans="19:19" ht="15.75">
      <c r="S12173" s="1"/>
    </row>
    <row r="12174" spans="19:19" ht="15.75">
      <c r="S12174" s="1"/>
    </row>
    <row r="12175" spans="19:19" ht="15.75">
      <c r="S12175" s="1"/>
    </row>
    <row r="12176" spans="19:19" ht="15.75">
      <c r="S12176" s="1"/>
    </row>
    <row r="12177" spans="19:19" ht="15.75">
      <c r="S12177" s="1"/>
    </row>
    <row r="12178" spans="19:19" ht="15.75">
      <c r="S12178" s="1"/>
    </row>
    <row r="12179" spans="19:19" ht="15.75">
      <c r="S12179" s="1"/>
    </row>
    <row r="12180" spans="19:19" ht="15.75">
      <c r="S12180" s="1"/>
    </row>
    <row r="12181" spans="19:19" ht="15.75">
      <c r="S12181" s="1"/>
    </row>
    <row r="12182" spans="19:19" ht="15.75">
      <c r="S12182" s="1"/>
    </row>
    <row r="12183" spans="19:19" ht="15.75">
      <c r="S12183" s="1"/>
    </row>
    <row r="12184" spans="19:19" ht="15.75">
      <c r="S12184" s="1"/>
    </row>
    <row r="12185" spans="19:19" ht="15.75">
      <c r="S12185" s="1"/>
    </row>
    <row r="12186" spans="19:19" ht="15.75">
      <c r="S12186" s="1"/>
    </row>
    <row r="12187" spans="19:19" ht="15.75">
      <c r="S12187" s="1"/>
    </row>
    <row r="12188" spans="19:19" ht="15.75">
      <c r="S12188" s="1"/>
    </row>
    <row r="12189" spans="19:19" ht="15.75">
      <c r="S12189" s="1"/>
    </row>
    <row r="12190" spans="19:19" ht="15.75">
      <c r="S12190" s="1"/>
    </row>
    <row r="12191" spans="19:19" ht="15.75">
      <c r="S12191" s="1"/>
    </row>
    <row r="12192" spans="19:19" ht="15.75">
      <c r="S12192" s="1"/>
    </row>
    <row r="12193" spans="19:19" ht="15.75">
      <c r="S12193" s="1"/>
    </row>
    <row r="12194" spans="19:19" ht="15.75">
      <c r="S12194" s="1"/>
    </row>
    <row r="12195" spans="19:19" ht="15.75">
      <c r="S12195" s="1"/>
    </row>
    <row r="12196" spans="19:19" ht="15.75">
      <c r="S12196" s="1"/>
    </row>
    <row r="12197" spans="19:19" ht="15.75">
      <c r="S12197" s="1"/>
    </row>
    <row r="12198" spans="19:19" ht="15.75">
      <c r="S12198" s="1"/>
    </row>
    <row r="12199" spans="19:19" ht="15.75">
      <c r="S12199" s="1"/>
    </row>
    <row r="12200" spans="19:19" ht="15.75">
      <c r="S12200" s="1"/>
    </row>
    <row r="12201" spans="19:19" ht="15.75">
      <c r="S12201" s="1"/>
    </row>
    <row r="12202" spans="19:19" ht="15.75">
      <c r="S12202" s="1"/>
    </row>
    <row r="12203" spans="19:19" ht="15.75">
      <c r="S12203" s="1"/>
    </row>
    <row r="12204" spans="19:19" ht="15.75">
      <c r="S12204" s="1"/>
    </row>
    <row r="12205" spans="19:19" ht="15.75">
      <c r="S12205" s="1"/>
    </row>
    <row r="12206" spans="19:19" ht="15.75">
      <c r="S12206" s="1"/>
    </row>
    <row r="12207" spans="19:19" ht="15.75">
      <c r="S12207" s="1"/>
    </row>
    <row r="12208" spans="19:19" ht="15.75">
      <c r="S12208" s="1"/>
    </row>
    <row r="12209" spans="19:19" ht="15.75">
      <c r="S12209" s="1"/>
    </row>
    <row r="12210" spans="19:19" ht="15.75">
      <c r="S12210" s="1"/>
    </row>
    <row r="12211" spans="19:19" ht="15.75">
      <c r="S12211" s="1"/>
    </row>
    <row r="12212" spans="19:19" ht="15.75">
      <c r="S12212" s="1"/>
    </row>
    <row r="12213" spans="19:19" ht="15.75">
      <c r="S12213" s="1"/>
    </row>
    <row r="12214" spans="19:19" ht="15.75">
      <c r="S12214" s="1"/>
    </row>
    <row r="12215" spans="19:19" ht="15.75">
      <c r="S12215" s="1"/>
    </row>
    <row r="12216" spans="19:19" ht="15.75">
      <c r="S12216" s="1"/>
    </row>
    <row r="12217" spans="19:19" ht="15.75">
      <c r="S12217" s="1"/>
    </row>
    <row r="12218" spans="19:19" ht="15.75">
      <c r="S12218" s="1"/>
    </row>
    <row r="12219" spans="19:19" ht="15.75">
      <c r="S12219" s="1"/>
    </row>
    <row r="12220" spans="19:19" ht="15.75">
      <c r="S12220" s="1"/>
    </row>
    <row r="12221" spans="19:19" ht="15.75">
      <c r="S12221" s="1"/>
    </row>
    <row r="12222" spans="19:19" ht="15.75">
      <c r="S12222" s="1"/>
    </row>
    <row r="12223" spans="19:19" ht="15.75">
      <c r="S12223" s="1"/>
    </row>
    <row r="12224" spans="19:19" ht="15.75">
      <c r="S12224" s="1"/>
    </row>
    <row r="12225" spans="19:19" ht="15.75">
      <c r="S12225" s="1"/>
    </row>
    <row r="12226" spans="19:19" ht="15.75">
      <c r="S12226" s="1"/>
    </row>
    <row r="12227" spans="19:19" ht="15.75">
      <c r="S12227" s="1"/>
    </row>
    <row r="12228" spans="19:19" ht="15.75">
      <c r="S12228" s="1"/>
    </row>
    <row r="12229" spans="19:19" ht="15.75">
      <c r="S12229" s="1"/>
    </row>
    <row r="12230" spans="19:19" ht="15.75">
      <c r="S12230" s="1"/>
    </row>
    <row r="12231" spans="19:19" ht="15.75">
      <c r="S12231" s="1"/>
    </row>
    <row r="12232" spans="19:19" ht="15.75">
      <c r="S12232" s="1"/>
    </row>
    <row r="12233" spans="19:19" ht="15.75">
      <c r="S12233" s="1"/>
    </row>
    <row r="12234" spans="19:19" ht="15.75">
      <c r="S12234" s="1"/>
    </row>
    <row r="12235" spans="19:19" ht="15.75">
      <c r="S12235" s="1"/>
    </row>
    <row r="12236" spans="19:19" ht="15.75">
      <c r="S12236" s="1"/>
    </row>
    <row r="12237" spans="19:19" ht="15.75">
      <c r="S12237" s="1"/>
    </row>
    <row r="12238" spans="19:19" ht="15.75">
      <c r="S12238" s="1"/>
    </row>
    <row r="12239" spans="19:19" ht="15.75">
      <c r="S12239" s="1"/>
    </row>
    <row r="12240" spans="19:19" ht="15.75">
      <c r="S12240" s="1"/>
    </row>
    <row r="12241" spans="19:19" ht="15.75">
      <c r="S12241" s="1"/>
    </row>
    <row r="12242" spans="19:19" ht="15.75">
      <c r="S12242" s="1"/>
    </row>
    <row r="12243" spans="19:19" ht="15.75">
      <c r="S12243" s="1"/>
    </row>
    <row r="12244" spans="19:19" ht="15.75">
      <c r="S12244" s="1"/>
    </row>
    <row r="12245" spans="19:19" ht="15.75">
      <c r="S12245" s="1"/>
    </row>
    <row r="12246" spans="19:19" ht="15.75">
      <c r="S12246" s="1"/>
    </row>
    <row r="12247" spans="19:19" ht="15.75">
      <c r="S12247" s="1"/>
    </row>
    <row r="12248" spans="19:19" ht="15.75">
      <c r="S12248" s="1"/>
    </row>
    <row r="12249" spans="19:19" ht="15.75">
      <c r="S12249" s="1"/>
    </row>
    <row r="12250" spans="19:19" ht="15.75">
      <c r="S12250" s="1"/>
    </row>
    <row r="12251" spans="19:19" ht="15.75">
      <c r="S12251" s="1"/>
    </row>
    <row r="12252" spans="19:19" ht="15.75">
      <c r="S12252" s="1"/>
    </row>
    <row r="12253" spans="19:19" ht="15.75">
      <c r="S12253" s="1"/>
    </row>
    <row r="12254" spans="19:19" ht="15.75">
      <c r="S12254" s="1"/>
    </row>
    <row r="12255" spans="19:19" ht="15.75">
      <c r="S12255" s="1"/>
    </row>
    <row r="12256" spans="19:19" ht="15.75">
      <c r="S12256" s="1"/>
    </row>
    <row r="12257" spans="19:19" ht="15.75">
      <c r="S12257" s="1"/>
    </row>
    <row r="12258" spans="19:19" ht="15.75">
      <c r="S12258" s="1"/>
    </row>
    <row r="12259" spans="19:19" ht="15.75">
      <c r="S12259" s="1"/>
    </row>
    <row r="12260" spans="19:19" ht="15.75">
      <c r="S12260" s="1"/>
    </row>
    <row r="12261" spans="19:19" ht="15.75">
      <c r="S12261" s="1"/>
    </row>
    <row r="12262" spans="19:19" ht="15.75">
      <c r="S12262" s="1"/>
    </row>
    <row r="12263" spans="19:19" ht="15.75">
      <c r="S12263" s="1"/>
    </row>
    <row r="12264" spans="19:19" ht="15.75">
      <c r="S12264" s="1"/>
    </row>
    <row r="12265" spans="19:19" ht="15.75">
      <c r="S12265" s="1"/>
    </row>
    <row r="12266" spans="19:19" ht="15.75">
      <c r="S12266" s="1"/>
    </row>
    <row r="12267" spans="19:19" ht="15.75">
      <c r="S12267" s="1"/>
    </row>
    <row r="12268" spans="19:19" ht="15.75">
      <c r="S12268" s="1"/>
    </row>
    <row r="12269" spans="19:19" ht="15.75">
      <c r="S12269" s="1"/>
    </row>
    <row r="12270" spans="19:19" ht="15.75">
      <c r="S12270" s="1"/>
    </row>
    <row r="12271" spans="19:19" ht="15.75">
      <c r="S12271" s="1"/>
    </row>
    <row r="12272" spans="19:19" ht="15.75">
      <c r="S12272" s="1"/>
    </row>
    <row r="12273" spans="19:19" ht="15.75">
      <c r="S12273" s="1"/>
    </row>
    <row r="12274" spans="19:19" ht="15.75">
      <c r="S12274" s="1"/>
    </row>
    <row r="12275" spans="19:19" ht="15.75">
      <c r="S12275" s="1"/>
    </row>
    <row r="12276" spans="19:19" ht="15.75">
      <c r="S12276" s="1"/>
    </row>
    <row r="12277" spans="19:19" ht="15.75">
      <c r="S12277" s="1"/>
    </row>
    <row r="12278" spans="19:19" ht="15.75">
      <c r="S12278" s="1"/>
    </row>
    <row r="12279" spans="19:19" ht="15.75">
      <c r="S12279" s="1"/>
    </row>
    <row r="12280" spans="19:19" ht="15.75">
      <c r="S12280" s="1"/>
    </row>
    <row r="12281" spans="19:19" ht="15.75">
      <c r="S12281" s="1"/>
    </row>
    <row r="12282" spans="19:19" ht="15.75">
      <c r="S12282" s="1"/>
    </row>
    <row r="12283" spans="19:19" ht="15.75">
      <c r="S12283" s="1"/>
    </row>
    <row r="12284" spans="19:19" ht="15.75">
      <c r="S12284" s="1"/>
    </row>
    <row r="12285" spans="19:19" ht="15.75">
      <c r="S12285" s="1"/>
    </row>
    <row r="12286" spans="19:19" ht="15.75">
      <c r="S12286" s="1"/>
    </row>
    <row r="12287" spans="19:19" ht="15.75">
      <c r="S12287" s="1"/>
    </row>
    <row r="12288" spans="19:19" ht="15.75">
      <c r="S12288" s="1"/>
    </row>
    <row r="12289" spans="19:19" ht="15.75">
      <c r="S12289" s="1"/>
    </row>
    <row r="12290" spans="19:19" ht="15.75">
      <c r="S12290" s="1"/>
    </row>
    <row r="12291" spans="19:19" ht="15.75">
      <c r="S12291" s="1"/>
    </row>
    <row r="12292" spans="19:19" ht="15.75">
      <c r="S12292" s="1"/>
    </row>
    <row r="12293" spans="19:19" ht="15.75">
      <c r="S12293" s="1"/>
    </row>
    <row r="12294" spans="19:19" ht="15.75">
      <c r="S12294" s="1"/>
    </row>
    <row r="12295" spans="19:19" ht="15.75">
      <c r="S12295" s="1"/>
    </row>
    <row r="12296" spans="19:19" ht="15.75">
      <c r="S12296" s="1"/>
    </row>
    <row r="12297" spans="19:19" ht="15.75">
      <c r="S12297" s="1"/>
    </row>
    <row r="12298" spans="19:19" ht="15.75">
      <c r="S12298" s="1"/>
    </row>
    <row r="12299" spans="19:19" ht="15.75">
      <c r="S12299" s="1"/>
    </row>
    <row r="12300" spans="19:19" ht="15.75">
      <c r="S12300" s="1"/>
    </row>
    <row r="12301" spans="19:19" ht="15.75">
      <c r="S12301" s="1"/>
    </row>
    <row r="12302" spans="19:19" ht="15.75">
      <c r="S12302" s="1"/>
    </row>
    <row r="12303" spans="19:19" ht="15.75">
      <c r="S12303" s="1"/>
    </row>
    <row r="12304" spans="19:19" ht="15.75">
      <c r="S12304" s="1"/>
    </row>
    <row r="12305" spans="19:19" ht="15.75">
      <c r="S12305" s="1"/>
    </row>
    <row r="12306" spans="19:19" ht="15.75">
      <c r="S12306" s="1"/>
    </row>
    <row r="12307" spans="19:19" ht="15.75">
      <c r="S12307" s="1"/>
    </row>
    <row r="12308" spans="19:19" ht="15.75">
      <c r="S12308" s="1"/>
    </row>
    <row r="12309" spans="19:19" ht="15.75">
      <c r="S12309" s="1"/>
    </row>
    <row r="12310" spans="19:19" ht="15.75">
      <c r="S12310" s="1"/>
    </row>
    <row r="12311" spans="19:19" ht="15.75">
      <c r="S12311" s="1"/>
    </row>
    <row r="12312" spans="19:19" ht="15.75">
      <c r="S12312" s="1"/>
    </row>
    <row r="12313" spans="19:19" ht="15.75">
      <c r="S12313" s="1"/>
    </row>
    <row r="12314" spans="19:19" ht="15.75">
      <c r="S12314" s="1"/>
    </row>
    <row r="12315" spans="19:19" ht="15.75">
      <c r="S12315" s="1"/>
    </row>
    <row r="12316" spans="19:19" ht="15.75">
      <c r="S12316" s="1"/>
    </row>
    <row r="12317" spans="19:19" ht="15.75">
      <c r="S12317" s="1"/>
    </row>
    <row r="12318" spans="19:19" ht="15.75">
      <c r="S12318" s="1"/>
    </row>
    <row r="12319" spans="19:19" ht="15.75">
      <c r="S12319" s="1"/>
    </row>
    <row r="12320" spans="19:19" ht="15.75">
      <c r="S12320" s="1"/>
    </row>
    <row r="12321" spans="19:19" ht="15.75">
      <c r="S12321" s="1"/>
    </row>
    <row r="12322" spans="19:19" ht="15.75">
      <c r="S12322" s="1"/>
    </row>
    <row r="12323" spans="19:19" ht="15.75">
      <c r="S12323" s="1"/>
    </row>
    <row r="12324" spans="19:19" ht="15.75">
      <c r="S12324" s="1"/>
    </row>
    <row r="12325" spans="19:19" ht="15.75">
      <c r="S12325" s="1"/>
    </row>
    <row r="12326" spans="19:19" ht="15.75">
      <c r="S12326" s="1"/>
    </row>
    <row r="12327" spans="19:19" ht="15.75">
      <c r="S12327" s="1"/>
    </row>
    <row r="12328" spans="19:19" ht="15.75">
      <c r="S12328" s="1"/>
    </row>
    <row r="12329" spans="19:19" ht="15.75">
      <c r="S12329" s="1"/>
    </row>
    <row r="12330" spans="19:19" ht="15.75">
      <c r="S12330" s="1"/>
    </row>
    <row r="12331" spans="19:19" ht="15.75">
      <c r="S12331" s="1"/>
    </row>
    <row r="12332" spans="19:19" ht="15.75">
      <c r="S12332" s="1"/>
    </row>
    <row r="12333" spans="19:19" ht="15.75">
      <c r="S12333" s="1"/>
    </row>
    <row r="12334" spans="19:19" ht="15.75">
      <c r="S12334" s="1"/>
    </row>
    <row r="12335" spans="19:19" ht="15.75">
      <c r="S12335" s="1"/>
    </row>
    <row r="12336" spans="19:19" ht="15.75">
      <c r="S12336" s="1"/>
    </row>
    <row r="12337" spans="19:19" ht="15.75">
      <c r="S12337" s="1"/>
    </row>
    <row r="12338" spans="19:19" ht="15.75">
      <c r="S12338" s="1"/>
    </row>
    <row r="12339" spans="19:19" ht="15.75">
      <c r="S12339" s="1"/>
    </row>
    <row r="12340" spans="19:19" ht="15.75">
      <c r="S12340" s="1"/>
    </row>
    <row r="12341" spans="19:19" ht="15.75">
      <c r="S12341" s="1"/>
    </row>
    <row r="12342" spans="19:19" ht="15.75">
      <c r="S12342" s="1"/>
    </row>
    <row r="12343" spans="19:19" ht="15.75">
      <c r="S12343" s="1"/>
    </row>
    <row r="12344" spans="19:19" ht="15.75">
      <c r="S12344" s="1"/>
    </row>
    <row r="12345" spans="19:19" ht="15.75">
      <c r="S12345" s="1"/>
    </row>
    <row r="12346" spans="19:19" ht="15.75">
      <c r="S12346" s="1"/>
    </row>
    <row r="12347" spans="19:19" ht="15.75">
      <c r="S12347" s="1"/>
    </row>
    <row r="12348" spans="19:19" ht="15.75">
      <c r="S12348" s="1"/>
    </row>
    <row r="12349" spans="19:19" ht="15.75">
      <c r="S12349" s="1"/>
    </row>
    <row r="12350" spans="19:19" ht="15.75">
      <c r="S12350" s="1"/>
    </row>
    <row r="12351" spans="19:19" ht="15.75">
      <c r="S12351" s="1"/>
    </row>
    <row r="12352" spans="19:19" ht="15.75">
      <c r="S12352" s="1"/>
    </row>
    <row r="12353" spans="19:19" ht="15.75">
      <c r="S12353" s="1"/>
    </row>
    <row r="12354" spans="19:19" ht="15.75">
      <c r="S12354" s="1"/>
    </row>
    <row r="12355" spans="19:19" ht="15.75">
      <c r="S12355" s="1"/>
    </row>
    <row r="12356" spans="19:19" ht="15.75">
      <c r="S12356" s="1"/>
    </row>
    <row r="12357" spans="19:19" ht="15.75">
      <c r="S12357" s="1"/>
    </row>
    <row r="12358" spans="19:19" ht="15.75">
      <c r="S12358" s="1"/>
    </row>
    <row r="12359" spans="19:19" ht="15.75">
      <c r="S12359" s="1"/>
    </row>
    <row r="12360" spans="19:19" ht="15.75">
      <c r="S12360" s="1"/>
    </row>
    <row r="12361" spans="19:19" ht="15.75">
      <c r="S12361" s="1"/>
    </row>
    <row r="12362" spans="19:19" ht="15.75">
      <c r="S12362" s="1"/>
    </row>
    <row r="12363" spans="19:19" ht="15.75">
      <c r="S12363" s="1"/>
    </row>
    <row r="12364" spans="19:19" ht="15.75">
      <c r="S12364" s="1"/>
    </row>
    <row r="12365" spans="19:19" ht="15.75">
      <c r="S12365" s="1"/>
    </row>
    <row r="12366" spans="19:19" ht="15.75">
      <c r="S12366" s="1"/>
    </row>
    <row r="12367" spans="19:19" ht="15.75">
      <c r="S12367" s="1"/>
    </row>
    <row r="12368" spans="19:19" ht="15.75">
      <c r="S12368" s="1"/>
    </row>
    <row r="12369" spans="19:19" ht="15.75">
      <c r="S12369" s="1"/>
    </row>
    <row r="12370" spans="19:19" ht="15.75">
      <c r="S12370" s="1"/>
    </row>
    <row r="12371" spans="19:19" ht="15.75">
      <c r="S12371" s="1"/>
    </row>
    <row r="12372" spans="19:19" ht="15.75">
      <c r="S12372" s="1"/>
    </row>
    <row r="12373" spans="19:19" ht="15.75">
      <c r="S12373" s="1"/>
    </row>
    <row r="12374" spans="19:19" ht="15.75">
      <c r="S12374" s="1"/>
    </row>
    <row r="12375" spans="19:19" ht="15.75">
      <c r="S12375" s="1"/>
    </row>
    <row r="12376" spans="19:19" ht="15.75">
      <c r="S12376" s="1"/>
    </row>
    <row r="12377" spans="19:19" ht="15.75">
      <c r="S12377" s="1"/>
    </row>
    <row r="12378" spans="19:19" ht="15.75">
      <c r="S12378" s="1"/>
    </row>
    <row r="12379" spans="19:19" ht="15.75">
      <c r="S12379" s="1"/>
    </row>
    <row r="12380" spans="19:19" ht="15.75">
      <c r="S12380" s="1"/>
    </row>
    <row r="12381" spans="19:19" ht="15.75">
      <c r="S12381" s="1"/>
    </row>
    <row r="12382" spans="19:19" ht="15.75">
      <c r="S12382" s="1"/>
    </row>
    <row r="12383" spans="19:19" ht="15.75">
      <c r="S12383" s="1"/>
    </row>
    <row r="12384" spans="19:19" ht="15.75">
      <c r="S12384" s="1"/>
    </row>
    <row r="12385" spans="19:19" ht="15.75">
      <c r="S12385" s="1"/>
    </row>
    <row r="12386" spans="19:19" ht="15.75">
      <c r="S12386" s="1"/>
    </row>
    <row r="12387" spans="19:19" ht="15.75">
      <c r="S12387" s="1"/>
    </row>
    <row r="12388" spans="19:19" ht="15.75">
      <c r="S12388" s="1"/>
    </row>
    <row r="12389" spans="19:19" ht="15.75">
      <c r="S12389" s="1"/>
    </row>
    <row r="12390" spans="19:19" ht="15.75">
      <c r="S12390" s="1"/>
    </row>
    <row r="12391" spans="19:19" ht="15.75">
      <c r="S12391" s="1"/>
    </row>
    <row r="12392" spans="19:19" ht="15.75">
      <c r="S12392" s="1"/>
    </row>
    <row r="12393" spans="19:19" ht="15.75">
      <c r="S12393" s="1"/>
    </row>
    <row r="12394" spans="19:19" ht="15.75">
      <c r="S12394" s="1"/>
    </row>
    <row r="12395" spans="19:19" ht="15.75">
      <c r="S12395" s="1"/>
    </row>
    <row r="12396" spans="19:19" ht="15.75">
      <c r="S12396" s="1"/>
    </row>
    <row r="12397" spans="19:19" ht="15.75">
      <c r="S12397" s="1"/>
    </row>
    <row r="12398" spans="19:19" ht="15.75">
      <c r="S12398" s="1"/>
    </row>
    <row r="12399" spans="19:19" ht="15.75">
      <c r="S12399" s="1"/>
    </row>
    <row r="12400" spans="19:19" ht="15.75">
      <c r="S12400" s="1"/>
    </row>
    <row r="12401" spans="19:19" ht="15.75">
      <c r="S12401" s="1"/>
    </row>
    <row r="12402" spans="19:19" ht="15.75">
      <c r="S12402" s="1"/>
    </row>
    <row r="12403" spans="19:19" ht="15.75">
      <c r="S12403" s="1"/>
    </row>
    <row r="12404" spans="19:19" ht="15.75">
      <c r="S12404" s="1"/>
    </row>
    <row r="12405" spans="19:19" ht="15.75">
      <c r="S12405" s="1"/>
    </row>
    <row r="12406" spans="19:19" ht="15.75">
      <c r="S12406" s="1"/>
    </row>
    <row r="12407" spans="19:19" ht="15.75">
      <c r="S12407" s="1"/>
    </row>
    <row r="12408" spans="19:19" ht="15.75">
      <c r="S12408" s="1"/>
    </row>
    <row r="12409" spans="19:19" ht="15.75">
      <c r="S12409" s="1"/>
    </row>
    <row r="12410" spans="19:19" ht="15.75">
      <c r="S12410" s="1"/>
    </row>
    <row r="12411" spans="19:19" ht="15.75">
      <c r="S12411" s="1"/>
    </row>
    <row r="12412" spans="19:19" ht="15.75">
      <c r="S12412" s="1"/>
    </row>
    <row r="12413" spans="19:19" ht="15.75">
      <c r="S12413" s="1"/>
    </row>
    <row r="12414" spans="19:19" ht="15.75">
      <c r="S12414" s="1"/>
    </row>
    <row r="12415" spans="19:19" ht="15.75">
      <c r="S12415" s="1"/>
    </row>
    <row r="12416" spans="19:19" ht="15.75">
      <c r="S12416" s="1"/>
    </row>
    <row r="12417" spans="19:19" ht="15.75">
      <c r="S12417" s="1"/>
    </row>
    <row r="12418" spans="19:19" ht="15.75">
      <c r="S12418" s="1"/>
    </row>
    <row r="12419" spans="19:19" ht="15.75">
      <c r="S12419" s="1"/>
    </row>
    <row r="12420" spans="19:19" ht="15.75">
      <c r="S12420" s="1"/>
    </row>
    <row r="12421" spans="19:19" ht="15.75">
      <c r="S12421" s="1"/>
    </row>
    <row r="12422" spans="19:19" ht="15.75">
      <c r="S12422" s="1"/>
    </row>
    <row r="12423" spans="19:19" ht="15.75">
      <c r="S12423" s="1"/>
    </row>
    <row r="12424" spans="19:19" ht="15.75">
      <c r="S12424" s="1"/>
    </row>
    <row r="12425" spans="19:19" ht="15.75">
      <c r="S12425" s="1"/>
    </row>
    <row r="12426" spans="19:19" ht="15.75">
      <c r="S12426" s="1"/>
    </row>
    <row r="12427" spans="19:19" ht="15.75">
      <c r="S12427" s="1"/>
    </row>
    <row r="12428" spans="19:19" ht="15.75">
      <c r="S12428" s="1"/>
    </row>
    <row r="12429" spans="19:19" ht="15.75">
      <c r="S12429" s="1"/>
    </row>
    <row r="12430" spans="19:19" ht="15.75">
      <c r="S12430" s="1"/>
    </row>
    <row r="12431" spans="19:19" ht="15.75">
      <c r="S12431" s="1"/>
    </row>
    <row r="12432" spans="19:19" ht="15.75">
      <c r="S12432" s="1"/>
    </row>
    <row r="12433" spans="19:19" ht="15.75">
      <c r="S12433" s="1"/>
    </row>
    <row r="12434" spans="19:19" ht="15.75">
      <c r="S12434" s="1"/>
    </row>
    <row r="12435" spans="19:19" ht="15.75">
      <c r="S12435" s="1"/>
    </row>
    <row r="12436" spans="19:19" ht="15.75">
      <c r="S12436" s="1"/>
    </row>
    <row r="12437" spans="19:19" ht="15.75">
      <c r="S12437" s="1"/>
    </row>
    <row r="12438" spans="19:19" ht="15.75">
      <c r="S12438" s="1"/>
    </row>
    <row r="12439" spans="19:19" ht="15.75">
      <c r="S12439" s="1"/>
    </row>
    <row r="12440" spans="19:19" ht="15.75">
      <c r="S12440" s="1"/>
    </row>
    <row r="12441" spans="19:19" ht="15.75">
      <c r="S12441" s="1"/>
    </row>
    <row r="12442" spans="19:19" ht="15.75">
      <c r="S12442" s="1"/>
    </row>
    <row r="12443" spans="19:19" ht="15.75">
      <c r="S12443" s="1"/>
    </row>
    <row r="12444" spans="19:19" ht="15.75">
      <c r="S12444" s="1"/>
    </row>
    <row r="12445" spans="19:19" ht="15.75">
      <c r="S12445" s="1"/>
    </row>
    <row r="12446" spans="19:19" ht="15.75">
      <c r="S12446" s="1"/>
    </row>
    <row r="12447" spans="19:19" ht="15.75">
      <c r="S12447" s="1"/>
    </row>
    <row r="12448" spans="19:19" ht="15.75">
      <c r="S12448" s="1"/>
    </row>
    <row r="12449" spans="19:19" ht="15.75">
      <c r="S12449" s="1"/>
    </row>
    <row r="12450" spans="19:19" ht="15.75">
      <c r="S12450" s="1"/>
    </row>
    <row r="12451" spans="19:19" ht="15.75">
      <c r="S12451" s="1"/>
    </row>
    <row r="12452" spans="19:19" ht="15.75">
      <c r="S12452" s="1"/>
    </row>
    <row r="12453" spans="19:19" ht="15.75">
      <c r="S12453" s="1"/>
    </row>
    <row r="12454" spans="19:19" ht="15.75">
      <c r="S12454" s="1"/>
    </row>
    <row r="12455" spans="19:19" ht="15.75">
      <c r="S12455" s="1"/>
    </row>
    <row r="12456" spans="19:19" ht="15.75">
      <c r="S12456" s="1"/>
    </row>
    <row r="12457" spans="19:19" ht="15.75">
      <c r="S12457" s="1"/>
    </row>
    <row r="12458" spans="19:19" ht="15.75">
      <c r="S12458" s="1"/>
    </row>
    <row r="12459" spans="19:19" ht="15.75">
      <c r="S12459" s="1"/>
    </row>
    <row r="12460" spans="19:19" ht="15.75">
      <c r="S12460" s="1"/>
    </row>
    <row r="12461" spans="19:19" ht="15.75">
      <c r="S12461" s="1"/>
    </row>
    <row r="12462" spans="19:19" ht="15.75">
      <c r="S12462" s="1"/>
    </row>
    <row r="12463" spans="19:19" ht="15.75">
      <c r="S12463" s="1"/>
    </row>
    <row r="12464" spans="19:19" ht="15.75">
      <c r="S12464" s="1"/>
    </row>
    <row r="12465" spans="19:19" ht="15.75">
      <c r="S12465" s="1"/>
    </row>
    <row r="12466" spans="19:19" ht="15.75">
      <c r="S12466" s="1"/>
    </row>
    <row r="12467" spans="19:19" ht="15.75">
      <c r="S12467" s="1"/>
    </row>
    <row r="12468" spans="19:19" ht="15.75">
      <c r="S12468" s="1"/>
    </row>
    <row r="12469" spans="19:19" ht="15.75">
      <c r="S12469" s="1"/>
    </row>
    <row r="12470" spans="19:19" ht="15.75">
      <c r="S12470" s="1"/>
    </row>
    <row r="12471" spans="19:19" ht="15.75">
      <c r="S12471" s="1"/>
    </row>
    <row r="12472" spans="19:19" ht="15.75">
      <c r="S12472" s="1"/>
    </row>
    <row r="12473" spans="19:19" ht="15.75">
      <c r="S12473" s="1"/>
    </row>
    <row r="12474" spans="19:19" ht="15.75">
      <c r="S12474" s="1"/>
    </row>
    <row r="12475" spans="19:19" ht="15.75">
      <c r="S12475" s="1"/>
    </row>
    <row r="12476" spans="19:19" ht="15.75">
      <c r="S12476" s="1"/>
    </row>
    <row r="12477" spans="19:19" ht="15.75">
      <c r="S12477" s="1"/>
    </row>
    <row r="12478" spans="19:19" ht="15.75">
      <c r="S12478" s="1"/>
    </row>
    <row r="12479" spans="19:19" ht="15.75">
      <c r="S12479" s="1"/>
    </row>
    <row r="12480" spans="19:19" ht="15.75">
      <c r="S12480" s="1"/>
    </row>
    <row r="12481" spans="19:19" ht="15.75">
      <c r="S12481" s="1"/>
    </row>
    <row r="12482" spans="19:19" ht="15.75">
      <c r="S12482" s="1"/>
    </row>
    <row r="12483" spans="19:19" ht="15.75">
      <c r="S12483" s="1"/>
    </row>
    <row r="12484" spans="19:19" ht="15.75">
      <c r="S12484" s="1"/>
    </row>
    <row r="12485" spans="19:19" ht="15.75">
      <c r="S12485" s="1"/>
    </row>
    <row r="12486" spans="19:19" ht="15.75">
      <c r="S12486" s="1"/>
    </row>
    <row r="12487" spans="19:19" ht="15.75">
      <c r="S12487" s="1"/>
    </row>
    <row r="12488" spans="19:19" ht="15.75">
      <c r="S12488" s="1"/>
    </row>
    <row r="12489" spans="19:19" ht="15.75">
      <c r="S12489" s="1"/>
    </row>
    <row r="12490" spans="19:19" ht="15.75">
      <c r="S12490" s="1"/>
    </row>
    <row r="12491" spans="19:19" ht="15.75">
      <c r="S12491" s="1"/>
    </row>
    <row r="12492" spans="19:19" ht="15.75">
      <c r="S12492" s="1"/>
    </row>
    <row r="12493" spans="19:19" ht="15.75">
      <c r="S12493" s="1"/>
    </row>
    <row r="12494" spans="19:19" ht="15.75">
      <c r="S12494" s="1"/>
    </row>
    <row r="12495" spans="19:19" ht="15.75">
      <c r="S12495" s="1"/>
    </row>
    <row r="12496" spans="19:19" ht="15.75">
      <c r="S12496" s="1"/>
    </row>
    <row r="12497" spans="19:19" ht="15.75">
      <c r="S12497" s="1"/>
    </row>
    <row r="12498" spans="19:19" ht="15.75">
      <c r="S12498" s="1"/>
    </row>
    <row r="12499" spans="19:19" ht="15.75">
      <c r="S12499" s="1"/>
    </row>
    <row r="12500" spans="19:19" ht="15.75">
      <c r="S12500" s="1"/>
    </row>
    <row r="12501" spans="19:19" ht="15.75">
      <c r="S12501" s="1"/>
    </row>
    <row r="12502" spans="19:19" ht="15.75">
      <c r="S12502" s="1"/>
    </row>
    <row r="12503" spans="19:19" ht="15.75">
      <c r="S12503" s="1"/>
    </row>
    <row r="12504" spans="19:19" ht="15.75">
      <c r="S12504" s="1"/>
    </row>
    <row r="12505" spans="19:19" ht="15.75">
      <c r="S12505" s="1"/>
    </row>
    <row r="12506" spans="19:19" ht="15.75">
      <c r="S12506" s="1"/>
    </row>
    <row r="12507" spans="19:19" ht="15.75">
      <c r="S12507" s="1"/>
    </row>
    <row r="12508" spans="19:19" ht="15.75">
      <c r="S12508" s="1"/>
    </row>
    <row r="12509" spans="19:19" ht="15.75">
      <c r="S12509" s="1"/>
    </row>
    <row r="12510" spans="19:19" ht="15.75">
      <c r="S12510" s="1"/>
    </row>
    <row r="12511" spans="19:19" ht="15.75">
      <c r="S12511" s="1"/>
    </row>
    <row r="12512" spans="19:19" ht="15.75">
      <c r="S12512" s="1"/>
    </row>
    <row r="12513" spans="19:19" ht="15.75">
      <c r="S12513" s="1"/>
    </row>
    <row r="12514" spans="19:19" ht="15.75">
      <c r="S12514" s="1"/>
    </row>
    <row r="12515" spans="19:19" ht="15.75">
      <c r="S12515" s="1"/>
    </row>
    <row r="12516" spans="19:19" ht="15.75">
      <c r="S12516" s="1"/>
    </row>
    <row r="12517" spans="19:19" ht="15.75">
      <c r="S12517" s="1"/>
    </row>
    <row r="12518" spans="19:19" ht="15.75">
      <c r="S12518" s="1"/>
    </row>
    <row r="12519" spans="19:19" ht="15.75">
      <c r="S12519" s="1"/>
    </row>
    <row r="12520" spans="19:19" ht="15.75">
      <c r="S12520" s="1"/>
    </row>
    <row r="12521" spans="19:19" ht="15.75">
      <c r="S12521" s="1"/>
    </row>
    <row r="12522" spans="19:19" ht="15.75">
      <c r="S12522" s="1"/>
    </row>
    <row r="12523" spans="19:19" ht="15.75">
      <c r="S12523" s="1"/>
    </row>
    <row r="12524" spans="19:19" ht="15.75">
      <c r="S12524" s="1"/>
    </row>
    <row r="12525" spans="19:19" ht="15.75">
      <c r="S12525" s="1"/>
    </row>
    <row r="12526" spans="19:19" ht="15.75">
      <c r="S12526" s="1"/>
    </row>
    <row r="12527" spans="19:19" ht="15.75">
      <c r="S12527" s="1"/>
    </row>
    <row r="12528" spans="19:19" ht="15.75">
      <c r="S12528" s="1"/>
    </row>
    <row r="12529" spans="19:19" ht="15.75">
      <c r="S12529" s="1"/>
    </row>
    <row r="12530" spans="19:19" ht="15.75">
      <c r="S12530" s="1"/>
    </row>
    <row r="12531" spans="19:19" ht="15.75">
      <c r="S12531" s="1"/>
    </row>
    <row r="12532" spans="19:19" ht="15.75">
      <c r="S12532" s="1"/>
    </row>
    <row r="12533" spans="19:19" ht="15.75">
      <c r="S12533" s="1"/>
    </row>
    <row r="12534" spans="19:19" ht="15.75">
      <c r="S12534" s="1"/>
    </row>
    <row r="12535" spans="19:19" ht="15.75">
      <c r="S12535" s="1"/>
    </row>
    <row r="12536" spans="19:19" ht="15.75">
      <c r="S12536" s="1"/>
    </row>
    <row r="12537" spans="19:19" ht="15.75">
      <c r="S12537" s="1"/>
    </row>
    <row r="12538" spans="19:19" ht="15.75">
      <c r="S12538" s="1"/>
    </row>
    <row r="12539" spans="19:19" ht="15.75">
      <c r="S12539" s="1"/>
    </row>
    <row r="12540" spans="19:19" ht="15.75">
      <c r="S12540" s="1"/>
    </row>
    <row r="12541" spans="19:19" ht="15.75">
      <c r="S12541" s="1"/>
    </row>
    <row r="12542" spans="19:19" ht="15.75">
      <c r="S12542" s="1"/>
    </row>
    <row r="12543" spans="19:19" ht="15.75">
      <c r="S12543" s="1"/>
    </row>
    <row r="12544" spans="19:19" ht="15.75">
      <c r="S12544" s="1"/>
    </row>
    <row r="12545" spans="19:19" ht="15.75">
      <c r="S12545" s="1"/>
    </row>
    <row r="12546" spans="19:19" ht="15.75">
      <c r="S12546" s="1"/>
    </row>
    <row r="12547" spans="19:19" ht="15.75">
      <c r="S12547" s="1"/>
    </row>
    <row r="12548" spans="19:19" ht="15.75">
      <c r="S12548" s="1"/>
    </row>
    <row r="12549" spans="19:19" ht="15.75">
      <c r="S12549" s="1"/>
    </row>
    <row r="12550" spans="19:19" ht="15.75">
      <c r="S12550" s="1"/>
    </row>
    <row r="12551" spans="19:19" ht="15.75">
      <c r="S12551" s="1"/>
    </row>
    <row r="12552" spans="19:19" ht="15.75">
      <c r="S12552" s="1"/>
    </row>
    <row r="12553" spans="19:19" ht="15.75">
      <c r="S12553" s="1"/>
    </row>
    <row r="12554" spans="19:19" ht="15.75">
      <c r="S12554" s="1"/>
    </row>
    <row r="12555" spans="19:19" ht="15.75">
      <c r="S12555" s="1"/>
    </row>
    <row r="12556" spans="19:19" ht="15.75">
      <c r="S12556" s="1"/>
    </row>
    <row r="12557" spans="19:19" ht="15.75">
      <c r="S12557" s="1"/>
    </row>
    <row r="12558" spans="19:19" ht="15.75">
      <c r="S12558" s="1"/>
    </row>
    <row r="12559" spans="19:19" ht="15.75">
      <c r="S12559" s="1"/>
    </row>
    <row r="12560" spans="19:19" ht="15.75">
      <c r="S12560" s="1"/>
    </row>
    <row r="12561" spans="19:19" ht="15.75">
      <c r="S12561" s="1"/>
    </row>
    <row r="12562" spans="19:19" ht="15.75">
      <c r="S12562" s="1"/>
    </row>
    <row r="12563" spans="19:19" ht="15.75">
      <c r="S12563" s="1"/>
    </row>
    <row r="12564" spans="19:19" ht="15.75">
      <c r="S12564" s="1"/>
    </row>
    <row r="12565" spans="19:19" ht="15.75">
      <c r="S12565" s="1"/>
    </row>
    <row r="12566" spans="19:19" ht="15.75">
      <c r="S12566" s="1"/>
    </row>
    <row r="12567" spans="19:19" ht="15.75">
      <c r="S12567" s="1"/>
    </row>
    <row r="12568" spans="19:19" ht="15.75">
      <c r="S12568" s="1"/>
    </row>
    <row r="12569" spans="19:19" ht="15.75">
      <c r="S12569" s="1"/>
    </row>
    <row r="12570" spans="19:19" ht="15.75">
      <c r="S12570" s="1"/>
    </row>
    <row r="12571" spans="19:19" ht="15.75">
      <c r="S12571" s="1"/>
    </row>
    <row r="12572" spans="19:19" ht="15.75">
      <c r="S12572" s="1"/>
    </row>
    <row r="12573" spans="19:19" ht="15.75">
      <c r="S12573" s="1"/>
    </row>
    <row r="12574" spans="19:19" ht="15.75">
      <c r="S12574" s="1"/>
    </row>
    <row r="12575" spans="19:19" ht="15.75">
      <c r="S12575" s="1"/>
    </row>
    <row r="12576" spans="19:19" ht="15.75">
      <c r="S12576" s="1"/>
    </row>
    <row r="12577" spans="19:19" ht="15.75">
      <c r="S12577" s="1"/>
    </row>
    <row r="12578" spans="19:19" ht="15.75">
      <c r="S12578" s="1"/>
    </row>
    <row r="12579" spans="19:19" ht="15.75">
      <c r="S12579" s="1"/>
    </row>
    <row r="12580" spans="19:19" ht="15.75">
      <c r="S12580" s="1"/>
    </row>
    <row r="12581" spans="19:19" ht="15.75">
      <c r="S12581" s="1"/>
    </row>
    <row r="12582" spans="19:19" ht="15.75">
      <c r="S12582" s="1"/>
    </row>
    <row r="12583" spans="19:19" ht="15.75">
      <c r="S12583" s="1"/>
    </row>
    <row r="12584" spans="19:19" ht="15.75">
      <c r="S12584" s="1"/>
    </row>
    <row r="12585" spans="19:19" ht="15.75">
      <c r="S12585" s="1"/>
    </row>
    <row r="12586" spans="19:19" ht="15.75">
      <c r="S12586" s="1"/>
    </row>
    <row r="12587" spans="19:19" ht="15.75">
      <c r="S12587" s="1"/>
    </row>
    <row r="12588" spans="19:19" ht="15.75">
      <c r="S12588" s="1"/>
    </row>
    <row r="12589" spans="19:19" ht="15.75">
      <c r="S12589" s="1"/>
    </row>
    <row r="12590" spans="19:19" ht="15.75">
      <c r="S12590" s="1"/>
    </row>
    <row r="12591" spans="19:19" ht="15.75">
      <c r="S12591" s="1"/>
    </row>
    <row r="12592" spans="19:19" ht="15.75">
      <c r="S12592" s="1"/>
    </row>
    <row r="12593" spans="19:19" ht="15.75">
      <c r="S12593" s="1"/>
    </row>
    <row r="12594" spans="19:19" ht="15.75">
      <c r="S12594" s="1"/>
    </row>
    <row r="12595" spans="19:19" ht="15.75">
      <c r="S12595" s="1"/>
    </row>
    <row r="12596" spans="19:19" ht="15.75">
      <c r="S12596" s="1"/>
    </row>
    <row r="12597" spans="19:19" ht="15.75">
      <c r="S12597" s="1"/>
    </row>
    <row r="12598" spans="19:19" ht="15.75">
      <c r="S12598" s="1"/>
    </row>
    <row r="12599" spans="19:19" ht="15.75">
      <c r="S12599" s="1"/>
    </row>
    <row r="12600" spans="19:19" ht="15.75">
      <c r="S12600" s="1"/>
    </row>
    <row r="12601" spans="19:19" ht="15.75">
      <c r="S12601" s="1"/>
    </row>
    <row r="12602" spans="19:19" ht="15.75">
      <c r="S12602" s="1"/>
    </row>
    <row r="12603" spans="19:19" ht="15.75">
      <c r="S12603" s="1"/>
    </row>
    <row r="12604" spans="19:19" ht="15.75">
      <c r="S12604" s="1"/>
    </row>
    <row r="12605" spans="19:19" ht="15.75">
      <c r="S12605" s="1"/>
    </row>
    <row r="12606" spans="19:19" ht="15.75">
      <c r="S12606" s="1"/>
    </row>
    <row r="12607" spans="19:19" ht="15.75">
      <c r="S12607" s="1"/>
    </row>
    <row r="12608" spans="19:19" ht="15.75">
      <c r="S12608" s="1"/>
    </row>
    <row r="12609" spans="19:19" ht="15.75">
      <c r="S12609" s="1"/>
    </row>
    <row r="12610" spans="19:19" ht="15.75">
      <c r="S12610" s="1"/>
    </row>
    <row r="12611" spans="19:19" ht="15.75">
      <c r="S12611" s="1"/>
    </row>
    <row r="12612" spans="19:19" ht="15.75">
      <c r="S12612" s="1"/>
    </row>
    <row r="12613" spans="19:19" ht="15.75">
      <c r="S12613" s="1"/>
    </row>
    <row r="12614" spans="19:19" ht="15.75">
      <c r="S12614" s="1"/>
    </row>
    <row r="12615" spans="19:19" ht="15.75">
      <c r="S12615" s="1"/>
    </row>
    <row r="12616" spans="19:19" ht="15.75">
      <c r="S12616" s="1"/>
    </row>
    <row r="12617" spans="19:19" ht="15.75">
      <c r="S12617" s="1"/>
    </row>
    <row r="12618" spans="19:19" ht="15.75">
      <c r="S12618" s="1"/>
    </row>
    <row r="12619" spans="19:19" ht="15.75">
      <c r="S12619" s="1"/>
    </row>
    <row r="12620" spans="19:19" ht="15.75">
      <c r="S12620" s="1"/>
    </row>
    <row r="12621" spans="19:19" ht="15.75">
      <c r="S12621" s="1"/>
    </row>
    <row r="12622" spans="19:19" ht="15.75">
      <c r="S12622" s="1"/>
    </row>
    <row r="12623" spans="19:19" ht="15.75">
      <c r="S12623" s="1"/>
    </row>
    <row r="12624" spans="19:19" ht="15.75">
      <c r="S12624" s="1"/>
    </row>
    <row r="12625" spans="19:19" ht="15.75">
      <c r="S12625" s="1"/>
    </row>
    <row r="12626" spans="19:19" ht="15.75">
      <c r="S12626" s="1"/>
    </row>
    <row r="12627" spans="19:19" ht="15.75">
      <c r="S12627" s="1"/>
    </row>
    <row r="12628" spans="19:19" ht="15.75">
      <c r="S12628" s="1"/>
    </row>
    <row r="12629" spans="19:19" ht="15.75">
      <c r="S12629" s="1"/>
    </row>
    <row r="12630" spans="19:19" ht="15.75">
      <c r="S12630" s="1"/>
    </row>
    <row r="12631" spans="19:19" ht="15.75">
      <c r="S12631" s="1"/>
    </row>
    <row r="12632" spans="19:19" ht="15.75">
      <c r="S12632" s="1"/>
    </row>
    <row r="12633" spans="19:19" ht="15.75">
      <c r="S12633" s="1"/>
    </row>
    <row r="12634" spans="19:19" ht="15.75">
      <c r="S12634" s="1"/>
    </row>
    <row r="12635" spans="19:19" ht="15.75">
      <c r="S12635" s="1"/>
    </row>
    <row r="12636" spans="19:19" ht="15.75">
      <c r="S12636" s="1"/>
    </row>
    <row r="12637" spans="19:19" ht="15.75">
      <c r="S12637" s="1"/>
    </row>
    <row r="12638" spans="19:19" ht="15.75">
      <c r="S12638" s="1"/>
    </row>
    <row r="12639" spans="19:19" ht="15.75">
      <c r="S12639" s="1"/>
    </row>
    <row r="12640" spans="19:19" ht="15.75">
      <c r="S12640" s="1"/>
    </row>
    <row r="12641" spans="19:19" ht="15.75">
      <c r="S12641" s="1"/>
    </row>
    <row r="12642" spans="19:19" ht="15.75">
      <c r="S12642" s="1"/>
    </row>
    <row r="12643" spans="19:19" ht="15.75">
      <c r="S12643" s="1"/>
    </row>
    <row r="12644" spans="19:19" ht="15.75">
      <c r="S12644" s="1"/>
    </row>
    <row r="12645" spans="19:19" ht="15.75">
      <c r="S12645" s="1"/>
    </row>
    <row r="12646" spans="19:19" ht="15.75">
      <c r="S12646" s="1"/>
    </row>
    <row r="12647" spans="19:19" ht="15.75">
      <c r="S12647" s="1"/>
    </row>
    <row r="12648" spans="19:19" ht="15.75">
      <c r="S12648" s="1"/>
    </row>
    <row r="12649" spans="19:19" ht="15.75">
      <c r="S12649" s="1"/>
    </row>
    <row r="12650" spans="19:19" ht="15.75">
      <c r="S12650" s="1"/>
    </row>
    <row r="12651" spans="19:19" ht="15.75">
      <c r="S12651" s="1"/>
    </row>
    <row r="12652" spans="19:19" ht="15.75">
      <c r="S12652" s="1"/>
    </row>
    <row r="12653" spans="19:19" ht="15.75">
      <c r="S12653" s="1"/>
    </row>
    <row r="12654" spans="19:19" ht="15.75">
      <c r="S12654" s="1"/>
    </row>
    <row r="12655" spans="19:19" ht="15.75">
      <c r="S12655" s="1"/>
    </row>
    <row r="12656" spans="19:19" ht="15.75">
      <c r="S12656" s="1"/>
    </row>
    <row r="12657" spans="19:19" ht="15.75">
      <c r="S12657" s="1"/>
    </row>
    <row r="12658" spans="19:19" ht="15.75">
      <c r="S12658" s="1"/>
    </row>
    <row r="12659" spans="19:19" ht="15.75">
      <c r="S12659" s="1"/>
    </row>
    <row r="12660" spans="19:19" ht="15.75">
      <c r="S12660" s="1"/>
    </row>
    <row r="12661" spans="19:19" ht="15.75">
      <c r="S12661" s="1"/>
    </row>
    <row r="12662" spans="19:19" ht="15.75">
      <c r="S12662" s="1"/>
    </row>
    <row r="12663" spans="19:19" ht="15.75">
      <c r="S12663" s="1"/>
    </row>
    <row r="12664" spans="19:19" ht="15.75">
      <c r="S12664" s="1"/>
    </row>
    <row r="12665" spans="19:19" ht="15.75">
      <c r="S12665" s="1"/>
    </row>
    <row r="12666" spans="19:19" ht="15.75">
      <c r="S12666" s="1"/>
    </row>
    <row r="12667" spans="19:19" ht="15.75">
      <c r="S12667" s="1"/>
    </row>
    <row r="12668" spans="19:19" ht="15.75">
      <c r="S12668" s="1"/>
    </row>
    <row r="12669" spans="19:19" ht="15.75">
      <c r="S12669" s="1"/>
    </row>
    <row r="12670" spans="19:19" ht="15.75">
      <c r="S12670" s="1"/>
    </row>
    <row r="12671" spans="19:19" ht="15.75">
      <c r="S12671" s="1"/>
    </row>
    <row r="12672" spans="19:19" ht="15.75">
      <c r="S12672" s="1"/>
    </row>
    <row r="12673" spans="19:19" ht="15.75">
      <c r="S12673" s="1"/>
    </row>
    <row r="12674" spans="19:19" ht="15.75">
      <c r="S12674" s="1"/>
    </row>
    <row r="12675" spans="19:19" ht="15.75">
      <c r="S12675" s="1"/>
    </row>
    <row r="12676" spans="19:19" ht="15.75">
      <c r="S12676" s="1"/>
    </row>
    <row r="12677" spans="19:19" ht="15.75">
      <c r="S12677" s="1"/>
    </row>
    <row r="12678" spans="19:19" ht="15.75">
      <c r="S12678" s="1"/>
    </row>
    <row r="12679" spans="19:19" ht="15.75">
      <c r="S12679" s="1"/>
    </row>
    <row r="12680" spans="19:19" ht="15.75">
      <c r="S12680" s="1"/>
    </row>
    <row r="12681" spans="19:19" ht="15.75">
      <c r="S12681" s="1"/>
    </row>
    <row r="12682" spans="19:19" ht="15.75">
      <c r="S12682" s="1"/>
    </row>
    <row r="12683" spans="19:19" ht="15.75">
      <c r="S12683" s="1"/>
    </row>
    <row r="12684" spans="19:19" ht="15.75">
      <c r="S12684" s="1"/>
    </row>
    <row r="12685" spans="19:19" ht="15.75">
      <c r="S12685" s="1"/>
    </row>
    <row r="12686" spans="19:19" ht="15.75">
      <c r="S12686" s="1"/>
    </row>
    <row r="12687" spans="19:19" ht="15.75">
      <c r="S12687" s="1"/>
    </row>
    <row r="12688" spans="19:19" ht="15.75">
      <c r="S12688" s="1"/>
    </row>
    <row r="12689" spans="19:19" ht="15.75">
      <c r="S12689" s="1"/>
    </row>
    <row r="12690" spans="19:19" ht="15.75">
      <c r="S12690" s="1"/>
    </row>
    <row r="12691" spans="19:19" ht="15.75">
      <c r="S12691" s="1"/>
    </row>
    <row r="12692" spans="19:19" ht="15.75">
      <c r="S12692" s="1"/>
    </row>
    <row r="12693" spans="19:19" ht="15.75">
      <c r="S12693" s="1"/>
    </row>
    <row r="12694" spans="19:19" ht="15.75">
      <c r="S12694" s="1"/>
    </row>
    <row r="12695" spans="19:19" ht="15.75">
      <c r="S12695" s="1"/>
    </row>
    <row r="12696" spans="19:19" ht="15.75">
      <c r="S12696" s="1"/>
    </row>
    <row r="12697" spans="19:19" ht="15.75">
      <c r="S12697" s="1"/>
    </row>
    <row r="12698" spans="19:19" ht="15.75">
      <c r="S12698" s="1"/>
    </row>
    <row r="12699" spans="19:19" ht="15.75">
      <c r="S12699" s="1"/>
    </row>
    <row r="12700" spans="19:19" ht="15.75">
      <c r="S12700" s="1"/>
    </row>
    <row r="12701" spans="19:19" ht="15.75">
      <c r="S12701" s="1"/>
    </row>
    <row r="12702" spans="19:19" ht="15.75">
      <c r="S12702" s="1"/>
    </row>
    <row r="12703" spans="19:19" ht="15.75">
      <c r="S12703" s="1"/>
    </row>
    <row r="12704" spans="19:19" ht="15.75">
      <c r="S12704" s="1"/>
    </row>
    <row r="12705" spans="19:19" ht="15.75">
      <c r="S12705" s="1"/>
    </row>
    <row r="12706" spans="19:19" ht="15.75">
      <c r="S12706" s="1"/>
    </row>
    <row r="12707" spans="19:19" ht="15.75">
      <c r="S12707" s="1"/>
    </row>
    <row r="12708" spans="19:19" ht="15.75">
      <c r="S12708" s="1"/>
    </row>
    <row r="12709" spans="19:19" ht="15.75">
      <c r="S12709" s="1"/>
    </row>
    <row r="12710" spans="19:19" ht="15.75">
      <c r="S12710" s="1"/>
    </row>
    <row r="12711" spans="19:19" ht="15.75">
      <c r="S12711" s="1"/>
    </row>
    <row r="12712" spans="19:19" ht="15.75">
      <c r="S12712" s="1"/>
    </row>
    <row r="12713" spans="19:19" ht="15.75">
      <c r="S12713" s="1"/>
    </row>
    <row r="12714" spans="19:19" ht="15.75">
      <c r="S12714" s="1"/>
    </row>
    <row r="12715" spans="19:19" ht="15.75">
      <c r="S12715" s="1"/>
    </row>
    <row r="12716" spans="19:19" ht="15.75">
      <c r="S12716" s="1"/>
    </row>
    <row r="12717" spans="19:19" ht="15.75">
      <c r="S12717" s="1"/>
    </row>
    <row r="12718" spans="19:19" ht="15.75">
      <c r="S12718" s="1"/>
    </row>
    <row r="12719" spans="19:19" ht="15.75">
      <c r="S12719" s="1"/>
    </row>
    <row r="12720" spans="19:19" ht="15.75">
      <c r="S12720" s="1"/>
    </row>
    <row r="12721" spans="19:19" ht="15.75">
      <c r="S12721" s="1"/>
    </row>
    <row r="12722" spans="19:19" ht="15.75">
      <c r="S12722" s="1"/>
    </row>
    <row r="12723" spans="19:19" ht="15.75">
      <c r="S12723" s="1"/>
    </row>
    <row r="12724" spans="19:19" ht="15.75">
      <c r="S12724" s="1"/>
    </row>
    <row r="12725" spans="19:19" ht="15.75">
      <c r="S12725" s="1"/>
    </row>
    <row r="12726" spans="19:19" ht="15.75">
      <c r="S12726" s="1"/>
    </row>
    <row r="12727" spans="19:19" ht="15.75">
      <c r="S12727" s="1"/>
    </row>
    <row r="12728" spans="19:19" ht="15.75">
      <c r="S12728" s="1"/>
    </row>
    <row r="12729" spans="19:19" ht="15.75">
      <c r="S12729" s="1"/>
    </row>
    <row r="12730" spans="19:19" ht="15.75">
      <c r="S12730" s="1"/>
    </row>
    <row r="12731" spans="19:19" ht="15.75">
      <c r="S12731" s="1"/>
    </row>
    <row r="12732" spans="19:19" ht="15.75">
      <c r="S12732" s="1"/>
    </row>
    <row r="12733" spans="19:19" ht="15.75">
      <c r="S12733" s="1"/>
    </row>
    <row r="12734" spans="19:19" ht="15.75">
      <c r="S12734" s="1"/>
    </row>
    <row r="12735" spans="19:19" ht="15.75">
      <c r="S12735" s="1"/>
    </row>
    <row r="12736" spans="19:19" ht="15.75">
      <c r="S12736" s="1"/>
    </row>
    <row r="12737" spans="19:19" ht="15.75">
      <c r="S12737" s="1"/>
    </row>
    <row r="12738" spans="19:19" ht="15.75">
      <c r="S12738" s="1"/>
    </row>
    <row r="12739" spans="19:19" ht="15.75">
      <c r="S12739" s="1"/>
    </row>
    <row r="12740" spans="19:19" ht="15.75">
      <c r="S12740" s="1"/>
    </row>
    <row r="12741" spans="19:19" ht="15.75">
      <c r="S12741" s="1"/>
    </row>
    <row r="12742" spans="19:19" ht="15.75">
      <c r="S12742" s="1"/>
    </row>
    <row r="12743" spans="19:19" ht="15.75">
      <c r="S12743" s="1"/>
    </row>
    <row r="12744" spans="19:19" ht="15.75">
      <c r="S12744" s="1"/>
    </row>
    <row r="12745" spans="19:19" ht="15.75">
      <c r="S12745" s="1"/>
    </row>
    <row r="12746" spans="19:19" ht="15.75">
      <c r="S12746" s="1"/>
    </row>
    <row r="12747" spans="19:19" ht="15.75">
      <c r="S12747" s="1"/>
    </row>
    <row r="12748" spans="19:19" ht="15.75">
      <c r="S12748" s="1"/>
    </row>
    <row r="12749" spans="19:19" ht="15.75">
      <c r="S12749" s="1"/>
    </row>
    <row r="12750" spans="19:19" ht="15.75">
      <c r="S12750" s="1"/>
    </row>
    <row r="12751" spans="19:19" ht="15.75">
      <c r="S12751" s="1"/>
    </row>
    <row r="12752" spans="19:19" ht="15.75">
      <c r="S12752" s="1"/>
    </row>
    <row r="12753" spans="19:19" ht="15.75">
      <c r="S12753" s="1"/>
    </row>
    <row r="12754" spans="19:19" ht="15.75">
      <c r="S12754" s="1"/>
    </row>
    <row r="12755" spans="19:19" ht="15.75">
      <c r="S12755" s="1"/>
    </row>
    <row r="12756" spans="19:19" ht="15.75">
      <c r="S12756" s="1"/>
    </row>
    <row r="12757" spans="19:19" ht="15.75">
      <c r="S12757" s="1"/>
    </row>
    <row r="12758" spans="19:19" ht="15.75">
      <c r="S12758" s="1"/>
    </row>
    <row r="12759" spans="19:19" ht="15.75">
      <c r="S12759" s="1"/>
    </row>
    <row r="12760" spans="19:19" ht="15.75">
      <c r="S12760" s="1"/>
    </row>
    <row r="12761" spans="19:19" ht="15.75">
      <c r="S12761" s="1"/>
    </row>
    <row r="12762" spans="19:19" ht="15.75">
      <c r="S12762" s="1"/>
    </row>
    <row r="12763" spans="19:19" ht="15.75">
      <c r="S12763" s="1"/>
    </row>
    <row r="12764" spans="19:19" ht="15.75">
      <c r="S12764" s="1"/>
    </row>
    <row r="12765" spans="19:19" ht="15.75">
      <c r="S12765" s="1"/>
    </row>
    <row r="12766" spans="19:19" ht="15.75">
      <c r="S12766" s="1"/>
    </row>
    <row r="12767" spans="19:19" ht="15.75">
      <c r="S12767" s="1"/>
    </row>
    <row r="12768" spans="19:19" ht="15.75">
      <c r="S12768" s="1"/>
    </row>
    <row r="12769" spans="19:19" ht="15.75">
      <c r="S12769" s="1"/>
    </row>
    <row r="12770" spans="19:19" ht="15.75">
      <c r="S12770" s="1"/>
    </row>
    <row r="12771" spans="19:19" ht="15.75">
      <c r="S12771" s="1"/>
    </row>
    <row r="12772" spans="19:19" ht="15.75">
      <c r="S12772" s="1"/>
    </row>
    <row r="12773" spans="19:19" ht="15.75">
      <c r="S12773" s="1"/>
    </row>
    <row r="12774" spans="19:19" ht="15.75">
      <c r="S12774" s="1"/>
    </row>
    <row r="12775" spans="19:19" ht="15.75">
      <c r="S12775" s="1"/>
    </row>
    <row r="12776" spans="19:19" ht="15.75">
      <c r="S12776" s="1"/>
    </row>
    <row r="12777" spans="19:19" ht="15.75">
      <c r="S12777" s="1"/>
    </row>
    <row r="12778" spans="19:19" ht="15.75">
      <c r="S12778" s="1"/>
    </row>
    <row r="12779" spans="19:19" ht="15.75">
      <c r="S12779" s="1"/>
    </row>
    <row r="12780" spans="19:19" ht="15.75">
      <c r="S12780" s="1"/>
    </row>
    <row r="12781" spans="19:19" ht="15.75">
      <c r="S12781" s="1"/>
    </row>
    <row r="12782" spans="19:19" ht="15.75">
      <c r="S12782" s="1"/>
    </row>
    <row r="12783" spans="19:19" ht="15.75">
      <c r="S12783" s="1"/>
    </row>
    <row r="12784" spans="19:19" ht="15.75">
      <c r="S12784" s="1"/>
    </row>
    <row r="12785" spans="19:19" ht="15.75">
      <c r="S12785" s="1"/>
    </row>
    <row r="12786" spans="19:19" ht="15.75">
      <c r="S12786" s="1"/>
    </row>
    <row r="12787" spans="19:19" ht="15.75">
      <c r="S12787" s="1"/>
    </row>
    <row r="12788" spans="19:19" ht="15.75">
      <c r="S12788" s="1"/>
    </row>
    <row r="12789" spans="19:19" ht="15.75">
      <c r="S12789" s="1"/>
    </row>
    <row r="12790" spans="19:19" ht="15.75">
      <c r="S12790" s="1"/>
    </row>
    <row r="12791" spans="19:19" ht="15.75">
      <c r="S12791" s="1"/>
    </row>
    <row r="12792" spans="19:19" ht="15.75">
      <c r="S12792" s="1"/>
    </row>
    <row r="12793" spans="19:19" ht="15.75">
      <c r="S12793" s="1"/>
    </row>
    <row r="12794" spans="19:19" ht="15.75">
      <c r="S12794" s="1"/>
    </row>
    <row r="12795" spans="19:19" ht="15.75">
      <c r="S12795" s="1"/>
    </row>
    <row r="12796" spans="19:19" ht="15.75">
      <c r="S12796" s="1"/>
    </row>
    <row r="12797" spans="19:19" ht="15.75">
      <c r="S12797" s="1"/>
    </row>
    <row r="12798" spans="19:19" ht="15.75">
      <c r="S12798" s="1"/>
    </row>
    <row r="12799" spans="19:19" ht="15.75">
      <c r="S12799" s="1"/>
    </row>
    <row r="12800" spans="19:19" ht="15.75">
      <c r="S12800" s="1"/>
    </row>
    <row r="12801" spans="19:19" ht="15.75">
      <c r="S12801" s="1"/>
    </row>
    <row r="12802" spans="19:19" ht="15.75">
      <c r="S12802" s="1"/>
    </row>
    <row r="12803" spans="19:19" ht="15.75">
      <c r="S12803" s="1"/>
    </row>
    <row r="12804" spans="19:19" ht="15.75">
      <c r="S12804" s="1"/>
    </row>
    <row r="12805" spans="19:19" ht="15.75">
      <c r="S12805" s="1"/>
    </row>
    <row r="12806" spans="19:19" ht="15.75">
      <c r="S12806" s="1"/>
    </row>
    <row r="12807" spans="19:19" ht="15.75">
      <c r="S12807" s="1"/>
    </row>
    <row r="12808" spans="19:19" ht="15.75">
      <c r="S12808" s="1"/>
    </row>
    <row r="12809" spans="19:19" ht="15.75">
      <c r="S12809" s="1"/>
    </row>
    <row r="12810" spans="19:19" ht="15.75">
      <c r="S12810" s="1"/>
    </row>
    <row r="12811" spans="19:19" ht="15.75">
      <c r="S12811" s="1"/>
    </row>
    <row r="12812" spans="19:19" ht="15.75">
      <c r="S12812" s="1"/>
    </row>
    <row r="12813" spans="19:19" ht="15.75">
      <c r="S12813" s="1"/>
    </row>
    <row r="12814" spans="19:19" ht="15.75">
      <c r="S12814" s="1"/>
    </row>
    <row r="12815" spans="19:19" ht="15.75">
      <c r="S12815" s="1"/>
    </row>
    <row r="12816" spans="19:19" ht="15.75">
      <c r="S12816" s="1"/>
    </row>
    <row r="12817" spans="19:19" ht="15.75">
      <c r="S12817" s="1"/>
    </row>
    <row r="12818" spans="19:19" ht="15.75">
      <c r="S12818" s="1"/>
    </row>
    <row r="12819" spans="19:19" ht="15.75">
      <c r="S12819" s="1"/>
    </row>
    <row r="12820" spans="19:19" ht="15.75">
      <c r="S12820" s="1"/>
    </row>
    <row r="12821" spans="19:19" ht="15.75">
      <c r="S12821" s="1"/>
    </row>
    <row r="12822" spans="19:19" ht="15.75">
      <c r="S12822" s="1"/>
    </row>
    <row r="12823" spans="19:19" ht="15.75">
      <c r="S12823" s="1"/>
    </row>
    <row r="12824" spans="19:19" ht="15.75">
      <c r="S12824" s="1"/>
    </row>
    <row r="12825" spans="19:19" ht="15.75">
      <c r="S12825" s="1"/>
    </row>
    <row r="12826" spans="19:19" ht="15.75">
      <c r="S12826" s="1"/>
    </row>
    <row r="12827" spans="19:19" ht="15.75">
      <c r="S12827" s="1"/>
    </row>
    <row r="12828" spans="19:19" ht="15.75">
      <c r="S12828" s="1"/>
    </row>
    <row r="12829" spans="19:19" ht="15.75">
      <c r="S12829" s="1"/>
    </row>
    <row r="12830" spans="19:19" ht="15.75">
      <c r="S12830" s="1"/>
    </row>
    <row r="12831" spans="19:19" ht="15.75">
      <c r="S12831" s="1"/>
    </row>
    <row r="12832" spans="19:19" ht="15.75">
      <c r="S12832" s="1"/>
    </row>
    <row r="12833" spans="19:19" ht="15.75">
      <c r="S12833" s="1"/>
    </row>
    <row r="12834" spans="19:19" ht="15.75">
      <c r="S12834" s="1"/>
    </row>
    <row r="12835" spans="19:19" ht="15.75">
      <c r="S12835" s="1"/>
    </row>
    <row r="12836" spans="19:19" ht="15.75">
      <c r="S12836" s="1"/>
    </row>
    <row r="12837" spans="19:19" ht="15.75">
      <c r="S12837" s="1"/>
    </row>
    <row r="12838" spans="19:19" ht="15.75">
      <c r="S12838" s="1"/>
    </row>
    <row r="12839" spans="19:19" ht="15.75">
      <c r="S12839" s="1"/>
    </row>
    <row r="12840" spans="19:19" ht="15.75">
      <c r="S12840" s="1"/>
    </row>
    <row r="12841" spans="19:19" ht="15.75">
      <c r="S12841" s="1"/>
    </row>
    <row r="12842" spans="19:19" ht="15.75">
      <c r="S12842" s="1"/>
    </row>
    <row r="12843" spans="19:19" ht="15.75">
      <c r="S12843" s="1"/>
    </row>
    <row r="12844" spans="19:19" ht="15.75">
      <c r="S12844" s="1"/>
    </row>
    <row r="12845" spans="19:19" ht="15.75">
      <c r="S12845" s="1"/>
    </row>
    <row r="12846" spans="19:19" ht="15.75">
      <c r="S12846" s="1"/>
    </row>
    <row r="12847" spans="19:19" ht="15.75">
      <c r="S12847" s="1"/>
    </row>
    <row r="12848" spans="19:19" ht="15.75">
      <c r="S12848" s="1"/>
    </row>
    <row r="12849" spans="19:19" ht="15.75">
      <c r="S12849" s="1"/>
    </row>
    <row r="12850" spans="19:19" ht="15.75">
      <c r="S12850" s="1"/>
    </row>
    <row r="12851" spans="19:19" ht="15.75">
      <c r="S12851" s="1"/>
    </row>
    <row r="12852" spans="19:19" ht="15.75">
      <c r="S12852" s="1"/>
    </row>
    <row r="12853" spans="19:19" ht="15.75">
      <c r="S12853" s="1"/>
    </row>
    <row r="12854" spans="19:19" ht="15.75">
      <c r="S12854" s="1"/>
    </row>
    <row r="12855" spans="19:19" ht="15.75">
      <c r="S12855" s="1"/>
    </row>
    <row r="12856" spans="19:19" ht="15.75">
      <c r="S12856" s="1"/>
    </row>
    <row r="12857" spans="19:19" ht="15.75">
      <c r="S12857" s="1"/>
    </row>
    <row r="12858" spans="19:19" ht="15.75">
      <c r="S12858" s="1"/>
    </row>
    <row r="12859" spans="19:19" ht="15.75">
      <c r="S12859" s="1"/>
    </row>
    <row r="12860" spans="19:19" ht="15.75">
      <c r="S12860" s="1"/>
    </row>
    <row r="12861" spans="19:19" ht="15.75">
      <c r="S12861" s="1"/>
    </row>
    <row r="12862" spans="19:19" ht="15.75">
      <c r="S12862" s="1"/>
    </row>
    <row r="12863" spans="19:19" ht="15.75">
      <c r="S12863" s="1"/>
    </row>
    <row r="12864" spans="19:19" ht="15.75">
      <c r="S12864" s="1"/>
    </row>
    <row r="12865" spans="19:19" ht="15.75">
      <c r="S12865" s="1"/>
    </row>
    <row r="12866" spans="19:19" ht="15.75">
      <c r="S12866" s="1"/>
    </row>
    <row r="12867" spans="19:19" ht="15.75">
      <c r="S12867" s="1"/>
    </row>
    <row r="12868" spans="19:19" ht="15.75">
      <c r="S12868" s="1"/>
    </row>
    <row r="12869" spans="19:19" ht="15.75">
      <c r="S12869" s="1"/>
    </row>
    <row r="12870" spans="19:19" ht="15.75">
      <c r="S12870" s="1"/>
    </row>
    <row r="12871" spans="19:19" ht="15.75">
      <c r="S12871" s="1"/>
    </row>
    <row r="12872" spans="19:19" ht="15.75">
      <c r="S12872" s="1"/>
    </row>
    <row r="12873" spans="19:19" ht="15.75">
      <c r="S12873" s="1"/>
    </row>
    <row r="12874" spans="19:19" ht="15.75">
      <c r="S12874" s="1"/>
    </row>
    <row r="12875" spans="19:19" ht="15.75">
      <c r="S12875" s="1"/>
    </row>
    <row r="12876" spans="19:19" ht="15.75">
      <c r="S12876" s="1"/>
    </row>
    <row r="12877" spans="19:19" ht="15.75">
      <c r="S12877" s="1"/>
    </row>
    <row r="12878" spans="19:19" ht="15.75">
      <c r="S12878" s="1"/>
    </row>
    <row r="12879" spans="19:19" ht="15.75">
      <c r="S12879" s="1"/>
    </row>
    <row r="12880" spans="19:19" ht="15.75">
      <c r="S12880" s="1"/>
    </row>
    <row r="12881" spans="19:19" ht="15.75">
      <c r="S12881" s="1"/>
    </row>
    <row r="12882" spans="19:19" ht="15.75">
      <c r="S12882" s="1"/>
    </row>
    <row r="12883" spans="19:19" ht="15.75">
      <c r="S12883" s="1"/>
    </row>
    <row r="12884" spans="19:19" ht="15.75">
      <c r="S12884" s="1"/>
    </row>
    <row r="12885" spans="19:19" ht="15.75">
      <c r="S12885" s="1"/>
    </row>
    <row r="12886" spans="19:19" ht="15.75">
      <c r="S12886" s="1"/>
    </row>
    <row r="12887" spans="19:19" ht="15.75">
      <c r="S12887" s="1"/>
    </row>
    <row r="12888" spans="19:19" ht="15.75">
      <c r="S12888" s="1"/>
    </row>
    <row r="12889" spans="19:19" ht="15.75">
      <c r="S12889" s="1"/>
    </row>
    <row r="12890" spans="19:19" ht="15.75">
      <c r="S12890" s="1"/>
    </row>
    <row r="12891" spans="19:19" ht="15.75">
      <c r="S12891" s="1"/>
    </row>
    <row r="12892" spans="19:19" ht="15.75">
      <c r="S12892" s="1"/>
    </row>
    <row r="12893" spans="19:19" ht="15.75">
      <c r="S12893" s="1"/>
    </row>
    <row r="12894" spans="19:19" ht="15.75">
      <c r="S12894" s="1"/>
    </row>
    <row r="12895" spans="19:19" ht="15.75">
      <c r="S12895" s="1"/>
    </row>
    <row r="12896" spans="19:19" ht="15.75">
      <c r="S12896" s="1"/>
    </row>
    <row r="12897" spans="19:19" ht="15.75">
      <c r="S12897" s="1"/>
    </row>
    <row r="12898" spans="19:19" ht="15.75">
      <c r="S12898" s="1"/>
    </row>
    <row r="12899" spans="19:19" ht="15.75">
      <c r="S12899" s="1"/>
    </row>
    <row r="12900" spans="19:19" ht="15.75">
      <c r="S12900" s="1"/>
    </row>
    <row r="12901" spans="19:19" ht="15.75">
      <c r="S12901" s="1"/>
    </row>
    <row r="12902" spans="19:19" ht="15.75">
      <c r="S12902" s="1"/>
    </row>
    <row r="12903" spans="19:19" ht="15.75">
      <c r="S12903" s="1"/>
    </row>
    <row r="12904" spans="19:19" ht="15.75">
      <c r="S12904" s="1"/>
    </row>
    <row r="12905" spans="19:19" ht="15.75">
      <c r="S12905" s="1"/>
    </row>
    <row r="12906" spans="19:19" ht="15.75">
      <c r="S12906" s="1"/>
    </row>
    <row r="12907" spans="19:19" ht="15.75">
      <c r="S12907" s="1"/>
    </row>
    <row r="12908" spans="19:19" ht="15.75">
      <c r="S12908" s="1"/>
    </row>
    <row r="12909" spans="19:19" ht="15.75">
      <c r="S12909" s="1"/>
    </row>
    <row r="12910" spans="19:19" ht="15.75">
      <c r="S12910" s="1"/>
    </row>
    <row r="12911" spans="19:19" ht="15.75">
      <c r="S12911" s="1"/>
    </row>
    <row r="12912" spans="19:19" ht="15.75">
      <c r="S12912" s="1"/>
    </row>
    <row r="12913" spans="19:19" ht="15.75">
      <c r="S12913" s="1"/>
    </row>
    <row r="12914" spans="19:19" ht="15.75">
      <c r="S12914" s="1"/>
    </row>
    <row r="12915" spans="19:19" ht="15.75">
      <c r="S12915" s="1"/>
    </row>
    <row r="12916" spans="19:19" ht="15.75">
      <c r="S12916" s="1"/>
    </row>
    <row r="12917" spans="19:19" ht="15.75">
      <c r="S12917" s="1"/>
    </row>
    <row r="12918" spans="19:19" ht="15.75">
      <c r="S12918" s="1"/>
    </row>
    <row r="12919" spans="19:19" ht="15.75">
      <c r="S12919" s="1"/>
    </row>
    <row r="12920" spans="19:19" ht="15.75">
      <c r="S12920" s="1"/>
    </row>
    <row r="12921" spans="19:19" ht="15.75">
      <c r="S12921" s="1"/>
    </row>
    <row r="12922" spans="19:19" ht="15.75">
      <c r="S12922" s="1"/>
    </row>
    <row r="12923" spans="19:19" ht="15.75">
      <c r="S12923" s="1"/>
    </row>
    <row r="12924" spans="19:19" ht="15.75">
      <c r="S12924" s="1"/>
    </row>
    <row r="12925" spans="19:19" ht="15.75">
      <c r="S12925" s="1"/>
    </row>
    <row r="12926" spans="19:19" ht="15.75">
      <c r="S12926" s="1"/>
    </row>
    <row r="12927" spans="19:19" ht="15.75">
      <c r="S12927" s="1"/>
    </row>
    <row r="12928" spans="19:19" ht="15.75">
      <c r="S12928" s="1"/>
    </row>
    <row r="12929" spans="19:19" ht="15.75">
      <c r="S12929" s="1"/>
    </row>
    <row r="12930" spans="19:19" ht="15.75">
      <c r="S12930" s="1"/>
    </row>
    <row r="12931" spans="19:19" ht="15.75">
      <c r="S12931" s="1"/>
    </row>
    <row r="12932" spans="19:19" ht="15.75">
      <c r="S12932" s="1"/>
    </row>
    <row r="12933" spans="19:19" ht="15.75">
      <c r="S12933" s="1"/>
    </row>
    <row r="12934" spans="19:19" ht="15.75">
      <c r="S12934" s="1"/>
    </row>
    <row r="12935" spans="19:19" ht="15.75">
      <c r="S12935" s="1"/>
    </row>
    <row r="12936" spans="19:19" ht="15.75">
      <c r="S12936" s="1"/>
    </row>
    <row r="12937" spans="19:19" ht="15.75">
      <c r="S12937" s="1"/>
    </row>
    <row r="12938" spans="19:19" ht="15.75">
      <c r="S12938" s="1"/>
    </row>
    <row r="12939" spans="19:19" ht="15.75">
      <c r="S12939" s="1"/>
    </row>
    <row r="12940" spans="19:19" ht="15.75">
      <c r="S12940" s="1"/>
    </row>
    <row r="12941" spans="19:19" ht="15.75">
      <c r="S12941" s="1"/>
    </row>
    <row r="12942" spans="19:19" ht="15.75">
      <c r="S12942" s="1"/>
    </row>
    <row r="12943" spans="19:19" ht="15.75">
      <c r="S12943" s="1"/>
    </row>
    <row r="12944" spans="19:19" ht="15.75">
      <c r="S12944" s="1"/>
    </row>
    <row r="12945" spans="19:19" ht="15.75">
      <c r="S12945" s="1"/>
    </row>
    <row r="12946" spans="19:19" ht="15.75">
      <c r="S12946" s="1"/>
    </row>
    <row r="12947" spans="19:19" ht="15.75">
      <c r="S12947" s="1"/>
    </row>
    <row r="12948" spans="19:19" ht="15.75">
      <c r="S12948" s="1"/>
    </row>
    <row r="12949" spans="19:19" ht="15.75">
      <c r="S12949" s="1"/>
    </row>
    <row r="12950" spans="19:19" ht="15.75">
      <c r="S12950" s="1"/>
    </row>
    <row r="12951" spans="19:19" ht="15.75">
      <c r="S12951" s="1"/>
    </row>
    <row r="12952" spans="19:19" ht="15.75">
      <c r="S12952" s="1"/>
    </row>
    <row r="12953" spans="19:19" ht="15.75">
      <c r="S12953" s="1"/>
    </row>
    <row r="12954" spans="19:19" ht="15.75">
      <c r="S12954" s="1"/>
    </row>
    <row r="12955" spans="19:19" ht="15.75">
      <c r="S12955" s="1"/>
    </row>
    <row r="12956" spans="19:19" ht="15.75">
      <c r="S12956" s="1"/>
    </row>
    <row r="12957" spans="19:19" ht="15.75">
      <c r="S12957" s="1"/>
    </row>
    <row r="12958" spans="19:19" ht="15.75">
      <c r="S12958" s="1"/>
    </row>
    <row r="12959" spans="19:19" ht="15.75">
      <c r="S12959" s="1"/>
    </row>
    <row r="12960" spans="19:19" ht="15.75">
      <c r="S12960" s="1"/>
    </row>
    <row r="12961" spans="19:19" ht="15.75">
      <c r="S12961" s="1"/>
    </row>
    <row r="12962" spans="19:19" ht="15.75">
      <c r="S12962" s="1"/>
    </row>
    <row r="12963" spans="19:19" ht="15.75">
      <c r="S12963" s="1"/>
    </row>
    <row r="12964" spans="19:19" ht="15.75">
      <c r="S12964" s="1"/>
    </row>
    <row r="12965" spans="19:19" ht="15.75">
      <c r="S12965" s="1"/>
    </row>
    <row r="12966" spans="19:19" ht="15.75">
      <c r="S12966" s="1"/>
    </row>
    <row r="12967" spans="19:19" ht="15.75">
      <c r="S12967" s="1"/>
    </row>
    <row r="12968" spans="19:19" ht="15.75">
      <c r="S12968" s="1"/>
    </row>
    <row r="12969" spans="19:19" ht="15.75">
      <c r="S12969" s="1"/>
    </row>
    <row r="12970" spans="19:19" ht="15.75">
      <c r="S12970" s="1"/>
    </row>
    <row r="12971" spans="19:19" ht="15.75">
      <c r="S12971" s="1"/>
    </row>
    <row r="12972" spans="19:19" ht="15.75">
      <c r="S12972" s="1"/>
    </row>
    <row r="12973" spans="19:19" ht="15.75">
      <c r="S12973" s="1"/>
    </row>
    <row r="12974" spans="19:19" ht="15.75">
      <c r="S12974" s="1"/>
    </row>
    <row r="12975" spans="19:19" ht="15.75">
      <c r="S12975" s="1"/>
    </row>
    <row r="12976" spans="19:19" ht="15.75">
      <c r="S12976" s="1"/>
    </row>
    <row r="12977" spans="19:19" ht="15.75">
      <c r="S12977" s="1"/>
    </row>
    <row r="12978" spans="19:19" ht="15.75">
      <c r="S12978" s="1"/>
    </row>
    <row r="12979" spans="19:19" ht="15.75">
      <c r="S12979" s="1"/>
    </row>
    <row r="12980" spans="19:19" ht="15.75">
      <c r="S12980" s="1"/>
    </row>
    <row r="12981" spans="19:19" ht="15.75">
      <c r="S12981" s="1"/>
    </row>
    <row r="12982" spans="19:19" ht="15.75">
      <c r="S12982" s="1"/>
    </row>
    <row r="12983" spans="19:19" ht="15.75">
      <c r="S12983" s="1"/>
    </row>
    <row r="12984" spans="19:19" ht="15.75">
      <c r="S12984" s="1"/>
    </row>
    <row r="12985" spans="19:19" ht="15.75">
      <c r="S12985" s="1"/>
    </row>
    <row r="12986" spans="19:19" ht="15.75">
      <c r="S12986" s="1"/>
    </row>
    <row r="12987" spans="19:19" ht="15.75">
      <c r="S12987" s="1"/>
    </row>
    <row r="12988" spans="19:19" ht="15.75">
      <c r="S12988" s="1"/>
    </row>
    <row r="12989" spans="19:19" ht="15.75">
      <c r="S12989" s="1"/>
    </row>
    <row r="12990" spans="19:19" ht="15.75">
      <c r="S12990" s="1"/>
    </row>
    <row r="12991" spans="19:19" ht="15.75">
      <c r="S12991" s="1"/>
    </row>
    <row r="12992" spans="19:19" ht="15.75">
      <c r="S12992" s="1"/>
    </row>
    <row r="12993" spans="19:19" ht="15.75">
      <c r="S12993" s="1"/>
    </row>
    <row r="12994" spans="19:19" ht="15.75">
      <c r="S12994" s="1"/>
    </row>
    <row r="12995" spans="19:19" ht="15.75">
      <c r="S12995" s="1"/>
    </row>
    <row r="12996" spans="19:19" ht="15.75">
      <c r="S12996" s="1"/>
    </row>
    <row r="12997" spans="19:19" ht="15.75">
      <c r="S12997" s="1"/>
    </row>
    <row r="12998" spans="19:19" ht="15.75">
      <c r="S12998" s="1"/>
    </row>
    <row r="12999" spans="19:19" ht="15.75">
      <c r="S12999" s="1"/>
    </row>
    <row r="13000" spans="19:19" ht="15.75">
      <c r="S13000" s="1"/>
    </row>
    <row r="13001" spans="19:19" ht="15.75">
      <c r="S13001" s="1"/>
    </row>
    <row r="13002" spans="19:19" ht="15.75">
      <c r="S13002" s="1"/>
    </row>
    <row r="13003" spans="19:19" ht="15.75">
      <c r="S13003" s="1"/>
    </row>
    <row r="13004" spans="19:19" ht="15.75">
      <c r="S13004" s="1"/>
    </row>
    <row r="13005" spans="19:19" ht="15.75">
      <c r="S13005" s="1"/>
    </row>
    <row r="13006" spans="19:19" ht="15.75">
      <c r="S13006" s="1"/>
    </row>
    <row r="13007" spans="19:19" ht="15.75">
      <c r="S13007" s="1"/>
    </row>
    <row r="13008" spans="19:19" ht="15.75">
      <c r="S13008" s="1"/>
    </row>
    <row r="13009" spans="19:19" ht="15.75">
      <c r="S13009" s="1"/>
    </row>
    <row r="13010" spans="19:19" ht="15.75">
      <c r="S13010" s="1"/>
    </row>
    <row r="13011" spans="19:19" ht="15.75">
      <c r="S13011" s="1"/>
    </row>
    <row r="13012" spans="19:19" ht="15.75">
      <c r="S13012" s="1"/>
    </row>
    <row r="13013" spans="19:19" ht="15.75">
      <c r="S13013" s="1"/>
    </row>
    <row r="13014" spans="19:19" ht="15.75">
      <c r="S13014" s="1"/>
    </row>
    <row r="13015" spans="19:19" ht="15.75">
      <c r="S13015" s="1"/>
    </row>
    <row r="13016" spans="19:19" ht="15.75">
      <c r="S13016" s="1"/>
    </row>
    <row r="13017" spans="19:19" ht="15.75">
      <c r="S13017" s="1"/>
    </row>
    <row r="13018" spans="19:19" ht="15.75">
      <c r="S13018" s="1"/>
    </row>
    <row r="13019" spans="19:19" ht="15.75">
      <c r="S13019" s="1"/>
    </row>
    <row r="13020" spans="19:19" ht="15.75">
      <c r="S13020" s="1"/>
    </row>
    <row r="13021" spans="19:19" ht="15.75">
      <c r="S13021" s="1"/>
    </row>
    <row r="13022" spans="19:19" ht="15.75">
      <c r="S13022" s="1"/>
    </row>
    <row r="13023" spans="19:19" ht="15.75">
      <c r="S13023" s="1"/>
    </row>
    <row r="13024" spans="19:19" ht="15.75">
      <c r="S13024" s="1"/>
    </row>
    <row r="13025" spans="19:19" ht="15.75">
      <c r="S13025" s="1"/>
    </row>
    <row r="13026" spans="19:19" ht="15.75">
      <c r="S13026" s="1"/>
    </row>
    <row r="13027" spans="19:19" ht="15.75">
      <c r="S13027" s="1"/>
    </row>
    <row r="13028" spans="19:19" ht="15.75">
      <c r="S13028" s="1"/>
    </row>
    <row r="13029" spans="19:19" ht="15.75">
      <c r="S13029" s="1"/>
    </row>
    <row r="13030" spans="19:19" ht="15.75">
      <c r="S13030" s="1"/>
    </row>
    <row r="13031" spans="19:19" ht="15.75">
      <c r="S13031" s="1"/>
    </row>
    <row r="13032" spans="19:19" ht="15.75">
      <c r="S13032" s="1"/>
    </row>
    <row r="13033" spans="19:19" ht="15.75">
      <c r="S13033" s="1"/>
    </row>
    <row r="13034" spans="19:19" ht="15.75">
      <c r="S13034" s="1"/>
    </row>
    <row r="13035" spans="19:19" ht="15.75">
      <c r="S13035" s="1"/>
    </row>
    <row r="13036" spans="19:19" ht="15.75">
      <c r="S13036" s="1"/>
    </row>
    <row r="13037" spans="19:19" ht="15.75">
      <c r="S13037" s="1"/>
    </row>
    <row r="13038" spans="19:19" ht="15.75">
      <c r="S13038" s="1"/>
    </row>
    <row r="13039" spans="19:19" ht="15.75">
      <c r="S13039" s="1"/>
    </row>
    <row r="13040" spans="19:19" ht="15.75">
      <c r="S13040" s="1"/>
    </row>
    <row r="13041" spans="19:19" ht="15.75">
      <c r="S13041" s="1"/>
    </row>
    <row r="13042" spans="19:19" ht="15.75">
      <c r="S13042" s="1"/>
    </row>
    <row r="13043" spans="19:19" ht="15.75">
      <c r="S13043" s="1"/>
    </row>
    <row r="13044" spans="19:19" ht="15.75">
      <c r="S13044" s="1"/>
    </row>
    <row r="13045" spans="19:19" ht="15.75">
      <c r="S13045" s="1"/>
    </row>
    <row r="13046" spans="19:19" ht="15.75">
      <c r="S13046" s="1"/>
    </row>
    <row r="13047" spans="19:19" ht="15.75">
      <c r="S13047" s="1"/>
    </row>
    <row r="13048" spans="19:19" ht="15.75">
      <c r="S13048" s="1"/>
    </row>
    <row r="13049" spans="19:19" ht="15.75">
      <c r="S13049" s="1"/>
    </row>
    <row r="13050" spans="19:19" ht="15.75">
      <c r="S13050" s="1"/>
    </row>
    <row r="13051" spans="19:19" ht="15.75">
      <c r="S13051" s="1"/>
    </row>
    <row r="13052" spans="19:19" ht="15.75">
      <c r="S13052" s="1"/>
    </row>
    <row r="13053" spans="19:19" ht="15.75">
      <c r="S13053" s="1"/>
    </row>
    <row r="13054" spans="19:19" ht="15.75">
      <c r="S13054" s="1"/>
    </row>
    <row r="13055" spans="19:19" ht="15.75">
      <c r="S13055" s="1"/>
    </row>
    <row r="13056" spans="19:19" ht="15.75">
      <c r="S13056" s="1"/>
    </row>
    <row r="13057" spans="19:19" ht="15.75">
      <c r="S13057" s="1"/>
    </row>
    <row r="13058" spans="19:19" ht="15.75">
      <c r="S13058" s="1"/>
    </row>
    <row r="13059" spans="19:19" ht="15.75">
      <c r="S13059" s="1"/>
    </row>
    <row r="13060" spans="19:19" ht="15.75">
      <c r="S13060" s="1"/>
    </row>
    <row r="13061" spans="19:19" ht="15.75">
      <c r="S13061" s="1"/>
    </row>
    <row r="13062" spans="19:19" ht="15.75">
      <c r="S13062" s="1"/>
    </row>
    <row r="13063" spans="19:19" ht="15.75">
      <c r="S13063" s="1"/>
    </row>
    <row r="13064" spans="19:19" ht="15.75">
      <c r="S13064" s="1"/>
    </row>
    <row r="13065" spans="19:19" ht="15.75">
      <c r="S13065" s="1"/>
    </row>
    <row r="13066" spans="19:19" ht="15.75">
      <c r="S13066" s="1"/>
    </row>
    <row r="13067" spans="19:19" ht="15.75">
      <c r="S13067" s="1"/>
    </row>
    <row r="13068" spans="19:19" ht="15.75">
      <c r="S13068" s="1"/>
    </row>
    <row r="13069" spans="19:19" ht="15.75">
      <c r="S13069" s="1"/>
    </row>
    <row r="13070" spans="19:19" ht="15.75">
      <c r="S13070" s="1"/>
    </row>
    <row r="13071" spans="19:19" ht="15.75">
      <c r="S13071" s="1"/>
    </row>
    <row r="13072" spans="19:19" ht="15.75">
      <c r="S13072" s="1"/>
    </row>
    <row r="13073" spans="19:19" ht="15.75">
      <c r="S13073" s="1"/>
    </row>
    <row r="13074" spans="19:19" ht="15.75">
      <c r="S13074" s="1"/>
    </row>
    <row r="13075" spans="19:19" ht="15.75">
      <c r="S13075" s="1"/>
    </row>
    <row r="13076" spans="19:19" ht="15.75">
      <c r="S13076" s="1"/>
    </row>
    <row r="13077" spans="19:19" ht="15.75">
      <c r="S13077" s="1"/>
    </row>
    <row r="13078" spans="19:19" ht="15.75">
      <c r="S13078" s="1"/>
    </row>
    <row r="13079" spans="19:19" ht="15.75">
      <c r="S13079" s="1"/>
    </row>
    <row r="13080" spans="19:19" ht="15.75">
      <c r="S13080" s="1"/>
    </row>
    <row r="13081" spans="19:19" ht="15.75">
      <c r="S13081" s="1"/>
    </row>
    <row r="13082" spans="19:19" ht="15.75">
      <c r="S13082" s="1"/>
    </row>
    <row r="13083" spans="19:19" ht="15.75">
      <c r="S13083" s="1"/>
    </row>
    <row r="13084" spans="19:19" ht="15.75">
      <c r="S13084" s="1"/>
    </row>
    <row r="13085" spans="19:19" ht="15.75">
      <c r="S13085" s="1"/>
    </row>
    <row r="13086" spans="19:19" ht="15.75">
      <c r="S13086" s="1"/>
    </row>
    <row r="13087" spans="19:19" ht="15.75">
      <c r="S13087" s="1"/>
    </row>
    <row r="13088" spans="19:19" ht="15.75">
      <c r="S13088" s="1"/>
    </row>
    <row r="13089" spans="19:19" ht="15.75">
      <c r="S13089" s="1"/>
    </row>
    <row r="13090" spans="19:19" ht="15.75">
      <c r="S13090" s="1"/>
    </row>
    <row r="13091" spans="19:19" ht="15.75">
      <c r="S13091" s="1"/>
    </row>
    <row r="13092" spans="19:19" ht="15.75">
      <c r="S13092" s="1"/>
    </row>
    <row r="13093" spans="19:19" ht="15.75">
      <c r="S13093" s="1"/>
    </row>
    <row r="13094" spans="19:19" ht="15.75">
      <c r="S13094" s="1"/>
    </row>
    <row r="13095" spans="19:19" ht="15.75">
      <c r="S13095" s="1"/>
    </row>
    <row r="13096" spans="19:19" ht="15.75">
      <c r="S13096" s="1"/>
    </row>
    <row r="13097" spans="19:19" ht="15.75">
      <c r="S13097" s="1"/>
    </row>
    <row r="13098" spans="19:19" ht="15.75">
      <c r="S13098" s="1"/>
    </row>
    <row r="13099" spans="19:19" ht="15.75">
      <c r="S13099" s="1"/>
    </row>
    <row r="13100" spans="19:19" ht="15.75">
      <c r="S13100" s="1"/>
    </row>
    <row r="13101" spans="19:19" ht="15.75">
      <c r="S13101" s="1"/>
    </row>
    <row r="13102" spans="19:19" ht="15.75">
      <c r="S13102" s="1"/>
    </row>
    <row r="13103" spans="19:19" ht="15.75">
      <c r="S13103" s="1"/>
    </row>
    <row r="13104" spans="19:19" ht="15.75">
      <c r="S13104" s="1"/>
    </row>
    <row r="13105" spans="19:19" ht="15.75">
      <c r="S13105" s="1"/>
    </row>
    <row r="13106" spans="19:19" ht="15.75">
      <c r="S13106" s="1"/>
    </row>
    <row r="13107" spans="19:19" ht="15.75">
      <c r="S13107" s="1"/>
    </row>
    <row r="13108" spans="19:19" ht="15.75">
      <c r="S13108" s="1"/>
    </row>
    <row r="13109" spans="19:19" ht="15.75">
      <c r="S13109" s="1"/>
    </row>
    <row r="13110" spans="19:19" ht="15.75">
      <c r="S13110" s="1"/>
    </row>
    <row r="13111" spans="19:19" ht="15.75">
      <c r="S13111" s="1"/>
    </row>
    <row r="13112" spans="19:19" ht="15.75">
      <c r="S13112" s="1"/>
    </row>
    <row r="13113" spans="19:19" ht="15.75">
      <c r="S13113" s="1"/>
    </row>
    <row r="13114" spans="19:19" ht="15.75">
      <c r="S13114" s="1"/>
    </row>
    <row r="13115" spans="19:19" ht="15.75">
      <c r="S13115" s="1"/>
    </row>
    <row r="13116" spans="19:19" ht="15.75">
      <c r="S13116" s="1"/>
    </row>
    <row r="13117" spans="19:19" ht="15.75">
      <c r="S13117" s="1"/>
    </row>
    <row r="13118" spans="19:19" ht="15.75">
      <c r="S13118" s="1"/>
    </row>
    <row r="13119" spans="19:19" ht="15.75">
      <c r="S13119" s="1"/>
    </row>
    <row r="13120" spans="19:19" ht="15.75">
      <c r="S13120" s="1"/>
    </row>
    <row r="13121" spans="19:19" ht="15.75">
      <c r="S13121" s="1"/>
    </row>
    <row r="13122" spans="19:19" ht="15.75">
      <c r="S13122" s="1"/>
    </row>
    <row r="13123" spans="19:19" ht="15.75">
      <c r="S13123" s="1"/>
    </row>
    <row r="13124" spans="19:19" ht="15.75">
      <c r="S13124" s="1"/>
    </row>
    <row r="13125" spans="19:19" ht="15.75">
      <c r="S13125" s="1"/>
    </row>
    <row r="13126" spans="19:19" ht="15.75">
      <c r="S13126" s="1"/>
    </row>
    <row r="13127" spans="19:19" ht="15.75">
      <c r="S13127" s="1"/>
    </row>
    <row r="13128" spans="19:19" ht="15.75">
      <c r="S13128" s="1"/>
    </row>
    <row r="13129" spans="19:19" ht="15.75">
      <c r="S13129" s="1"/>
    </row>
    <row r="13130" spans="19:19" ht="15.75">
      <c r="S13130" s="1"/>
    </row>
    <row r="13131" spans="19:19" ht="15.75">
      <c r="S13131" s="1"/>
    </row>
    <row r="13132" spans="19:19" ht="15.75">
      <c r="S13132" s="1"/>
    </row>
    <row r="13133" spans="19:19" ht="15.75">
      <c r="S13133" s="1"/>
    </row>
    <row r="13134" spans="19:19" ht="15.75">
      <c r="S13134" s="1"/>
    </row>
    <row r="13135" spans="19:19" ht="15.75">
      <c r="S13135" s="1"/>
    </row>
    <row r="13136" spans="19:19" ht="15.75">
      <c r="S13136" s="1"/>
    </row>
    <row r="13137" spans="19:19" ht="15.75">
      <c r="S13137" s="1"/>
    </row>
    <row r="13138" spans="19:19" ht="15.75">
      <c r="S13138" s="1"/>
    </row>
    <row r="13139" spans="19:19" ht="15.75">
      <c r="S13139" s="1"/>
    </row>
    <row r="13140" spans="19:19" ht="15.75">
      <c r="S13140" s="1"/>
    </row>
    <row r="13141" spans="19:19" ht="15.75">
      <c r="S13141" s="1"/>
    </row>
    <row r="13142" spans="19:19" ht="15.75">
      <c r="S13142" s="1"/>
    </row>
    <row r="13143" spans="19:19" ht="15.75">
      <c r="S13143" s="1"/>
    </row>
    <row r="13144" spans="19:19" ht="15.75">
      <c r="S13144" s="1"/>
    </row>
    <row r="13145" spans="19:19" ht="15.75">
      <c r="S13145" s="1"/>
    </row>
    <row r="13146" spans="19:19" ht="15.75">
      <c r="S13146" s="1"/>
    </row>
    <row r="13147" spans="19:19" ht="15.75">
      <c r="S13147" s="1"/>
    </row>
    <row r="13148" spans="19:19" ht="15.75">
      <c r="S13148" s="1"/>
    </row>
    <row r="13149" spans="19:19" ht="15.75">
      <c r="S13149" s="1"/>
    </row>
    <row r="13150" spans="19:19" ht="15.75">
      <c r="S13150" s="1"/>
    </row>
    <row r="13151" spans="19:19" ht="15.75">
      <c r="S13151" s="1"/>
    </row>
    <row r="13152" spans="19:19" ht="15.75">
      <c r="S13152" s="1"/>
    </row>
    <row r="13153" spans="19:19" ht="15.75">
      <c r="S13153" s="1"/>
    </row>
    <row r="13154" spans="19:19" ht="15.75">
      <c r="S13154" s="1"/>
    </row>
    <row r="13155" spans="19:19" ht="15.75">
      <c r="S13155" s="1"/>
    </row>
    <row r="13156" spans="19:19" ht="15.75">
      <c r="S13156" s="1"/>
    </row>
    <row r="13157" spans="19:19" ht="15.75">
      <c r="S13157" s="1"/>
    </row>
    <row r="13158" spans="19:19" ht="15.75">
      <c r="S13158" s="1"/>
    </row>
    <row r="13159" spans="19:19" ht="15.75">
      <c r="S13159" s="1"/>
    </row>
    <row r="13160" spans="19:19" ht="15.75">
      <c r="S13160" s="1"/>
    </row>
    <row r="13161" spans="19:19" ht="15.75">
      <c r="S13161" s="1"/>
    </row>
    <row r="13162" spans="19:19" ht="15.75">
      <c r="S13162" s="1"/>
    </row>
    <row r="13163" spans="19:19" ht="15.75">
      <c r="S13163" s="1"/>
    </row>
    <row r="13164" spans="19:19" ht="15.75">
      <c r="S13164" s="1"/>
    </row>
    <row r="13165" spans="19:19" ht="15.75">
      <c r="S13165" s="1"/>
    </row>
    <row r="13166" spans="19:19" ht="15.75">
      <c r="S13166" s="1"/>
    </row>
    <row r="13167" spans="19:19" ht="15.75">
      <c r="S13167" s="1"/>
    </row>
    <row r="13168" spans="19:19" ht="15.75">
      <c r="S13168" s="1"/>
    </row>
    <row r="13169" spans="19:19" ht="15.75">
      <c r="S13169" s="1"/>
    </row>
    <row r="13170" spans="19:19" ht="15.75">
      <c r="S13170" s="1"/>
    </row>
    <row r="13171" spans="19:19" ht="15.75">
      <c r="S13171" s="1"/>
    </row>
    <row r="13172" spans="19:19" ht="15.75">
      <c r="S13172" s="1"/>
    </row>
    <row r="13173" spans="19:19" ht="15.75">
      <c r="S13173" s="1"/>
    </row>
    <row r="13174" spans="19:19" ht="15.75">
      <c r="S13174" s="1"/>
    </row>
    <row r="13175" spans="19:19" ht="15.75">
      <c r="S13175" s="1"/>
    </row>
    <row r="13176" spans="19:19" ht="15.75">
      <c r="S13176" s="1"/>
    </row>
    <row r="13177" spans="19:19" ht="15.75">
      <c r="S13177" s="1"/>
    </row>
    <row r="13178" spans="19:19" ht="15.75">
      <c r="S13178" s="1"/>
    </row>
    <row r="13179" spans="19:19" ht="15.75">
      <c r="S13179" s="1"/>
    </row>
    <row r="13180" spans="19:19" ht="15.75">
      <c r="S13180" s="1"/>
    </row>
    <row r="13181" spans="19:19" ht="15.75">
      <c r="S13181" s="1"/>
    </row>
    <row r="13182" spans="19:19" ht="15.75">
      <c r="S13182" s="1"/>
    </row>
    <row r="13183" spans="19:19" ht="15.75">
      <c r="S13183" s="1"/>
    </row>
    <row r="13184" spans="19:19" ht="15.75">
      <c r="S13184" s="1"/>
    </row>
    <row r="13185" spans="19:19" ht="15.75">
      <c r="S13185" s="1"/>
    </row>
    <row r="13186" spans="19:19" ht="15.75">
      <c r="S13186" s="1"/>
    </row>
    <row r="13187" spans="19:19" ht="15.75">
      <c r="S13187" s="1"/>
    </row>
    <row r="13188" spans="19:19" ht="15.75">
      <c r="S13188" s="1"/>
    </row>
    <row r="13189" spans="19:19" ht="15.75">
      <c r="S13189" s="1"/>
    </row>
    <row r="13190" spans="19:19" ht="15.75">
      <c r="S13190" s="1"/>
    </row>
    <row r="13191" spans="19:19" ht="15.75">
      <c r="S13191" s="1"/>
    </row>
    <row r="13192" spans="19:19" ht="15.75">
      <c r="S13192" s="1"/>
    </row>
    <row r="13193" spans="19:19" ht="15.75">
      <c r="S13193" s="1"/>
    </row>
    <row r="13194" spans="19:19" ht="15.75">
      <c r="S13194" s="1"/>
    </row>
    <row r="13195" spans="19:19" ht="15.75">
      <c r="S13195" s="1"/>
    </row>
    <row r="13196" spans="19:19" ht="15.75">
      <c r="S13196" s="1"/>
    </row>
    <row r="13197" spans="19:19" ht="15.75">
      <c r="S13197" s="1"/>
    </row>
    <row r="13198" spans="19:19" ht="15.75">
      <c r="S13198" s="1"/>
    </row>
    <row r="13199" spans="19:19" ht="15.75">
      <c r="S13199" s="1"/>
    </row>
    <row r="13200" spans="19:19" ht="15.75">
      <c r="S13200" s="1"/>
    </row>
    <row r="13201" spans="19:19" ht="15.75">
      <c r="S13201" s="1"/>
    </row>
    <row r="13202" spans="19:19" ht="15.75">
      <c r="S13202" s="1"/>
    </row>
    <row r="13203" spans="19:19" ht="15.75">
      <c r="S13203" s="1"/>
    </row>
    <row r="13204" spans="19:19" ht="15.75">
      <c r="S13204" s="1"/>
    </row>
    <row r="13205" spans="19:19" ht="15.75">
      <c r="S13205" s="1"/>
    </row>
    <row r="13206" spans="19:19" ht="15.75">
      <c r="S13206" s="1"/>
    </row>
    <row r="13207" spans="19:19" ht="15.75">
      <c r="S13207" s="1"/>
    </row>
    <row r="13208" spans="19:19" ht="15.75">
      <c r="S13208" s="1"/>
    </row>
    <row r="13209" spans="19:19" ht="15.75">
      <c r="S13209" s="1"/>
    </row>
    <row r="13210" spans="19:19" ht="15.75">
      <c r="S13210" s="1"/>
    </row>
    <row r="13211" spans="19:19" ht="15.75">
      <c r="S13211" s="1"/>
    </row>
    <row r="13212" spans="19:19" ht="15.75">
      <c r="S13212" s="1"/>
    </row>
    <row r="13213" spans="19:19" ht="15.75">
      <c r="S13213" s="1"/>
    </row>
    <row r="13214" spans="19:19" ht="15.75">
      <c r="S13214" s="1"/>
    </row>
    <row r="13215" spans="19:19" ht="15.75">
      <c r="S13215" s="1"/>
    </row>
    <row r="13216" spans="19:19" ht="15.75">
      <c r="S13216" s="1"/>
    </row>
    <row r="13217" spans="19:19" ht="15.75">
      <c r="S13217" s="1"/>
    </row>
    <row r="13218" spans="19:19" ht="15.75">
      <c r="S13218" s="1"/>
    </row>
    <row r="13219" spans="19:19" ht="15.75">
      <c r="S13219" s="1"/>
    </row>
    <row r="13220" spans="19:19" ht="15.75">
      <c r="S13220" s="1"/>
    </row>
    <row r="13221" spans="19:19" ht="15.75">
      <c r="S13221" s="1"/>
    </row>
    <row r="13222" spans="19:19" ht="15.75">
      <c r="S13222" s="1"/>
    </row>
    <row r="13223" spans="19:19" ht="15.75">
      <c r="S13223" s="1"/>
    </row>
    <row r="13224" spans="19:19" ht="15.75">
      <c r="S13224" s="1"/>
    </row>
    <row r="13225" spans="19:19" ht="15.75">
      <c r="S13225" s="1"/>
    </row>
    <row r="13226" spans="19:19" ht="15.75">
      <c r="S13226" s="1"/>
    </row>
    <row r="13227" spans="19:19" ht="15.75">
      <c r="S13227" s="1"/>
    </row>
    <row r="13228" spans="19:19" ht="15.75">
      <c r="S13228" s="1"/>
    </row>
    <row r="13229" spans="19:19" ht="15.75">
      <c r="S13229" s="1"/>
    </row>
    <row r="13230" spans="19:19" ht="15.75">
      <c r="S13230" s="1"/>
    </row>
    <row r="13231" spans="19:19" ht="15.75">
      <c r="S13231" s="1"/>
    </row>
    <row r="13232" spans="19:19" ht="15.75">
      <c r="S13232" s="1"/>
    </row>
    <row r="13233" spans="19:19" ht="15.75">
      <c r="S13233" s="1"/>
    </row>
    <row r="13234" spans="19:19" ht="15.75">
      <c r="S13234" s="1"/>
    </row>
    <row r="13235" spans="19:19" ht="15.75">
      <c r="S13235" s="1"/>
    </row>
    <row r="13236" spans="19:19" ht="15.75">
      <c r="S13236" s="1"/>
    </row>
    <row r="13237" spans="19:19" ht="15.75">
      <c r="S13237" s="1"/>
    </row>
    <row r="13238" spans="19:19" ht="15.75">
      <c r="S13238" s="1"/>
    </row>
    <row r="13239" spans="19:19" ht="15.75">
      <c r="S13239" s="1"/>
    </row>
    <row r="13240" spans="19:19" ht="15.75">
      <c r="S13240" s="1"/>
    </row>
    <row r="13241" spans="19:19" ht="15.75">
      <c r="S13241" s="1"/>
    </row>
    <row r="13242" spans="19:19" ht="15.75">
      <c r="S13242" s="1"/>
    </row>
    <row r="13243" spans="19:19" ht="15.75">
      <c r="S13243" s="1"/>
    </row>
    <row r="13244" spans="19:19" ht="15.75">
      <c r="S13244" s="1"/>
    </row>
    <row r="13245" spans="19:19" ht="15.75">
      <c r="S13245" s="1"/>
    </row>
    <row r="13246" spans="19:19" ht="15.75">
      <c r="S13246" s="1"/>
    </row>
    <row r="13247" spans="19:19" ht="15.75">
      <c r="S13247" s="1"/>
    </row>
    <row r="13248" spans="19:19" ht="15.75">
      <c r="S13248" s="1"/>
    </row>
    <row r="13249" spans="19:19" ht="15.75">
      <c r="S13249" s="1"/>
    </row>
    <row r="13250" spans="19:19" ht="15.75">
      <c r="S13250" s="1"/>
    </row>
    <row r="13251" spans="19:19" ht="15.75">
      <c r="S13251" s="1"/>
    </row>
    <row r="13252" spans="19:19" ht="15.75">
      <c r="S13252" s="1"/>
    </row>
    <row r="13253" spans="19:19" ht="15.75">
      <c r="S13253" s="1"/>
    </row>
    <row r="13254" spans="19:19" ht="15.75">
      <c r="S13254" s="1"/>
    </row>
    <row r="13255" spans="19:19" ht="15.75">
      <c r="S13255" s="1"/>
    </row>
    <row r="13256" spans="19:19" ht="15.75">
      <c r="S13256" s="1"/>
    </row>
    <row r="13257" spans="19:19" ht="15.75">
      <c r="S13257" s="1"/>
    </row>
    <row r="13258" spans="19:19" ht="15.75">
      <c r="S13258" s="1"/>
    </row>
    <row r="13259" spans="19:19" ht="15.75">
      <c r="S13259" s="1"/>
    </row>
    <row r="13260" spans="19:19" ht="15.75">
      <c r="S13260" s="1"/>
    </row>
    <row r="13261" spans="19:19" ht="15.75">
      <c r="S13261" s="1"/>
    </row>
    <row r="13262" spans="19:19" ht="15.75">
      <c r="S13262" s="1"/>
    </row>
    <row r="13263" spans="19:19" ht="15.75">
      <c r="S13263" s="1"/>
    </row>
    <row r="13264" spans="19:19" ht="15.75">
      <c r="S13264" s="1"/>
    </row>
    <row r="13265" spans="19:19" ht="15.75">
      <c r="S13265" s="1"/>
    </row>
    <row r="13266" spans="19:19" ht="15.75">
      <c r="S13266" s="1"/>
    </row>
    <row r="13267" spans="19:19" ht="15.75">
      <c r="S13267" s="1"/>
    </row>
    <row r="13268" spans="19:19" ht="15.75">
      <c r="S13268" s="1"/>
    </row>
    <row r="13269" spans="19:19" ht="15.75">
      <c r="S13269" s="1"/>
    </row>
    <row r="13270" spans="19:19" ht="15.75">
      <c r="S13270" s="1"/>
    </row>
    <row r="13271" spans="19:19" ht="15.75">
      <c r="S13271" s="1"/>
    </row>
    <row r="13272" spans="19:19" ht="15.75">
      <c r="S13272" s="1"/>
    </row>
    <row r="13273" spans="19:19" ht="15.75">
      <c r="S13273" s="1"/>
    </row>
    <row r="13274" spans="19:19" ht="15.75">
      <c r="S13274" s="1"/>
    </row>
    <row r="13275" spans="19:19" ht="15.75">
      <c r="S13275" s="1"/>
    </row>
    <row r="13276" spans="19:19" ht="15.75">
      <c r="S13276" s="1"/>
    </row>
    <row r="13277" spans="19:19" ht="15.75">
      <c r="S13277" s="1"/>
    </row>
    <row r="13278" spans="19:19" ht="15.75">
      <c r="S13278" s="1"/>
    </row>
    <row r="13279" spans="19:19" ht="15.75">
      <c r="S13279" s="1"/>
    </row>
    <row r="13280" spans="19:19" ht="15.75">
      <c r="S13280" s="1"/>
    </row>
    <row r="13281" spans="19:19" ht="15.75">
      <c r="S13281" s="1"/>
    </row>
    <row r="13282" spans="19:19" ht="15.75">
      <c r="S13282" s="1"/>
    </row>
    <row r="13283" spans="19:19" ht="15.75">
      <c r="S13283" s="1"/>
    </row>
    <row r="13284" spans="19:19" ht="15.75">
      <c r="S13284" s="1"/>
    </row>
    <row r="13285" spans="19:19" ht="15.75">
      <c r="S13285" s="1"/>
    </row>
    <row r="13286" spans="19:19" ht="15.75">
      <c r="S13286" s="1"/>
    </row>
    <row r="13287" spans="19:19" ht="15.75">
      <c r="S13287" s="1"/>
    </row>
    <row r="13288" spans="19:19" ht="15.75">
      <c r="S13288" s="1"/>
    </row>
    <row r="13289" spans="19:19" ht="15.75">
      <c r="S13289" s="1"/>
    </row>
    <row r="13290" spans="19:19" ht="15.75">
      <c r="S13290" s="1"/>
    </row>
    <row r="13291" spans="19:19" ht="15.75">
      <c r="S13291" s="1"/>
    </row>
    <row r="13292" spans="19:19" ht="15.75">
      <c r="S13292" s="1"/>
    </row>
    <row r="13293" spans="19:19" ht="15.75">
      <c r="S13293" s="1"/>
    </row>
    <row r="13294" spans="19:19" ht="15.75">
      <c r="S13294" s="1"/>
    </row>
    <row r="13295" spans="19:19" ht="15.75">
      <c r="S13295" s="1"/>
    </row>
    <row r="13296" spans="19:19" ht="15.75">
      <c r="S13296" s="1"/>
    </row>
    <row r="13297" spans="19:19" ht="15.75">
      <c r="S13297" s="1"/>
    </row>
    <row r="13298" spans="19:19" ht="15.75">
      <c r="S13298" s="1"/>
    </row>
    <row r="13299" spans="19:19" ht="15.75">
      <c r="S13299" s="1"/>
    </row>
    <row r="13300" spans="19:19" ht="15.75">
      <c r="S13300" s="1"/>
    </row>
    <row r="13301" spans="19:19" ht="15.75">
      <c r="S13301" s="1"/>
    </row>
    <row r="13302" spans="19:19" ht="15.75">
      <c r="S13302" s="1"/>
    </row>
    <row r="13303" spans="19:19" ht="15.75">
      <c r="S13303" s="1"/>
    </row>
    <row r="13304" spans="19:19" ht="15.75">
      <c r="S13304" s="1"/>
    </row>
    <row r="13305" spans="19:19" ht="15.75">
      <c r="S13305" s="1"/>
    </row>
    <row r="13306" spans="19:19" ht="15.75">
      <c r="S13306" s="1"/>
    </row>
    <row r="13307" spans="19:19" ht="15.75">
      <c r="S13307" s="1"/>
    </row>
    <row r="13308" spans="19:19" ht="15.75">
      <c r="S13308" s="1"/>
    </row>
    <row r="13309" spans="19:19" ht="15.75">
      <c r="S13309" s="1"/>
    </row>
    <row r="13310" spans="19:19" ht="15.75">
      <c r="S13310" s="1"/>
    </row>
    <row r="13311" spans="19:19" ht="15.75">
      <c r="S13311" s="1"/>
    </row>
    <row r="13312" spans="19:19" ht="15.75">
      <c r="S13312" s="1"/>
    </row>
    <row r="13313" spans="19:19" ht="15.75">
      <c r="S13313" s="1"/>
    </row>
    <row r="13314" spans="19:19" ht="15.75">
      <c r="S13314" s="1"/>
    </row>
    <row r="13315" spans="19:19" ht="15.75">
      <c r="S13315" s="1"/>
    </row>
    <row r="13316" spans="19:19" ht="15.75">
      <c r="S13316" s="1"/>
    </row>
    <row r="13317" spans="19:19" ht="15.75">
      <c r="S13317" s="1"/>
    </row>
    <row r="13318" spans="19:19" ht="15.75">
      <c r="S13318" s="1"/>
    </row>
    <row r="13319" spans="19:19" ht="15.75">
      <c r="S13319" s="1"/>
    </row>
    <row r="13320" spans="19:19" ht="15.75">
      <c r="S13320" s="1"/>
    </row>
    <row r="13321" spans="19:19" ht="15.75">
      <c r="S13321" s="1"/>
    </row>
    <row r="13322" spans="19:19" ht="15.75">
      <c r="S13322" s="1"/>
    </row>
    <row r="13323" spans="19:19" ht="15.75">
      <c r="S13323" s="1"/>
    </row>
    <row r="13324" spans="19:19" ht="15.75">
      <c r="S13324" s="1"/>
    </row>
    <row r="13325" spans="19:19" ht="15.75">
      <c r="S13325" s="1"/>
    </row>
    <row r="13326" spans="19:19" ht="15.75">
      <c r="S13326" s="1"/>
    </row>
    <row r="13327" spans="19:19" ht="15.75">
      <c r="S13327" s="1"/>
    </row>
    <row r="13328" spans="19:19" ht="15.75">
      <c r="S13328" s="1"/>
    </row>
    <row r="13329" spans="19:19" ht="15.75">
      <c r="S13329" s="1"/>
    </row>
    <row r="13330" spans="19:19" ht="15.75">
      <c r="S13330" s="1"/>
    </row>
    <row r="13331" spans="19:19" ht="15.75">
      <c r="S13331" s="1"/>
    </row>
    <row r="13332" spans="19:19" ht="15.75">
      <c r="S13332" s="1"/>
    </row>
    <row r="13333" spans="19:19" ht="15.75">
      <c r="S13333" s="1"/>
    </row>
    <row r="13334" spans="19:19" ht="15.75">
      <c r="S13334" s="1"/>
    </row>
    <row r="13335" spans="19:19" ht="15.75">
      <c r="S13335" s="1"/>
    </row>
    <row r="13336" spans="19:19" ht="15.75">
      <c r="S13336" s="1"/>
    </row>
    <row r="13337" spans="19:19" ht="15.75">
      <c r="S13337" s="1"/>
    </row>
    <row r="13338" spans="19:19" ht="15.75">
      <c r="S13338" s="1"/>
    </row>
    <row r="13339" spans="19:19" ht="15.75">
      <c r="S13339" s="1"/>
    </row>
    <row r="13340" spans="19:19" ht="15.75">
      <c r="S13340" s="1"/>
    </row>
    <row r="13341" spans="19:19" ht="15.75">
      <c r="S13341" s="1"/>
    </row>
    <row r="13342" spans="19:19" ht="15.75">
      <c r="S13342" s="1"/>
    </row>
    <row r="13343" spans="19:19" ht="15.75">
      <c r="S13343" s="1"/>
    </row>
    <row r="13344" spans="19:19" ht="15.75">
      <c r="S13344" s="1"/>
    </row>
    <row r="13345" spans="19:19" ht="15.75">
      <c r="S13345" s="1"/>
    </row>
    <row r="13346" spans="19:19" ht="15.75">
      <c r="S13346" s="1"/>
    </row>
    <row r="13347" spans="19:19" ht="15.75">
      <c r="S13347" s="1"/>
    </row>
    <row r="13348" spans="19:19" ht="15.75">
      <c r="S13348" s="1"/>
    </row>
    <row r="13349" spans="19:19" ht="15.75">
      <c r="S13349" s="1"/>
    </row>
    <row r="13350" spans="19:19" ht="15.75">
      <c r="S13350" s="1"/>
    </row>
    <row r="13351" spans="19:19" ht="15.75">
      <c r="S13351" s="1"/>
    </row>
    <row r="13352" spans="19:19" ht="15.75">
      <c r="S13352" s="1"/>
    </row>
    <row r="13353" spans="19:19" ht="15.75">
      <c r="S13353" s="1"/>
    </row>
    <row r="13354" spans="19:19" ht="15.75">
      <c r="S13354" s="1"/>
    </row>
    <row r="13355" spans="19:19" ht="15.75">
      <c r="S13355" s="1"/>
    </row>
    <row r="13356" spans="19:19" ht="15.75">
      <c r="S13356" s="1"/>
    </row>
    <row r="13357" spans="19:19" ht="15.75">
      <c r="S13357" s="1"/>
    </row>
    <row r="13358" spans="19:19" ht="15.75">
      <c r="S13358" s="1"/>
    </row>
    <row r="13359" spans="19:19" ht="15.75">
      <c r="S13359" s="1"/>
    </row>
    <row r="13360" spans="19:19" ht="15.75">
      <c r="S13360" s="1"/>
    </row>
    <row r="13361" spans="19:19" ht="15.75">
      <c r="S13361" s="1"/>
    </row>
    <row r="13362" spans="19:19" ht="15.75">
      <c r="S13362" s="1"/>
    </row>
    <row r="13363" spans="19:19" ht="15.75">
      <c r="S13363" s="1"/>
    </row>
    <row r="13364" spans="19:19" ht="15.75">
      <c r="S13364" s="1"/>
    </row>
    <row r="13365" spans="19:19" ht="15.75">
      <c r="S13365" s="1"/>
    </row>
    <row r="13366" spans="19:19" ht="15.75">
      <c r="S13366" s="1"/>
    </row>
    <row r="13367" spans="19:19" ht="15.75">
      <c r="S13367" s="1"/>
    </row>
    <row r="13368" spans="19:19" ht="15.75">
      <c r="S13368" s="1"/>
    </row>
    <row r="13369" spans="19:19" ht="15.75">
      <c r="S13369" s="1"/>
    </row>
    <row r="13370" spans="19:19" ht="15.75">
      <c r="S13370" s="1"/>
    </row>
    <row r="13371" spans="19:19" ht="15.75">
      <c r="S13371" s="1"/>
    </row>
    <row r="13372" spans="19:19" ht="15.75">
      <c r="S13372" s="1"/>
    </row>
    <row r="13373" spans="19:19" ht="15.75">
      <c r="S13373" s="1"/>
    </row>
    <row r="13374" spans="19:19" ht="15.75">
      <c r="S13374" s="1"/>
    </row>
    <row r="13375" spans="19:19" ht="15.75">
      <c r="S13375" s="1"/>
    </row>
    <row r="13376" spans="19:19" ht="15.75">
      <c r="S13376" s="1"/>
    </row>
    <row r="13377" spans="19:19" ht="15.75">
      <c r="S13377" s="1"/>
    </row>
    <row r="13378" spans="19:19" ht="15.75">
      <c r="S13378" s="1"/>
    </row>
    <row r="13379" spans="19:19" ht="15.75">
      <c r="S13379" s="1"/>
    </row>
    <row r="13380" spans="19:19" ht="15.75">
      <c r="S13380" s="1"/>
    </row>
    <row r="13381" spans="19:19" ht="15.75">
      <c r="S13381" s="1"/>
    </row>
    <row r="13382" spans="19:19" ht="15.75">
      <c r="S13382" s="1"/>
    </row>
    <row r="13383" spans="19:19" ht="15.75">
      <c r="S13383" s="1"/>
    </row>
    <row r="13384" spans="19:19" ht="15.75">
      <c r="S13384" s="1"/>
    </row>
    <row r="13385" spans="19:19" ht="15.75">
      <c r="S13385" s="1"/>
    </row>
    <row r="13386" spans="19:19" ht="15.75">
      <c r="S13386" s="1"/>
    </row>
    <row r="13387" spans="19:19" ht="15.75">
      <c r="S13387" s="1"/>
    </row>
    <row r="13388" spans="19:19" ht="15.75">
      <c r="S13388" s="1"/>
    </row>
    <row r="13389" spans="19:19" ht="15.75">
      <c r="S13389" s="1"/>
    </row>
    <row r="13390" spans="19:19" ht="15.75">
      <c r="S13390" s="1"/>
    </row>
    <row r="13391" spans="19:19" ht="15.75">
      <c r="S13391" s="1"/>
    </row>
    <row r="13392" spans="19:19" ht="15.75">
      <c r="S13392" s="1"/>
    </row>
    <row r="13393" spans="19:19" ht="15.75">
      <c r="S13393" s="1"/>
    </row>
    <row r="13394" spans="19:19" ht="15.75">
      <c r="S13394" s="1"/>
    </row>
    <row r="13395" spans="19:19" ht="15.75">
      <c r="S13395" s="1"/>
    </row>
    <row r="13396" spans="19:19" ht="15.75">
      <c r="S13396" s="1"/>
    </row>
    <row r="13397" spans="19:19" ht="15.75">
      <c r="S13397" s="1"/>
    </row>
    <row r="13398" spans="19:19" ht="15.75">
      <c r="S13398" s="1"/>
    </row>
    <row r="13399" spans="19:19" ht="15.75">
      <c r="S13399" s="1"/>
    </row>
    <row r="13400" spans="19:19" ht="15.75">
      <c r="S13400" s="1"/>
    </row>
    <row r="13401" spans="19:19" ht="15.75">
      <c r="S13401" s="1"/>
    </row>
    <row r="13402" spans="19:19" ht="15.75">
      <c r="S13402" s="1"/>
    </row>
    <row r="13403" spans="19:19" ht="15.75">
      <c r="S13403" s="1"/>
    </row>
    <row r="13404" spans="19:19" ht="15.75">
      <c r="S13404" s="1"/>
    </row>
    <row r="13405" spans="19:19" ht="15.75">
      <c r="S13405" s="1"/>
    </row>
    <row r="13406" spans="19:19" ht="15.75">
      <c r="S13406" s="1"/>
    </row>
    <row r="13407" spans="19:19" ht="15.75">
      <c r="S13407" s="1"/>
    </row>
    <row r="13408" spans="19:19" ht="15.75">
      <c r="S13408" s="1"/>
    </row>
    <row r="13409" spans="19:19" ht="15.75">
      <c r="S13409" s="1"/>
    </row>
    <row r="13410" spans="19:19" ht="15.75">
      <c r="S13410" s="1"/>
    </row>
    <row r="13411" spans="19:19" ht="15.75">
      <c r="S13411" s="1"/>
    </row>
    <row r="13412" spans="19:19" ht="15.75">
      <c r="S13412" s="1"/>
    </row>
    <row r="13413" spans="19:19" ht="15.75">
      <c r="S13413" s="1"/>
    </row>
    <row r="13414" spans="19:19" ht="15.75">
      <c r="S13414" s="1"/>
    </row>
    <row r="13415" spans="19:19" ht="15.75">
      <c r="S13415" s="1"/>
    </row>
    <row r="13416" spans="19:19" ht="15.75">
      <c r="S13416" s="1"/>
    </row>
    <row r="13417" spans="19:19" ht="15.75">
      <c r="S13417" s="1"/>
    </row>
    <row r="13418" spans="19:19" ht="15.75">
      <c r="S13418" s="1"/>
    </row>
    <row r="13419" spans="19:19" ht="15.75">
      <c r="S13419" s="1"/>
    </row>
    <row r="13420" spans="19:19" ht="15.75">
      <c r="S13420" s="1"/>
    </row>
    <row r="13421" spans="19:19" ht="15.75">
      <c r="S13421" s="1"/>
    </row>
    <row r="13422" spans="19:19" ht="15.75">
      <c r="S13422" s="1"/>
    </row>
    <row r="13423" spans="19:19" ht="15.75">
      <c r="S13423" s="1"/>
    </row>
    <row r="13424" spans="19:19" ht="15.75">
      <c r="S13424" s="1"/>
    </row>
    <row r="13425" spans="19:19" ht="15.75">
      <c r="S13425" s="1"/>
    </row>
    <row r="13426" spans="19:19" ht="15.75">
      <c r="S13426" s="1"/>
    </row>
    <row r="13427" spans="19:19" ht="15.75">
      <c r="S13427" s="1"/>
    </row>
    <row r="13428" spans="19:19" ht="15.75">
      <c r="S13428" s="1"/>
    </row>
    <row r="13429" spans="19:19" ht="15.75">
      <c r="S13429" s="1"/>
    </row>
    <row r="13430" spans="19:19" ht="15.75">
      <c r="S13430" s="1"/>
    </row>
    <row r="13431" spans="19:19" ht="15.75">
      <c r="S13431" s="1"/>
    </row>
    <row r="13432" spans="19:19" ht="15.75">
      <c r="S13432" s="1"/>
    </row>
    <row r="13433" spans="19:19" ht="15.75">
      <c r="S13433" s="1"/>
    </row>
    <row r="13434" spans="19:19" ht="15.75">
      <c r="S13434" s="1"/>
    </row>
    <row r="13435" spans="19:19" ht="15.75">
      <c r="S13435" s="1"/>
    </row>
    <row r="13436" spans="19:19" ht="15.75">
      <c r="S13436" s="1"/>
    </row>
    <row r="13437" spans="19:19" ht="15.75">
      <c r="S13437" s="1"/>
    </row>
    <row r="13438" spans="19:19" ht="15.75">
      <c r="S13438" s="1"/>
    </row>
    <row r="13439" spans="19:19" ht="15.75">
      <c r="S13439" s="1"/>
    </row>
    <row r="13440" spans="19:19" ht="15.75">
      <c r="S13440" s="1"/>
    </row>
    <row r="13441" spans="19:19" ht="15.75">
      <c r="S13441" s="1"/>
    </row>
    <row r="13442" spans="19:19" ht="15.75">
      <c r="S13442" s="1"/>
    </row>
    <row r="13443" spans="19:19" ht="15.75">
      <c r="S13443" s="1"/>
    </row>
    <row r="13444" spans="19:19" ht="15.75">
      <c r="S13444" s="1"/>
    </row>
    <row r="13445" spans="19:19" ht="15.75">
      <c r="S13445" s="1"/>
    </row>
    <row r="13446" spans="19:19" ht="15.75">
      <c r="S13446" s="1"/>
    </row>
    <row r="13447" spans="19:19" ht="15.75">
      <c r="S13447" s="1"/>
    </row>
    <row r="13448" spans="19:19" ht="15.75">
      <c r="S13448" s="1"/>
    </row>
    <row r="13449" spans="19:19" ht="15.75">
      <c r="S13449" s="1"/>
    </row>
    <row r="13450" spans="19:19" ht="15.75">
      <c r="S13450" s="1"/>
    </row>
    <row r="13451" spans="19:19" ht="15.75">
      <c r="S13451" s="1"/>
    </row>
    <row r="13452" spans="19:19" ht="15.75">
      <c r="S13452" s="1"/>
    </row>
    <row r="13453" spans="19:19" ht="15.75">
      <c r="S13453" s="1"/>
    </row>
    <row r="13454" spans="19:19" ht="15.75">
      <c r="S13454" s="1"/>
    </row>
    <row r="13455" spans="19:19" ht="15.75">
      <c r="S13455" s="1"/>
    </row>
    <row r="13456" spans="19:19" ht="15.75">
      <c r="S13456" s="1"/>
    </row>
    <row r="13457" spans="19:19" ht="15.75">
      <c r="S13457" s="1"/>
    </row>
    <row r="13458" spans="19:19" ht="15.75">
      <c r="S13458" s="1"/>
    </row>
    <row r="13459" spans="19:19" ht="15.75">
      <c r="S13459" s="1"/>
    </row>
    <row r="13460" spans="19:19" ht="15.75">
      <c r="S13460" s="1"/>
    </row>
    <row r="13461" spans="19:19" ht="15.75">
      <c r="S13461" s="1"/>
    </row>
    <row r="13462" spans="19:19" ht="15.75">
      <c r="S13462" s="1"/>
    </row>
    <row r="13463" spans="19:19" ht="15.75">
      <c r="S13463" s="1"/>
    </row>
    <row r="13464" spans="19:19" ht="15.75">
      <c r="S13464" s="1"/>
    </row>
    <row r="13465" spans="19:19" ht="15.75">
      <c r="S13465" s="1"/>
    </row>
    <row r="13466" spans="19:19" ht="15.75">
      <c r="S13466" s="1"/>
    </row>
    <row r="13467" spans="19:19" ht="15.75">
      <c r="S13467" s="1"/>
    </row>
    <row r="13468" spans="19:19" ht="15.75">
      <c r="S13468" s="1"/>
    </row>
    <row r="13469" spans="19:19" ht="15.75">
      <c r="S13469" s="1"/>
    </row>
    <row r="13470" spans="19:19" ht="15.75">
      <c r="S13470" s="1"/>
    </row>
    <row r="13471" spans="19:19" ht="15.75">
      <c r="S13471" s="1"/>
    </row>
    <row r="13472" spans="19:19" ht="15.75">
      <c r="S13472" s="1"/>
    </row>
    <row r="13473" spans="19:19" ht="15.75">
      <c r="S13473" s="1"/>
    </row>
    <row r="13474" spans="19:19" ht="15.75">
      <c r="S13474" s="1"/>
    </row>
    <row r="13475" spans="19:19" ht="15.75">
      <c r="S13475" s="1"/>
    </row>
    <row r="13476" spans="19:19" ht="15.75">
      <c r="S13476" s="1"/>
    </row>
    <row r="13477" spans="19:19" ht="15.75">
      <c r="S13477" s="1"/>
    </row>
    <row r="13478" spans="19:19" ht="15.75">
      <c r="S13478" s="1"/>
    </row>
    <row r="13479" spans="19:19" ht="15.75">
      <c r="S13479" s="1"/>
    </row>
    <row r="13480" spans="19:19" ht="15.75">
      <c r="S13480" s="1"/>
    </row>
    <row r="13481" spans="19:19" ht="15.75">
      <c r="S13481" s="1"/>
    </row>
    <row r="13482" spans="19:19" ht="15.75">
      <c r="S13482" s="1"/>
    </row>
    <row r="13483" spans="19:19" ht="15.75">
      <c r="S13483" s="1"/>
    </row>
    <row r="13484" spans="19:19" ht="15.75">
      <c r="S13484" s="1"/>
    </row>
    <row r="13485" spans="19:19" ht="15.75">
      <c r="S13485" s="1"/>
    </row>
    <row r="13486" spans="19:19" ht="15.75">
      <c r="S13486" s="1"/>
    </row>
    <row r="13487" spans="19:19" ht="15.75">
      <c r="S13487" s="1"/>
    </row>
    <row r="13488" spans="19:19" ht="15.75">
      <c r="S13488" s="1"/>
    </row>
    <row r="13489" spans="19:19" ht="15.75">
      <c r="S13489" s="1"/>
    </row>
    <row r="13490" spans="19:19" ht="15.75">
      <c r="S13490" s="1"/>
    </row>
    <row r="13491" spans="19:19" ht="15.75">
      <c r="S13491" s="1"/>
    </row>
    <row r="13492" spans="19:19" ht="15.75">
      <c r="S13492" s="1"/>
    </row>
    <row r="13493" spans="19:19" ht="15.75">
      <c r="S13493" s="1"/>
    </row>
    <row r="13494" spans="19:19" ht="15.75">
      <c r="S13494" s="1"/>
    </row>
    <row r="13495" spans="19:19" ht="15.75">
      <c r="S13495" s="1"/>
    </row>
    <row r="13496" spans="19:19" ht="15.75">
      <c r="S13496" s="1"/>
    </row>
    <row r="13497" spans="19:19" ht="15.75">
      <c r="S13497" s="1"/>
    </row>
    <row r="13498" spans="19:19" ht="15.75">
      <c r="S13498" s="1"/>
    </row>
    <row r="13499" spans="19:19" ht="15.75">
      <c r="S13499" s="1"/>
    </row>
    <row r="13500" spans="19:19" ht="15.75">
      <c r="S13500" s="1"/>
    </row>
    <row r="13501" spans="19:19" ht="15.75">
      <c r="S13501" s="1"/>
    </row>
    <row r="13502" spans="19:19" ht="15.75">
      <c r="S13502" s="1"/>
    </row>
    <row r="13503" spans="19:19" ht="15.75">
      <c r="S13503" s="1"/>
    </row>
    <row r="13504" spans="19:19" ht="15.75">
      <c r="S13504" s="1"/>
    </row>
    <row r="13505" spans="19:19" ht="15.75">
      <c r="S13505" s="1"/>
    </row>
    <row r="13506" spans="19:19" ht="15.75">
      <c r="S13506" s="1"/>
    </row>
    <row r="13507" spans="19:19" ht="15.75">
      <c r="S13507" s="1"/>
    </row>
    <row r="13508" spans="19:19" ht="15.75">
      <c r="S13508" s="1"/>
    </row>
    <row r="13509" spans="19:19" ht="15.75">
      <c r="S13509" s="1"/>
    </row>
    <row r="13510" spans="19:19" ht="15.75">
      <c r="S13510" s="1"/>
    </row>
    <row r="13511" spans="19:19" ht="15.75">
      <c r="S13511" s="1"/>
    </row>
    <row r="13512" spans="19:19" ht="15.75">
      <c r="S13512" s="1"/>
    </row>
    <row r="13513" spans="19:19" ht="15.75">
      <c r="S13513" s="1"/>
    </row>
    <row r="13514" spans="19:19" ht="15.75">
      <c r="S13514" s="1"/>
    </row>
    <row r="13515" spans="19:19" ht="15.75">
      <c r="S13515" s="1"/>
    </row>
    <row r="13516" spans="19:19" ht="15.75">
      <c r="S13516" s="1"/>
    </row>
    <row r="13517" spans="19:19" ht="15.75">
      <c r="S13517" s="1"/>
    </row>
    <row r="13518" spans="19:19" ht="15.75">
      <c r="S13518" s="1"/>
    </row>
    <row r="13519" spans="19:19" ht="15.75">
      <c r="S13519" s="1"/>
    </row>
    <row r="13520" spans="19:19" ht="15.75">
      <c r="S13520" s="1"/>
    </row>
    <row r="13521" spans="19:19" ht="15.75">
      <c r="S13521" s="1"/>
    </row>
    <row r="13522" spans="19:19" ht="15.75">
      <c r="S13522" s="1"/>
    </row>
    <row r="13523" spans="19:19" ht="15.75">
      <c r="S13523" s="1"/>
    </row>
    <row r="13524" spans="19:19" ht="15.75">
      <c r="S13524" s="1"/>
    </row>
    <row r="13525" spans="19:19" ht="15.75">
      <c r="S13525" s="1"/>
    </row>
    <row r="13526" spans="19:19" ht="15.75">
      <c r="S13526" s="1"/>
    </row>
    <row r="13527" spans="19:19" ht="15.75">
      <c r="S13527" s="1"/>
    </row>
    <row r="13528" spans="19:19" ht="15.75">
      <c r="S13528" s="1"/>
    </row>
    <row r="13529" spans="19:19" ht="15.75">
      <c r="S13529" s="1"/>
    </row>
    <row r="13530" spans="19:19" ht="15.75">
      <c r="S13530" s="1"/>
    </row>
    <row r="13531" spans="19:19" ht="15.75">
      <c r="S13531" s="1"/>
    </row>
    <row r="13532" spans="19:19" ht="15.75">
      <c r="S13532" s="1"/>
    </row>
    <row r="13533" spans="19:19" ht="15.75">
      <c r="S13533" s="1"/>
    </row>
    <row r="13534" spans="19:19" ht="15.75">
      <c r="S13534" s="1"/>
    </row>
    <row r="13535" spans="19:19" ht="15.75">
      <c r="S13535" s="1"/>
    </row>
    <row r="13536" spans="19:19" ht="15.75">
      <c r="S13536" s="1"/>
    </row>
    <row r="13537" spans="19:19" ht="15.75">
      <c r="S13537" s="1"/>
    </row>
    <row r="13538" spans="19:19" ht="15.75">
      <c r="S13538" s="1"/>
    </row>
    <row r="13539" spans="19:19" ht="15.75">
      <c r="S13539" s="1"/>
    </row>
    <row r="13540" spans="19:19" ht="15.75">
      <c r="S13540" s="1"/>
    </row>
    <row r="13541" spans="19:19" ht="15.75">
      <c r="S13541" s="1"/>
    </row>
    <row r="13542" spans="19:19" ht="15.75">
      <c r="S13542" s="1"/>
    </row>
    <row r="13543" spans="19:19" ht="15.75">
      <c r="S13543" s="1"/>
    </row>
    <row r="13544" spans="19:19" ht="15.75">
      <c r="S13544" s="1"/>
    </row>
    <row r="13545" spans="19:19" ht="15.75">
      <c r="S13545" s="1"/>
    </row>
    <row r="13546" spans="19:19" ht="15.75">
      <c r="S13546" s="1"/>
    </row>
    <row r="13547" spans="19:19" ht="15.75">
      <c r="S13547" s="1"/>
    </row>
    <row r="13548" spans="19:19" ht="15.75">
      <c r="S13548" s="1"/>
    </row>
    <row r="13549" spans="19:19" ht="15.75">
      <c r="S13549" s="1"/>
    </row>
    <row r="13550" spans="19:19" ht="15.75">
      <c r="S13550" s="1"/>
    </row>
    <row r="13551" spans="19:19" ht="15.75">
      <c r="S13551" s="1"/>
    </row>
    <row r="13552" spans="19:19" ht="15.75">
      <c r="S13552" s="1"/>
    </row>
    <row r="13553" spans="19:19" ht="15.75">
      <c r="S13553" s="1"/>
    </row>
    <row r="13554" spans="19:19" ht="15.75">
      <c r="S13554" s="1"/>
    </row>
    <row r="13555" spans="19:19" ht="15.75">
      <c r="S13555" s="1"/>
    </row>
    <row r="13556" spans="19:19" ht="15.75">
      <c r="S13556" s="1"/>
    </row>
    <row r="13557" spans="19:19" ht="15.75">
      <c r="S13557" s="1"/>
    </row>
    <row r="13558" spans="19:19" ht="15.75">
      <c r="S13558" s="1"/>
    </row>
    <row r="13559" spans="19:19" ht="15.75">
      <c r="S13559" s="1"/>
    </row>
    <row r="13560" spans="19:19" ht="15.75">
      <c r="S13560" s="1"/>
    </row>
    <row r="13561" spans="19:19" ht="15.75">
      <c r="S13561" s="1"/>
    </row>
    <row r="13562" spans="19:19" ht="15.75">
      <c r="S13562" s="1"/>
    </row>
    <row r="13563" spans="19:19" ht="15.75">
      <c r="S13563" s="1"/>
    </row>
    <row r="13564" spans="19:19" ht="15.75">
      <c r="S13564" s="1"/>
    </row>
    <row r="13565" spans="19:19" ht="15.75">
      <c r="S13565" s="1"/>
    </row>
    <row r="13566" spans="19:19" ht="15.75">
      <c r="S13566" s="1"/>
    </row>
    <row r="13567" spans="19:19" ht="15.75">
      <c r="S13567" s="1"/>
    </row>
    <row r="13568" spans="19:19" ht="15.75">
      <c r="S13568" s="1"/>
    </row>
    <row r="13569" spans="19:19" ht="15.75">
      <c r="S13569" s="1"/>
    </row>
    <row r="13570" spans="19:19" ht="15.75">
      <c r="S13570" s="1"/>
    </row>
    <row r="13571" spans="19:19" ht="15.75">
      <c r="S13571" s="1"/>
    </row>
    <row r="13572" spans="19:19" ht="15.75">
      <c r="S13572" s="1"/>
    </row>
    <row r="13573" spans="19:19" ht="15.75">
      <c r="S13573" s="1"/>
    </row>
    <row r="13574" spans="19:19" ht="15.75">
      <c r="S13574" s="1"/>
    </row>
    <row r="13575" spans="19:19" ht="15.75">
      <c r="S13575" s="1"/>
    </row>
    <row r="13576" spans="19:19" ht="15.75">
      <c r="S13576" s="1"/>
    </row>
    <row r="13577" spans="19:19" ht="15.75">
      <c r="S13577" s="1"/>
    </row>
    <row r="13578" spans="19:19" ht="15.75">
      <c r="S13578" s="1"/>
    </row>
    <row r="13579" spans="19:19" ht="15.75">
      <c r="S13579" s="1"/>
    </row>
    <row r="13580" spans="19:19" ht="15.75">
      <c r="S13580" s="1"/>
    </row>
    <row r="13581" spans="19:19" ht="15.75">
      <c r="S13581" s="1"/>
    </row>
    <row r="13582" spans="19:19" ht="15.75">
      <c r="S13582" s="1"/>
    </row>
    <row r="13583" spans="19:19" ht="15.75">
      <c r="S13583" s="1"/>
    </row>
    <row r="13584" spans="19:19" ht="15.75">
      <c r="S13584" s="1"/>
    </row>
    <row r="13585" spans="19:19" ht="15.75">
      <c r="S13585" s="1"/>
    </row>
    <row r="13586" spans="19:19" ht="15.75">
      <c r="S13586" s="1"/>
    </row>
    <row r="13587" spans="19:19" ht="15.75">
      <c r="S13587" s="1"/>
    </row>
    <row r="13588" spans="19:19" ht="15.75">
      <c r="S13588" s="1"/>
    </row>
    <row r="13589" spans="19:19" ht="15.75">
      <c r="S13589" s="1"/>
    </row>
    <row r="13590" spans="19:19" ht="15.75">
      <c r="S13590" s="1"/>
    </row>
    <row r="13591" spans="19:19" ht="15.75">
      <c r="S13591" s="1"/>
    </row>
    <row r="13592" spans="19:19" ht="15.75">
      <c r="S13592" s="1"/>
    </row>
    <row r="13593" spans="19:19" ht="15.75">
      <c r="S13593" s="1"/>
    </row>
    <row r="13594" spans="19:19" ht="15.75">
      <c r="S13594" s="1"/>
    </row>
    <row r="13595" spans="19:19" ht="15.75">
      <c r="S13595" s="1"/>
    </row>
    <row r="13596" spans="19:19" ht="15.75">
      <c r="S13596" s="1"/>
    </row>
    <row r="13597" spans="19:19" ht="15.75">
      <c r="S13597" s="1"/>
    </row>
    <row r="13598" spans="19:19" ht="15.75">
      <c r="S13598" s="1"/>
    </row>
    <row r="13599" spans="19:19" ht="15.75">
      <c r="S13599" s="1"/>
    </row>
    <row r="13600" spans="19:19" ht="15.75">
      <c r="S13600" s="1"/>
    </row>
    <row r="13601" spans="19:19" ht="15.75">
      <c r="S13601" s="1"/>
    </row>
    <row r="13602" spans="19:19" ht="15.75">
      <c r="S13602" s="1"/>
    </row>
    <row r="13603" spans="19:19" ht="15.75">
      <c r="S13603" s="1"/>
    </row>
    <row r="13604" spans="19:19" ht="15.75">
      <c r="S13604" s="1"/>
    </row>
    <row r="13605" spans="19:19" ht="15.75">
      <c r="S13605" s="1"/>
    </row>
    <row r="13606" spans="19:19" ht="15.75">
      <c r="S13606" s="1"/>
    </row>
    <row r="13607" spans="19:19" ht="15.75">
      <c r="S13607" s="1"/>
    </row>
    <row r="13608" spans="19:19" ht="15.75">
      <c r="S13608" s="1"/>
    </row>
    <row r="13609" spans="19:19" ht="15.75">
      <c r="S13609" s="1"/>
    </row>
    <row r="13610" spans="19:19" ht="15.75">
      <c r="S13610" s="1"/>
    </row>
    <row r="13611" spans="19:19" ht="15.75">
      <c r="S13611" s="1"/>
    </row>
    <row r="13612" spans="19:19" ht="15.75">
      <c r="S13612" s="1"/>
    </row>
    <row r="13613" spans="19:19" ht="15.75">
      <c r="S13613" s="1"/>
    </row>
    <row r="13614" spans="19:19" ht="15.75">
      <c r="S13614" s="1"/>
    </row>
    <row r="13615" spans="19:19" ht="15.75">
      <c r="S13615" s="1"/>
    </row>
    <row r="13616" spans="19:19" ht="15.75">
      <c r="S13616" s="1"/>
    </row>
    <row r="13617" spans="19:19" ht="15.75">
      <c r="S13617" s="1"/>
    </row>
    <row r="13618" spans="19:19" ht="15.75">
      <c r="S13618" s="1"/>
    </row>
    <row r="13619" spans="19:19" ht="15.75">
      <c r="S13619" s="1"/>
    </row>
    <row r="13620" spans="19:19" ht="15.75">
      <c r="S13620" s="1"/>
    </row>
    <row r="13621" spans="19:19" ht="15.75">
      <c r="S13621" s="1"/>
    </row>
    <row r="13622" spans="19:19" ht="15.75">
      <c r="S13622" s="1"/>
    </row>
    <row r="13623" spans="19:19" ht="15.75">
      <c r="S13623" s="1"/>
    </row>
    <row r="13624" spans="19:19" ht="15.75">
      <c r="S13624" s="1"/>
    </row>
    <row r="13625" spans="19:19" ht="15.75">
      <c r="S13625" s="1"/>
    </row>
    <row r="13626" spans="19:19" ht="15.75">
      <c r="S13626" s="1"/>
    </row>
    <row r="13627" spans="19:19" ht="15.75">
      <c r="S13627" s="1"/>
    </row>
    <row r="13628" spans="19:19" ht="15.75">
      <c r="S13628" s="1"/>
    </row>
    <row r="13629" spans="19:19" ht="15.75">
      <c r="S13629" s="1"/>
    </row>
    <row r="13630" spans="19:19" ht="15.75">
      <c r="S13630" s="1"/>
    </row>
    <row r="13631" spans="19:19" ht="15.75">
      <c r="S13631" s="1"/>
    </row>
    <row r="13632" spans="19:19" ht="15.75">
      <c r="S13632" s="1"/>
    </row>
    <row r="13633" spans="19:19" ht="15.75">
      <c r="S13633" s="1"/>
    </row>
    <row r="13634" spans="19:19" ht="15.75">
      <c r="S13634" s="1"/>
    </row>
    <row r="13635" spans="19:19" ht="15.75">
      <c r="S13635" s="1"/>
    </row>
    <row r="13636" spans="19:19" ht="15.75">
      <c r="S13636" s="1"/>
    </row>
    <row r="13637" spans="19:19" ht="15.75">
      <c r="S13637" s="1"/>
    </row>
    <row r="13638" spans="19:19" ht="15.75">
      <c r="S13638" s="1"/>
    </row>
    <row r="13639" spans="19:19" ht="15.75">
      <c r="S13639" s="1"/>
    </row>
    <row r="13640" spans="19:19" ht="15.75">
      <c r="S13640" s="1"/>
    </row>
    <row r="13641" spans="19:19" ht="15.75">
      <c r="S13641" s="1"/>
    </row>
    <row r="13642" spans="19:19" ht="15.75">
      <c r="S13642" s="1"/>
    </row>
    <row r="13643" spans="19:19" ht="15.75">
      <c r="S13643" s="1"/>
    </row>
    <row r="13644" spans="19:19" ht="15.75">
      <c r="S13644" s="1"/>
    </row>
    <row r="13645" spans="19:19" ht="15.75">
      <c r="S13645" s="1"/>
    </row>
    <row r="13646" spans="19:19" ht="15.75">
      <c r="S13646" s="1"/>
    </row>
    <row r="13647" spans="19:19" ht="15.75">
      <c r="S13647" s="1"/>
    </row>
    <row r="13648" spans="19:19" ht="15.75">
      <c r="S13648" s="1"/>
    </row>
    <row r="13649" spans="19:19" ht="15.75">
      <c r="S13649" s="1"/>
    </row>
    <row r="13650" spans="19:19" ht="15.75">
      <c r="S13650" s="1"/>
    </row>
    <row r="13651" spans="19:19" ht="15.75">
      <c r="S13651" s="1"/>
    </row>
    <row r="13652" spans="19:19" ht="15.75">
      <c r="S13652" s="1"/>
    </row>
    <row r="13653" spans="19:19" ht="15.75">
      <c r="S13653" s="1"/>
    </row>
    <row r="13654" spans="19:19" ht="15.75">
      <c r="S13654" s="1"/>
    </row>
    <row r="13655" spans="19:19" ht="15.75">
      <c r="S13655" s="1"/>
    </row>
    <row r="13656" spans="19:19" ht="15.75">
      <c r="S13656" s="1"/>
    </row>
    <row r="13657" spans="19:19" ht="15.75">
      <c r="S13657" s="1"/>
    </row>
    <row r="13658" spans="19:19" ht="15.75">
      <c r="S13658" s="1"/>
    </row>
    <row r="13659" spans="19:19" ht="15.75">
      <c r="S13659" s="1"/>
    </row>
    <row r="13660" spans="19:19" ht="15.75">
      <c r="S13660" s="1"/>
    </row>
    <row r="13661" spans="19:19" ht="15.75">
      <c r="S13661" s="1"/>
    </row>
    <row r="13662" spans="19:19" ht="15.75">
      <c r="S13662" s="1"/>
    </row>
    <row r="13663" spans="19:19" ht="15.75">
      <c r="S13663" s="1"/>
    </row>
    <row r="13664" spans="19:19" ht="15.75">
      <c r="S13664" s="1"/>
    </row>
    <row r="13665" spans="19:19" ht="15.75">
      <c r="S13665" s="1"/>
    </row>
    <row r="13666" spans="19:19" ht="15.75">
      <c r="S13666" s="1"/>
    </row>
    <row r="13667" spans="19:19" ht="15.75">
      <c r="S13667" s="1"/>
    </row>
    <row r="13668" spans="19:19" ht="15.75">
      <c r="S13668" s="1"/>
    </row>
    <row r="13669" spans="19:19" ht="15.75">
      <c r="S13669" s="1"/>
    </row>
    <row r="13670" spans="19:19" ht="15.75">
      <c r="S13670" s="1"/>
    </row>
    <row r="13671" spans="19:19" ht="15.75">
      <c r="S13671" s="1"/>
    </row>
    <row r="13672" spans="19:19" ht="15.75">
      <c r="S13672" s="1"/>
    </row>
    <row r="13673" spans="19:19" ht="15.75">
      <c r="S13673" s="1"/>
    </row>
    <row r="13674" spans="19:19" ht="15.75">
      <c r="S13674" s="1"/>
    </row>
    <row r="13675" spans="19:19" ht="15.75">
      <c r="S13675" s="1"/>
    </row>
    <row r="13676" spans="19:19" ht="15.75">
      <c r="S13676" s="1"/>
    </row>
    <row r="13677" spans="19:19" ht="15.75">
      <c r="S13677" s="1"/>
    </row>
    <row r="13678" spans="19:19" ht="15.75">
      <c r="S13678" s="1"/>
    </row>
    <row r="13679" spans="19:19" ht="15.75">
      <c r="S13679" s="1"/>
    </row>
    <row r="13680" spans="19:19" ht="15.75">
      <c r="S13680" s="1"/>
    </row>
    <row r="13681" spans="19:19" ht="15.75">
      <c r="S13681" s="1"/>
    </row>
    <row r="13682" spans="19:19" ht="15.75">
      <c r="S13682" s="1"/>
    </row>
    <row r="13683" spans="19:19" ht="15.75">
      <c r="S13683" s="1"/>
    </row>
    <row r="13684" spans="19:19" ht="15.75">
      <c r="S13684" s="1"/>
    </row>
    <row r="13685" spans="19:19" ht="15.75">
      <c r="S13685" s="1"/>
    </row>
    <row r="13686" spans="19:19" ht="15.75">
      <c r="S13686" s="1"/>
    </row>
    <row r="13687" spans="19:19" ht="15.75">
      <c r="S13687" s="1"/>
    </row>
    <row r="13688" spans="19:19" ht="15.75">
      <c r="S13688" s="1"/>
    </row>
    <row r="13689" spans="19:19" ht="15.75">
      <c r="S13689" s="1"/>
    </row>
    <row r="13690" spans="19:19" ht="15.75">
      <c r="S13690" s="1"/>
    </row>
    <row r="13691" spans="19:19" ht="15.75">
      <c r="S13691" s="1"/>
    </row>
    <row r="13692" spans="19:19" ht="15.75">
      <c r="S13692" s="1"/>
    </row>
    <row r="13693" spans="19:19" ht="15.75">
      <c r="S13693" s="1"/>
    </row>
    <row r="13694" spans="19:19" ht="15.75">
      <c r="S13694" s="1"/>
    </row>
    <row r="13695" spans="19:19" ht="15.75">
      <c r="S13695" s="1"/>
    </row>
    <row r="13696" spans="19:19" ht="15.75">
      <c r="S13696" s="1"/>
    </row>
    <row r="13697" spans="19:19" ht="15.75">
      <c r="S13697" s="1"/>
    </row>
    <row r="13698" spans="19:19" ht="15.75">
      <c r="S13698" s="1"/>
    </row>
    <row r="13699" spans="19:19" ht="15.75">
      <c r="S13699" s="1"/>
    </row>
    <row r="13700" spans="19:19" ht="15.75">
      <c r="S13700" s="1"/>
    </row>
    <row r="13701" spans="19:19" ht="15.75">
      <c r="S13701" s="1"/>
    </row>
    <row r="13702" spans="19:19" ht="15.75">
      <c r="S13702" s="1"/>
    </row>
    <row r="13703" spans="19:19" ht="15.75">
      <c r="S13703" s="1"/>
    </row>
    <row r="13704" spans="19:19" ht="15.75">
      <c r="S13704" s="1"/>
    </row>
    <row r="13705" spans="19:19" ht="15.75">
      <c r="S13705" s="1"/>
    </row>
    <row r="13706" spans="19:19" ht="15.75">
      <c r="S13706" s="1"/>
    </row>
    <row r="13707" spans="19:19" ht="15.75">
      <c r="S13707" s="1"/>
    </row>
    <row r="13708" spans="19:19" ht="15.75">
      <c r="S13708" s="1"/>
    </row>
    <row r="13709" spans="19:19" ht="15.75">
      <c r="S13709" s="1"/>
    </row>
    <row r="13710" spans="19:19" ht="15.75">
      <c r="S13710" s="1"/>
    </row>
    <row r="13711" spans="19:19" ht="15.75">
      <c r="S13711" s="1"/>
    </row>
    <row r="13712" spans="19:19" ht="15.75">
      <c r="S13712" s="1"/>
    </row>
    <row r="13713" spans="19:19" ht="15.75">
      <c r="S13713" s="1"/>
    </row>
    <row r="13714" spans="19:19" ht="15.75">
      <c r="S13714" s="1"/>
    </row>
    <row r="13715" spans="19:19" ht="15.75">
      <c r="S13715" s="1"/>
    </row>
    <row r="13716" spans="19:19" ht="15.75">
      <c r="S13716" s="1"/>
    </row>
    <row r="13717" spans="19:19" ht="15.75">
      <c r="S13717" s="1"/>
    </row>
    <row r="13718" spans="19:19" ht="15.75">
      <c r="S13718" s="1"/>
    </row>
    <row r="13719" spans="19:19" ht="15.75">
      <c r="S13719" s="1"/>
    </row>
    <row r="13720" spans="19:19" ht="15.75">
      <c r="S13720" s="1"/>
    </row>
    <row r="13721" spans="19:19" ht="15.75">
      <c r="S13721" s="1"/>
    </row>
    <row r="13722" spans="19:19" ht="15.75">
      <c r="S13722" s="1"/>
    </row>
    <row r="13723" spans="19:19" ht="15.75">
      <c r="S13723" s="1"/>
    </row>
    <row r="13724" spans="19:19" ht="15.75">
      <c r="S13724" s="1"/>
    </row>
    <row r="13725" spans="19:19" ht="15.75">
      <c r="S13725" s="1"/>
    </row>
    <row r="13726" spans="19:19" ht="15.75">
      <c r="S13726" s="1"/>
    </row>
    <row r="13727" spans="19:19" ht="15.75">
      <c r="S13727" s="1"/>
    </row>
    <row r="13728" spans="19:19" ht="15.75">
      <c r="S13728" s="1"/>
    </row>
    <row r="13729" spans="19:19" ht="15.75">
      <c r="S13729" s="1"/>
    </row>
    <row r="13730" spans="19:19" ht="15.75">
      <c r="S13730" s="1"/>
    </row>
    <row r="13731" spans="19:19" ht="15.75">
      <c r="S13731" s="1"/>
    </row>
    <row r="13732" spans="19:19" ht="15.75">
      <c r="S13732" s="1"/>
    </row>
    <row r="13733" spans="19:19" ht="15.75">
      <c r="S13733" s="1"/>
    </row>
    <row r="13734" spans="19:19" ht="15.75">
      <c r="S13734" s="1"/>
    </row>
    <row r="13735" spans="19:19" ht="15.75">
      <c r="S13735" s="1"/>
    </row>
    <row r="13736" spans="19:19" ht="15.75">
      <c r="S13736" s="1"/>
    </row>
    <row r="13737" spans="19:19" ht="15.75">
      <c r="S13737" s="1"/>
    </row>
    <row r="13738" spans="19:19" ht="15.75">
      <c r="S13738" s="1"/>
    </row>
    <row r="13739" spans="19:19" ht="15.75">
      <c r="S13739" s="1"/>
    </row>
    <row r="13740" spans="19:19" ht="15.75">
      <c r="S13740" s="1"/>
    </row>
    <row r="13741" spans="19:19" ht="15.75">
      <c r="S13741" s="1"/>
    </row>
    <row r="13742" spans="19:19" ht="15.75">
      <c r="S13742" s="1"/>
    </row>
    <row r="13743" spans="19:19" ht="15.75">
      <c r="S13743" s="1"/>
    </row>
    <row r="13744" spans="19:19" ht="15.75">
      <c r="S13744" s="1"/>
    </row>
    <row r="13745" spans="19:19" ht="15.75">
      <c r="S13745" s="1"/>
    </row>
    <row r="13746" spans="19:19" ht="15.75">
      <c r="S13746" s="1"/>
    </row>
    <row r="13747" spans="19:19" ht="15.75">
      <c r="S13747" s="1"/>
    </row>
    <row r="13748" spans="19:19" ht="15.75">
      <c r="S13748" s="1"/>
    </row>
    <row r="13749" spans="19:19" ht="15.75">
      <c r="S13749" s="1"/>
    </row>
    <row r="13750" spans="19:19" ht="15.75">
      <c r="S13750" s="1"/>
    </row>
    <row r="13751" spans="19:19" ht="15.75">
      <c r="S13751" s="1"/>
    </row>
    <row r="13752" spans="19:19" ht="15.75">
      <c r="S13752" s="1"/>
    </row>
    <row r="13753" spans="19:19" ht="15.75">
      <c r="S13753" s="1"/>
    </row>
    <row r="13754" spans="19:19" ht="15.75">
      <c r="S13754" s="1"/>
    </row>
    <row r="13755" spans="19:19" ht="15.75">
      <c r="S13755" s="1"/>
    </row>
    <row r="13756" spans="19:19" ht="15.75">
      <c r="S13756" s="1"/>
    </row>
    <row r="13757" spans="19:19" ht="15.75">
      <c r="S13757" s="1"/>
    </row>
    <row r="13758" spans="19:19" ht="15.75">
      <c r="S13758" s="1"/>
    </row>
    <row r="13759" spans="19:19" ht="15.75">
      <c r="S13759" s="1"/>
    </row>
    <row r="13760" spans="19:19" ht="15.75">
      <c r="S13760" s="1"/>
    </row>
    <row r="13761" spans="19:19" ht="15.75">
      <c r="S13761" s="1"/>
    </row>
    <row r="13762" spans="19:19" ht="15.75">
      <c r="S13762" s="1"/>
    </row>
    <row r="13763" spans="19:19" ht="15.75">
      <c r="S13763" s="1"/>
    </row>
    <row r="13764" spans="19:19" ht="15.75">
      <c r="S13764" s="1"/>
    </row>
    <row r="13765" spans="19:19" ht="15.75">
      <c r="S13765" s="1"/>
    </row>
    <row r="13766" spans="19:19" ht="15.75">
      <c r="S13766" s="1"/>
    </row>
    <row r="13767" spans="19:19" ht="15.75">
      <c r="S13767" s="1"/>
    </row>
    <row r="13768" spans="19:19" ht="15.75">
      <c r="S13768" s="1"/>
    </row>
    <row r="13769" spans="19:19" ht="15.75">
      <c r="S13769" s="1"/>
    </row>
    <row r="13770" spans="19:19" ht="15.75">
      <c r="S13770" s="1"/>
    </row>
    <row r="13771" spans="19:19" ht="15.75">
      <c r="S13771" s="1"/>
    </row>
    <row r="13772" spans="19:19" ht="15.75">
      <c r="S13772" s="1"/>
    </row>
    <row r="13773" spans="19:19" ht="15.75">
      <c r="S13773" s="1"/>
    </row>
    <row r="13774" spans="19:19" ht="15.75">
      <c r="S13774" s="1"/>
    </row>
    <row r="13775" spans="19:19" ht="15.75">
      <c r="S13775" s="1"/>
    </row>
    <row r="13776" spans="19:19" ht="15.75">
      <c r="S13776" s="1"/>
    </row>
    <row r="13777" spans="19:19" ht="15.75">
      <c r="S13777" s="1"/>
    </row>
    <row r="13778" spans="19:19" ht="15.75">
      <c r="S13778" s="1"/>
    </row>
    <row r="13779" spans="19:19" ht="15.75">
      <c r="S13779" s="1"/>
    </row>
    <row r="13780" spans="19:19" ht="15.75">
      <c r="S13780" s="1"/>
    </row>
    <row r="13781" spans="19:19" ht="15.75">
      <c r="S13781" s="1"/>
    </row>
    <row r="13782" spans="19:19" ht="15.75">
      <c r="S13782" s="1"/>
    </row>
    <row r="13783" spans="19:19" ht="15.75">
      <c r="S13783" s="1"/>
    </row>
    <row r="13784" spans="19:19" ht="15.75">
      <c r="S13784" s="1"/>
    </row>
    <row r="13785" spans="19:19" ht="15.75">
      <c r="S13785" s="1"/>
    </row>
    <row r="13786" spans="19:19" ht="15.75">
      <c r="S13786" s="1"/>
    </row>
    <row r="13787" spans="19:19" ht="15.75">
      <c r="S13787" s="1"/>
    </row>
    <row r="13788" spans="19:19" ht="15.75">
      <c r="S13788" s="1"/>
    </row>
    <row r="13789" spans="19:19" ht="15.75">
      <c r="S13789" s="1"/>
    </row>
    <row r="13790" spans="19:19" ht="15.75">
      <c r="S13790" s="1"/>
    </row>
    <row r="13791" spans="19:19" ht="15.75">
      <c r="S13791" s="1"/>
    </row>
    <row r="13792" spans="19:19" ht="15.75">
      <c r="S13792" s="1"/>
    </row>
    <row r="13793" spans="19:19" ht="15.75">
      <c r="S13793" s="1"/>
    </row>
    <row r="13794" spans="19:19" ht="15.75">
      <c r="S13794" s="1"/>
    </row>
    <row r="13795" spans="19:19" ht="15.75">
      <c r="S13795" s="1"/>
    </row>
    <row r="13796" spans="19:19" ht="15.75">
      <c r="S13796" s="1"/>
    </row>
    <row r="13797" spans="19:19" ht="15.75">
      <c r="S13797" s="1"/>
    </row>
    <row r="13798" spans="19:19" ht="15.75">
      <c r="S13798" s="1"/>
    </row>
    <row r="13799" spans="19:19" ht="15.75">
      <c r="S13799" s="1"/>
    </row>
    <row r="13800" spans="19:19" ht="15.75">
      <c r="S13800" s="1"/>
    </row>
    <row r="13801" spans="19:19" ht="15.75">
      <c r="S13801" s="1"/>
    </row>
    <row r="13802" spans="19:19" ht="15.75">
      <c r="S13802" s="1"/>
    </row>
    <row r="13803" spans="19:19" ht="15.75">
      <c r="S13803" s="1"/>
    </row>
    <row r="13804" spans="19:19" ht="15.75">
      <c r="S13804" s="1"/>
    </row>
    <row r="13805" spans="19:19" ht="15.75">
      <c r="S13805" s="1"/>
    </row>
    <row r="13806" spans="19:19" ht="15.75">
      <c r="S13806" s="1"/>
    </row>
    <row r="13807" spans="19:19" ht="15.75">
      <c r="S13807" s="1"/>
    </row>
    <row r="13808" spans="19:19" ht="15.75">
      <c r="S13808" s="1"/>
    </row>
    <row r="13809" spans="19:19" ht="15.75">
      <c r="S13809" s="1"/>
    </row>
    <row r="13810" spans="19:19" ht="15.75">
      <c r="S13810" s="1"/>
    </row>
    <row r="13811" spans="19:19" ht="15.75">
      <c r="S13811" s="1"/>
    </row>
    <row r="13812" spans="19:19" ht="15.75">
      <c r="S13812" s="1"/>
    </row>
    <row r="13813" spans="19:19" ht="15.75">
      <c r="S13813" s="1"/>
    </row>
    <row r="13814" spans="19:19" ht="15.75">
      <c r="S13814" s="1"/>
    </row>
    <row r="13815" spans="19:19" ht="15.75">
      <c r="S13815" s="1"/>
    </row>
    <row r="13816" spans="19:19" ht="15.75">
      <c r="S13816" s="1"/>
    </row>
    <row r="13817" spans="19:19" ht="15.75">
      <c r="S13817" s="1"/>
    </row>
    <row r="13818" spans="19:19" ht="15.75">
      <c r="S13818" s="1"/>
    </row>
    <row r="13819" spans="19:19" ht="15.75">
      <c r="S13819" s="1"/>
    </row>
    <row r="13820" spans="19:19" ht="15.75">
      <c r="S13820" s="1"/>
    </row>
    <row r="13821" spans="19:19" ht="15.75">
      <c r="S13821" s="1"/>
    </row>
    <row r="13822" spans="19:19" ht="15.75">
      <c r="S13822" s="1"/>
    </row>
    <row r="13823" spans="19:19" ht="15.75">
      <c r="S13823" s="1"/>
    </row>
    <row r="13824" spans="19:19" ht="15.75">
      <c r="S13824" s="1"/>
    </row>
    <row r="13825" spans="19:19" ht="15.75">
      <c r="S13825" s="1"/>
    </row>
    <row r="13826" spans="19:19" ht="15.75">
      <c r="S13826" s="1"/>
    </row>
    <row r="13827" spans="19:19" ht="15.75">
      <c r="S13827" s="1"/>
    </row>
    <row r="13828" spans="19:19" ht="15.75">
      <c r="S13828" s="1"/>
    </row>
    <row r="13829" spans="19:19" ht="15.75">
      <c r="S13829" s="1"/>
    </row>
    <row r="13830" spans="19:19" ht="15.75">
      <c r="S13830" s="1"/>
    </row>
    <row r="13831" spans="19:19" ht="15.75">
      <c r="S13831" s="1"/>
    </row>
    <row r="13832" spans="19:19" ht="15.75">
      <c r="S13832" s="1"/>
    </row>
    <row r="13833" spans="19:19" ht="15.75">
      <c r="S13833" s="1"/>
    </row>
    <row r="13834" spans="19:19" ht="15.75">
      <c r="S13834" s="1"/>
    </row>
    <row r="13835" spans="19:19" ht="15.75">
      <c r="S13835" s="1"/>
    </row>
    <row r="13836" spans="19:19" ht="15.75">
      <c r="S13836" s="1"/>
    </row>
    <row r="13837" spans="19:19" ht="15.75">
      <c r="S13837" s="1"/>
    </row>
    <row r="13838" spans="19:19" ht="15.75">
      <c r="S13838" s="1"/>
    </row>
    <row r="13839" spans="19:19" ht="15.75">
      <c r="S13839" s="1"/>
    </row>
    <row r="13840" spans="19:19" ht="15.75">
      <c r="S13840" s="1"/>
    </row>
    <row r="13841" spans="19:19" ht="15.75">
      <c r="S13841" s="1"/>
    </row>
    <row r="13842" spans="19:19" ht="15.75">
      <c r="S13842" s="1"/>
    </row>
    <row r="13843" spans="19:19" ht="15.75">
      <c r="S13843" s="1"/>
    </row>
    <row r="13844" spans="19:19" ht="15.75">
      <c r="S13844" s="1"/>
    </row>
    <row r="13845" spans="19:19" ht="15.75">
      <c r="S13845" s="1"/>
    </row>
    <row r="13846" spans="19:19" ht="15.75">
      <c r="S13846" s="1"/>
    </row>
    <row r="13847" spans="19:19" ht="15.75">
      <c r="S13847" s="1"/>
    </row>
    <row r="13848" spans="19:19" ht="15.75">
      <c r="S13848" s="1"/>
    </row>
    <row r="13849" spans="19:19" ht="15.75">
      <c r="S13849" s="1"/>
    </row>
    <row r="13850" spans="19:19" ht="15.75">
      <c r="S13850" s="1"/>
    </row>
    <row r="13851" spans="19:19" ht="15.75">
      <c r="S13851" s="1"/>
    </row>
    <row r="13852" spans="19:19" ht="15.75">
      <c r="S13852" s="1"/>
    </row>
    <row r="13853" spans="19:19" ht="15.75">
      <c r="S13853" s="1"/>
    </row>
    <row r="13854" spans="19:19" ht="15.75">
      <c r="S13854" s="1"/>
    </row>
    <row r="13855" spans="19:19" ht="15.75">
      <c r="S13855" s="1"/>
    </row>
    <row r="13856" spans="19:19" ht="15.75">
      <c r="S13856" s="1"/>
    </row>
    <row r="13857" spans="19:19" ht="15.75">
      <c r="S13857" s="1"/>
    </row>
    <row r="13858" spans="19:19" ht="15.75">
      <c r="S13858" s="1"/>
    </row>
    <row r="13859" spans="19:19" ht="15.75">
      <c r="S13859" s="1"/>
    </row>
    <row r="13860" spans="19:19" ht="15.75">
      <c r="S13860" s="1"/>
    </row>
    <row r="13861" spans="19:19" ht="15.75">
      <c r="S13861" s="1"/>
    </row>
    <row r="13862" spans="19:19" ht="15.75">
      <c r="S13862" s="1"/>
    </row>
    <row r="13863" spans="19:19" ht="15.75">
      <c r="S13863" s="1"/>
    </row>
    <row r="13864" spans="19:19" ht="15.75">
      <c r="S13864" s="1"/>
    </row>
    <row r="13865" spans="19:19" ht="15.75">
      <c r="S13865" s="1"/>
    </row>
    <row r="13866" spans="19:19" ht="15.75">
      <c r="S13866" s="1"/>
    </row>
    <row r="13867" spans="19:19" ht="15.75">
      <c r="S13867" s="1"/>
    </row>
    <row r="13868" spans="19:19" ht="15.75">
      <c r="S13868" s="1"/>
    </row>
    <row r="13869" spans="19:19" ht="15.75">
      <c r="S13869" s="1"/>
    </row>
    <row r="13870" spans="19:19" ht="15.75">
      <c r="S13870" s="1"/>
    </row>
    <row r="13871" spans="19:19" ht="15.75">
      <c r="S13871" s="1"/>
    </row>
    <row r="13872" spans="19:19" ht="15.75">
      <c r="S13872" s="1"/>
    </row>
    <row r="13873" spans="19:19" ht="15.75">
      <c r="S13873" s="1"/>
    </row>
    <row r="13874" spans="19:19" ht="15.75">
      <c r="S13874" s="1"/>
    </row>
    <row r="13875" spans="19:19" ht="15.75">
      <c r="S13875" s="1"/>
    </row>
    <row r="13876" spans="19:19" ht="15.75">
      <c r="S13876" s="1"/>
    </row>
    <row r="13877" spans="19:19" ht="15.75">
      <c r="S13877" s="1"/>
    </row>
    <row r="13878" spans="19:19" ht="15.75">
      <c r="S13878" s="1"/>
    </row>
    <row r="13879" spans="19:19" ht="15.75">
      <c r="S13879" s="1"/>
    </row>
    <row r="13880" spans="19:19" ht="15.75">
      <c r="S13880" s="1"/>
    </row>
    <row r="13881" spans="19:19" ht="15.75">
      <c r="S13881" s="1"/>
    </row>
    <row r="13882" spans="19:19" ht="15.75">
      <c r="S13882" s="1"/>
    </row>
    <row r="13883" spans="19:19" ht="15.75">
      <c r="S13883" s="1"/>
    </row>
    <row r="13884" spans="19:19" ht="15.75">
      <c r="S13884" s="1"/>
    </row>
    <row r="13885" spans="19:19" ht="15.75">
      <c r="S13885" s="1"/>
    </row>
    <row r="13886" spans="19:19" ht="15.75">
      <c r="S13886" s="1"/>
    </row>
    <row r="13887" spans="19:19" ht="15.75">
      <c r="S13887" s="1"/>
    </row>
    <row r="13888" spans="19:19" ht="15.75">
      <c r="S13888" s="1"/>
    </row>
    <row r="13889" spans="19:19" ht="15.75">
      <c r="S13889" s="1"/>
    </row>
    <row r="13890" spans="19:19" ht="15.75">
      <c r="S13890" s="1"/>
    </row>
    <row r="13891" spans="19:19" ht="15.75">
      <c r="S13891" s="1"/>
    </row>
    <row r="13892" spans="19:19" ht="15.75">
      <c r="S13892" s="1"/>
    </row>
    <row r="13893" spans="19:19" ht="15.75">
      <c r="S13893" s="1"/>
    </row>
    <row r="13894" spans="19:19" ht="15.75">
      <c r="S13894" s="1"/>
    </row>
    <row r="13895" spans="19:19" ht="15.75">
      <c r="S13895" s="1"/>
    </row>
    <row r="13896" spans="19:19" ht="15.75">
      <c r="S13896" s="1"/>
    </row>
    <row r="13897" spans="19:19" ht="15.75">
      <c r="S13897" s="1"/>
    </row>
    <row r="13898" spans="19:19" ht="15.75">
      <c r="S13898" s="1"/>
    </row>
    <row r="13899" spans="19:19" ht="15.75">
      <c r="S13899" s="1"/>
    </row>
    <row r="13900" spans="19:19" ht="15.75">
      <c r="S13900" s="1"/>
    </row>
    <row r="13901" spans="19:19" ht="15.75">
      <c r="S13901" s="1"/>
    </row>
    <row r="13902" spans="19:19" ht="15.75">
      <c r="S13902" s="1"/>
    </row>
    <row r="13903" spans="19:19" ht="15.75">
      <c r="S13903" s="1"/>
    </row>
    <row r="13904" spans="19:19" ht="15.75">
      <c r="S13904" s="1"/>
    </row>
    <row r="13905" spans="19:19" ht="15.75">
      <c r="S13905" s="1"/>
    </row>
    <row r="13906" spans="19:19" ht="15.75">
      <c r="S13906" s="1"/>
    </row>
    <row r="13907" spans="19:19" ht="15.75">
      <c r="S13907" s="1"/>
    </row>
    <row r="13908" spans="19:19" ht="15.75">
      <c r="S13908" s="1"/>
    </row>
    <row r="13909" spans="19:19" ht="15.75">
      <c r="S13909" s="1"/>
    </row>
    <row r="13910" spans="19:19" ht="15.75">
      <c r="S13910" s="1"/>
    </row>
    <row r="13911" spans="19:19" ht="15.75">
      <c r="S13911" s="1"/>
    </row>
    <row r="13912" spans="19:19" ht="15.75">
      <c r="S13912" s="1"/>
    </row>
    <row r="13913" spans="19:19" ht="15.75">
      <c r="S13913" s="1"/>
    </row>
    <row r="13914" spans="19:19" ht="15.75">
      <c r="S13914" s="1"/>
    </row>
    <row r="13915" spans="19:19" ht="15.75">
      <c r="S13915" s="1"/>
    </row>
    <row r="13916" spans="19:19" ht="15.75">
      <c r="S13916" s="1"/>
    </row>
    <row r="13917" spans="19:19" ht="15.75">
      <c r="S13917" s="1"/>
    </row>
    <row r="13918" spans="19:19" ht="15.75">
      <c r="S13918" s="1"/>
    </row>
    <row r="13919" spans="19:19" ht="15.75">
      <c r="S13919" s="1"/>
    </row>
    <row r="13920" spans="19:19" ht="15.75">
      <c r="S13920" s="1"/>
    </row>
    <row r="13921" spans="19:19" ht="15.75">
      <c r="S13921" s="1"/>
    </row>
    <row r="13922" spans="19:19" ht="15.75">
      <c r="S13922" s="1"/>
    </row>
    <row r="13923" spans="19:19" ht="15.75">
      <c r="S13923" s="1"/>
    </row>
    <row r="13924" spans="19:19" ht="15.75">
      <c r="S13924" s="1"/>
    </row>
    <row r="13925" spans="19:19" ht="15.75">
      <c r="S13925" s="1"/>
    </row>
    <row r="13926" spans="19:19" ht="15.75">
      <c r="S13926" s="1"/>
    </row>
    <row r="13927" spans="19:19" ht="15.75">
      <c r="S13927" s="1"/>
    </row>
    <row r="13928" spans="19:19" ht="15.75">
      <c r="S13928" s="1"/>
    </row>
    <row r="13929" spans="19:19" ht="15.75">
      <c r="S13929" s="1"/>
    </row>
    <row r="13930" spans="19:19" ht="15.75">
      <c r="S13930" s="1"/>
    </row>
    <row r="13931" spans="19:19" ht="15.75">
      <c r="S13931" s="1"/>
    </row>
    <row r="13932" spans="19:19" ht="15.75">
      <c r="S13932" s="1"/>
    </row>
    <row r="13933" spans="19:19" ht="15.75">
      <c r="S13933" s="1"/>
    </row>
    <row r="13934" spans="19:19" ht="15.75">
      <c r="S13934" s="1"/>
    </row>
    <row r="13935" spans="19:19" ht="15.75">
      <c r="S13935" s="1"/>
    </row>
    <row r="13936" spans="19:19" ht="15.75">
      <c r="S13936" s="1"/>
    </row>
    <row r="13937" spans="19:19" ht="15.75">
      <c r="S13937" s="1"/>
    </row>
    <row r="13938" spans="19:19" ht="15.75">
      <c r="S13938" s="1"/>
    </row>
    <row r="13939" spans="19:19" ht="15.75">
      <c r="S13939" s="1"/>
    </row>
    <row r="13940" spans="19:19" ht="15.75">
      <c r="S13940" s="1"/>
    </row>
    <row r="13941" spans="19:19" ht="15.75">
      <c r="S13941" s="1"/>
    </row>
    <row r="13942" spans="19:19" ht="15.75">
      <c r="S13942" s="1"/>
    </row>
    <row r="13943" spans="19:19" ht="15.75">
      <c r="S13943" s="1"/>
    </row>
    <row r="13944" spans="19:19" ht="15.75">
      <c r="S13944" s="1"/>
    </row>
    <row r="13945" spans="19:19" ht="15.75">
      <c r="S13945" s="1"/>
    </row>
    <row r="13946" spans="19:19" ht="15.75">
      <c r="S13946" s="1"/>
    </row>
    <row r="13947" spans="19:19" ht="15.75">
      <c r="S13947" s="1"/>
    </row>
    <row r="13948" spans="19:19" ht="15.75">
      <c r="S13948" s="1"/>
    </row>
    <row r="13949" spans="19:19" ht="15.75">
      <c r="S13949" s="1"/>
    </row>
    <row r="13950" spans="19:19" ht="15.75">
      <c r="S13950" s="1"/>
    </row>
    <row r="13951" spans="19:19" ht="15.75">
      <c r="S13951" s="1"/>
    </row>
    <row r="13952" spans="19:19" ht="15.75">
      <c r="S13952" s="1"/>
    </row>
    <row r="13953" spans="19:19" ht="15.75">
      <c r="S13953" s="1"/>
    </row>
    <row r="13954" spans="19:19" ht="15.75">
      <c r="S13954" s="1"/>
    </row>
    <row r="13955" spans="19:19" ht="15.75">
      <c r="S13955" s="1"/>
    </row>
    <row r="13956" spans="19:19" ht="15.75">
      <c r="S13956" s="1"/>
    </row>
    <row r="13957" spans="19:19" ht="15.75">
      <c r="S13957" s="1"/>
    </row>
    <row r="13958" spans="19:19" ht="15.75">
      <c r="S13958" s="1"/>
    </row>
    <row r="13959" spans="19:19" ht="15.75">
      <c r="S13959" s="1"/>
    </row>
    <row r="13960" spans="19:19" ht="15.75">
      <c r="S13960" s="1"/>
    </row>
    <row r="13961" spans="19:19" ht="15.75">
      <c r="S13961" s="1"/>
    </row>
    <row r="13962" spans="19:19" ht="15.75">
      <c r="S13962" s="1"/>
    </row>
    <row r="13963" spans="19:19" ht="15.75">
      <c r="S13963" s="1"/>
    </row>
    <row r="13964" spans="19:19" ht="15.75">
      <c r="S13964" s="1"/>
    </row>
    <row r="13965" spans="19:19" ht="15.75">
      <c r="S13965" s="1"/>
    </row>
    <row r="13966" spans="19:19" ht="15.75">
      <c r="S13966" s="1"/>
    </row>
    <row r="13967" spans="19:19" ht="15.75">
      <c r="S13967" s="1"/>
    </row>
    <row r="13968" spans="19:19" ht="15.75">
      <c r="S13968" s="1"/>
    </row>
    <row r="13969" spans="19:19" ht="15.75">
      <c r="S13969" s="1"/>
    </row>
    <row r="13970" spans="19:19" ht="15.75">
      <c r="S13970" s="1"/>
    </row>
    <row r="13971" spans="19:19" ht="15.75">
      <c r="S13971" s="1"/>
    </row>
    <row r="13972" spans="19:19" ht="15.75">
      <c r="S13972" s="1"/>
    </row>
    <row r="13973" spans="19:19" ht="15.75">
      <c r="S13973" s="1"/>
    </row>
    <row r="13974" spans="19:19" ht="15.75">
      <c r="S13974" s="1"/>
    </row>
    <row r="13975" spans="19:19" ht="15.75">
      <c r="S13975" s="1"/>
    </row>
    <row r="13976" spans="19:19" ht="15.75">
      <c r="S13976" s="1"/>
    </row>
    <row r="13977" spans="19:19" ht="15.75">
      <c r="S13977" s="1"/>
    </row>
    <row r="13978" spans="19:19" ht="15.75">
      <c r="S13978" s="1"/>
    </row>
    <row r="13979" spans="19:19" ht="15.75">
      <c r="S13979" s="1"/>
    </row>
    <row r="13980" spans="19:19" ht="15.75">
      <c r="S13980" s="1"/>
    </row>
    <row r="13981" spans="19:19" ht="15.75">
      <c r="S13981" s="1"/>
    </row>
    <row r="13982" spans="19:19" ht="15.75">
      <c r="S13982" s="1"/>
    </row>
    <row r="13983" spans="19:19" ht="15.75">
      <c r="S13983" s="1"/>
    </row>
    <row r="13984" spans="19:19" ht="15.75">
      <c r="S13984" s="1"/>
    </row>
    <row r="13985" spans="19:19" ht="15.75">
      <c r="S13985" s="1"/>
    </row>
    <row r="13986" spans="19:19" ht="15.75">
      <c r="S13986" s="1"/>
    </row>
    <row r="13987" spans="19:19" ht="15.75">
      <c r="S13987" s="1"/>
    </row>
    <row r="13988" spans="19:19" ht="15.75">
      <c r="S13988" s="1"/>
    </row>
    <row r="13989" spans="19:19" ht="15.75">
      <c r="S13989" s="1"/>
    </row>
    <row r="13990" spans="19:19" ht="15.75">
      <c r="S13990" s="1"/>
    </row>
    <row r="13991" spans="19:19" ht="15.75">
      <c r="S13991" s="1"/>
    </row>
    <row r="13992" spans="19:19" ht="15.75">
      <c r="S13992" s="1"/>
    </row>
    <row r="13993" spans="19:19" ht="15.75">
      <c r="S13993" s="1"/>
    </row>
    <row r="13994" spans="19:19" ht="15.75">
      <c r="S13994" s="1"/>
    </row>
    <row r="13995" spans="19:19" ht="15.75">
      <c r="S13995" s="1"/>
    </row>
    <row r="13996" spans="19:19" ht="15.75">
      <c r="S13996" s="1"/>
    </row>
    <row r="13997" spans="19:19" ht="15.75">
      <c r="S13997" s="1"/>
    </row>
    <row r="13998" spans="19:19" ht="15.75">
      <c r="S13998" s="1"/>
    </row>
    <row r="13999" spans="19:19" ht="15.75">
      <c r="S13999" s="1"/>
    </row>
    <row r="14000" spans="19:19" ht="15.75">
      <c r="S14000" s="1"/>
    </row>
    <row r="14001" spans="19:19" ht="15.75">
      <c r="S14001" s="1"/>
    </row>
    <row r="14002" spans="19:19" ht="15.75">
      <c r="S14002" s="1"/>
    </row>
    <row r="14003" spans="19:19" ht="15.75">
      <c r="S14003" s="1"/>
    </row>
    <row r="14004" spans="19:19" ht="15.75">
      <c r="S14004" s="1"/>
    </row>
    <row r="14005" spans="19:19" ht="15.75">
      <c r="S14005" s="1"/>
    </row>
    <row r="14006" spans="19:19" ht="15.75">
      <c r="S14006" s="1"/>
    </row>
    <row r="14007" spans="19:19" ht="15.75">
      <c r="S14007" s="1"/>
    </row>
    <row r="14008" spans="19:19" ht="15.75">
      <c r="S14008" s="1"/>
    </row>
    <row r="14009" spans="19:19" ht="15.75">
      <c r="S14009" s="1"/>
    </row>
    <row r="14010" spans="19:19" ht="15.75">
      <c r="S14010" s="1"/>
    </row>
    <row r="14011" spans="19:19" ht="15.75">
      <c r="S14011" s="1"/>
    </row>
    <row r="14012" spans="19:19" ht="15.75">
      <c r="S14012" s="1"/>
    </row>
    <row r="14013" spans="19:19" ht="15.75">
      <c r="S14013" s="1"/>
    </row>
    <row r="14014" spans="19:19" ht="15.75">
      <c r="S14014" s="1"/>
    </row>
    <row r="14015" spans="19:19" ht="15.75">
      <c r="S14015" s="1"/>
    </row>
    <row r="14016" spans="19:19" ht="15.75">
      <c r="S14016" s="1"/>
    </row>
    <row r="14017" spans="19:19" ht="15.75">
      <c r="S14017" s="1"/>
    </row>
    <row r="14018" spans="19:19" ht="15.75">
      <c r="S14018" s="1"/>
    </row>
    <row r="14019" spans="19:19" ht="15.75">
      <c r="S14019" s="1"/>
    </row>
    <row r="14020" spans="19:19" ht="15.75">
      <c r="S14020" s="1"/>
    </row>
    <row r="14021" spans="19:19" ht="15.75">
      <c r="S14021" s="1"/>
    </row>
    <row r="14022" spans="19:19" ht="15.75">
      <c r="S14022" s="1"/>
    </row>
    <row r="14023" spans="19:19" ht="15.75">
      <c r="S14023" s="1"/>
    </row>
    <row r="14024" spans="19:19" ht="15.75">
      <c r="S14024" s="1"/>
    </row>
    <row r="14025" spans="19:19" ht="15.75">
      <c r="S14025" s="1"/>
    </row>
    <row r="14026" spans="19:19" ht="15.75">
      <c r="S14026" s="1"/>
    </row>
    <row r="14027" spans="19:19" ht="15.75">
      <c r="S14027" s="1"/>
    </row>
    <row r="14028" spans="19:19" ht="15.75">
      <c r="S14028" s="1"/>
    </row>
    <row r="14029" spans="19:19" ht="15.75">
      <c r="S14029" s="1"/>
    </row>
    <row r="14030" spans="19:19" ht="15.75">
      <c r="S14030" s="1"/>
    </row>
    <row r="14031" spans="19:19" ht="15.75">
      <c r="S14031" s="1"/>
    </row>
    <row r="14032" spans="19:19" ht="15.75">
      <c r="S14032" s="1"/>
    </row>
    <row r="14033" spans="19:19" ht="15.75">
      <c r="S14033" s="1"/>
    </row>
    <row r="14034" spans="19:19" ht="15.75">
      <c r="S14034" s="1"/>
    </row>
    <row r="14035" spans="19:19" ht="15.75">
      <c r="S14035" s="1"/>
    </row>
    <row r="14036" spans="19:19" ht="15.75">
      <c r="S14036" s="1"/>
    </row>
    <row r="14037" spans="19:19" ht="15.75">
      <c r="S14037" s="1"/>
    </row>
    <row r="14038" spans="19:19" ht="15.75">
      <c r="S14038" s="1"/>
    </row>
    <row r="14039" spans="19:19" ht="15.75">
      <c r="S14039" s="1"/>
    </row>
    <row r="14040" spans="19:19" ht="15.75">
      <c r="S14040" s="1"/>
    </row>
    <row r="14041" spans="19:19" ht="15.75">
      <c r="S14041" s="1"/>
    </row>
    <row r="14042" spans="19:19" ht="15.75">
      <c r="S14042" s="1"/>
    </row>
    <row r="14043" spans="19:19" ht="15.75">
      <c r="S14043" s="1"/>
    </row>
    <row r="14044" spans="19:19" ht="15.75">
      <c r="S14044" s="1"/>
    </row>
    <row r="14045" spans="19:19" ht="15.75">
      <c r="S14045" s="1"/>
    </row>
    <row r="14046" spans="19:19" ht="15.75">
      <c r="S14046" s="1"/>
    </row>
    <row r="14047" spans="19:19" ht="15.75">
      <c r="S14047" s="1"/>
    </row>
    <row r="14048" spans="19:19" ht="15.75">
      <c r="S14048" s="1"/>
    </row>
    <row r="14049" spans="19:19" ht="15.75">
      <c r="S14049" s="1"/>
    </row>
    <row r="14050" spans="19:19" ht="15.75">
      <c r="S14050" s="1"/>
    </row>
    <row r="14051" spans="19:19" ht="15.75">
      <c r="S14051" s="1"/>
    </row>
    <row r="14052" spans="19:19" ht="15.75">
      <c r="S14052" s="1"/>
    </row>
    <row r="14053" spans="19:19" ht="15.75">
      <c r="S14053" s="1"/>
    </row>
    <row r="14054" spans="19:19" ht="15.75">
      <c r="S14054" s="1"/>
    </row>
    <row r="14055" spans="19:19" ht="15.75">
      <c r="S14055" s="1"/>
    </row>
    <row r="14056" spans="19:19" ht="15.75">
      <c r="S14056" s="1"/>
    </row>
    <row r="14057" spans="19:19" ht="15.75">
      <c r="S14057" s="1"/>
    </row>
    <row r="14058" spans="19:19" ht="15.75">
      <c r="S14058" s="1"/>
    </row>
    <row r="14059" spans="19:19" ht="15.75">
      <c r="S14059" s="1"/>
    </row>
    <row r="14060" spans="19:19" ht="15.75">
      <c r="S14060" s="1"/>
    </row>
    <row r="14061" spans="19:19" ht="15.75">
      <c r="S14061" s="1"/>
    </row>
    <row r="14062" spans="19:19" ht="15.75">
      <c r="S14062" s="1"/>
    </row>
    <row r="14063" spans="19:19" ht="15.75">
      <c r="S14063" s="1"/>
    </row>
    <row r="14064" spans="19:19" ht="15.75">
      <c r="S14064" s="1"/>
    </row>
    <row r="14065" spans="19:19" ht="15.75">
      <c r="S14065" s="1"/>
    </row>
    <row r="14066" spans="19:19" ht="15.75">
      <c r="S14066" s="1"/>
    </row>
    <row r="14067" spans="19:19" ht="15.75">
      <c r="S14067" s="1"/>
    </row>
    <row r="14068" spans="19:19" ht="15.75">
      <c r="S14068" s="1"/>
    </row>
    <row r="14069" spans="19:19" ht="15.75">
      <c r="S14069" s="1"/>
    </row>
    <row r="14070" spans="19:19" ht="15.75">
      <c r="S14070" s="1"/>
    </row>
    <row r="14071" spans="19:19" ht="15.75">
      <c r="S14071" s="1"/>
    </row>
    <row r="14072" spans="19:19" ht="15.75">
      <c r="S14072" s="1"/>
    </row>
    <row r="14073" spans="19:19" ht="15.75">
      <c r="S14073" s="1"/>
    </row>
    <row r="14074" spans="19:19" ht="15.75">
      <c r="S14074" s="1"/>
    </row>
    <row r="14075" spans="19:19" ht="15.75">
      <c r="S14075" s="1"/>
    </row>
    <row r="14076" spans="19:19" ht="15.75">
      <c r="S14076" s="1"/>
    </row>
    <row r="14077" spans="19:19" ht="15.75">
      <c r="S14077" s="1"/>
    </row>
    <row r="14078" spans="19:19" ht="15.75">
      <c r="S14078" s="1"/>
    </row>
    <row r="14079" spans="19:19" ht="15.75">
      <c r="S14079" s="1"/>
    </row>
    <row r="14080" spans="19:19" ht="15.75">
      <c r="S14080" s="1"/>
    </row>
    <row r="14081" spans="19:19" ht="15.75">
      <c r="S14081" s="1"/>
    </row>
    <row r="14082" spans="19:19" ht="15.75">
      <c r="S14082" s="1"/>
    </row>
    <row r="14083" spans="19:19" ht="15.75">
      <c r="S14083" s="1"/>
    </row>
    <row r="14084" spans="19:19" ht="15.75">
      <c r="S14084" s="1"/>
    </row>
    <row r="14085" spans="19:19" ht="15.75">
      <c r="S14085" s="1"/>
    </row>
    <row r="14086" spans="19:19" ht="15.75">
      <c r="S14086" s="1"/>
    </row>
    <row r="14087" spans="19:19" ht="15.75">
      <c r="S14087" s="1"/>
    </row>
    <row r="14088" spans="19:19" ht="15.75">
      <c r="S14088" s="1"/>
    </row>
    <row r="14089" spans="19:19" ht="15.75">
      <c r="S14089" s="1"/>
    </row>
    <row r="14090" spans="19:19" ht="15.75">
      <c r="S14090" s="1"/>
    </row>
    <row r="14091" spans="19:19" ht="15.75">
      <c r="S14091" s="1"/>
    </row>
    <row r="14092" spans="19:19" ht="15.75">
      <c r="S14092" s="1"/>
    </row>
    <row r="14093" spans="19:19" ht="15.75">
      <c r="S14093" s="1"/>
    </row>
    <row r="14094" spans="19:19" ht="15.75">
      <c r="S14094" s="1"/>
    </row>
    <row r="14095" spans="19:19" ht="15.75">
      <c r="S14095" s="1"/>
    </row>
    <row r="14096" spans="19:19" ht="15.75">
      <c r="S14096" s="1"/>
    </row>
    <row r="14097" spans="19:19" ht="15.75">
      <c r="S14097" s="1"/>
    </row>
    <row r="14098" spans="19:19" ht="15.75">
      <c r="S14098" s="1"/>
    </row>
    <row r="14099" spans="19:19" ht="15.75">
      <c r="S14099" s="1"/>
    </row>
    <row r="14100" spans="19:19" ht="15.75">
      <c r="S14100" s="1"/>
    </row>
    <row r="14101" spans="19:19" ht="15.75">
      <c r="S14101" s="1"/>
    </row>
    <row r="14102" spans="19:19" ht="15.75">
      <c r="S14102" s="1"/>
    </row>
    <row r="14103" spans="19:19" ht="15.75">
      <c r="S14103" s="1"/>
    </row>
    <row r="14104" spans="19:19" ht="15.75">
      <c r="S14104" s="1"/>
    </row>
    <row r="14105" spans="19:19" ht="15.75">
      <c r="S14105" s="1"/>
    </row>
    <row r="14106" spans="19:19" ht="15.75">
      <c r="S14106" s="1"/>
    </row>
    <row r="14107" spans="19:19" ht="15.75">
      <c r="S14107" s="1"/>
    </row>
    <row r="14108" spans="19:19" ht="15.75">
      <c r="S14108" s="1"/>
    </row>
    <row r="14109" spans="19:19" ht="15.75">
      <c r="S14109" s="1"/>
    </row>
    <row r="14110" spans="19:19" ht="15.75">
      <c r="S14110" s="1"/>
    </row>
    <row r="14111" spans="19:19" ht="15.75">
      <c r="S14111" s="1"/>
    </row>
    <row r="14112" spans="19:19" ht="15.75">
      <c r="S14112" s="1"/>
    </row>
    <row r="14113" spans="19:19" ht="15.75">
      <c r="S14113" s="1"/>
    </row>
    <row r="14114" spans="19:19" ht="15.75">
      <c r="S14114" s="1"/>
    </row>
    <row r="14115" spans="19:19" ht="15.75">
      <c r="S14115" s="1"/>
    </row>
    <row r="14116" spans="19:19" ht="15.75">
      <c r="S14116" s="1"/>
    </row>
    <row r="14117" spans="19:19" ht="15.75">
      <c r="S14117" s="1"/>
    </row>
    <row r="14118" spans="19:19" ht="15.75">
      <c r="S14118" s="1"/>
    </row>
    <row r="14119" spans="19:19" ht="15.75">
      <c r="S14119" s="1"/>
    </row>
    <row r="14120" spans="19:19" ht="15.75">
      <c r="S14120" s="1"/>
    </row>
    <row r="14121" spans="19:19" ht="15.75">
      <c r="S14121" s="1"/>
    </row>
    <row r="14122" spans="19:19" ht="15.75">
      <c r="S14122" s="1"/>
    </row>
    <row r="14123" spans="19:19" ht="15.75">
      <c r="S14123" s="1"/>
    </row>
    <row r="14124" spans="19:19" ht="15.75">
      <c r="S14124" s="1"/>
    </row>
    <row r="14125" spans="19:19" ht="15.75">
      <c r="S14125" s="1"/>
    </row>
    <row r="14126" spans="19:19" ht="15.75">
      <c r="S14126" s="1"/>
    </row>
    <row r="14127" spans="19:19" ht="15.75">
      <c r="S14127" s="1"/>
    </row>
    <row r="14128" spans="19:19" ht="15.75">
      <c r="S14128" s="1"/>
    </row>
    <row r="14129" spans="19:19" ht="15.75">
      <c r="S14129" s="1"/>
    </row>
    <row r="14130" spans="19:19" ht="15.75">
      <c r="S14130" s="1"/>
    </row>
    <row r="14131" spans="19:19" ht="15.75">
      <c r="S14131" s="1"/>
    </row>
    <row r="14132" spans="19:19" ht="15.75">
      <c r="S14132" s="1"/>
    </row>
    <row r="14133" spans="19:19" ht="15.75">
      <c r="S14133" s="1"/>
    </row>
    <row r="14134" spans="19:19" ht="15.75">
      <c r="S14134" s="1"/>
    </row>
    <row r="14135" spans="19:19" ht="15.75">
      <c r="S14135" s="1"/>
    </row>
    <row r="14136" spans="19:19" ht="15.75">
      <c r="S14136" s="1"/>
    </row>
    <row r="14137" spans="19:19" ht="15.75">
      <c r="S14137" s="1"/>
    </row>
    <row r="14138" spans="19:19" ht="15.75">
      <c r="S14138" s="1"/>
    </row>
    <row r="14139" spans="19:19" ht="15.75">
      <c r="S14139" s="1"/>
    </row>
    <row r="14140" spans="19:19" ht="15.75">
      <c r="S14140" s="1"/>
    </row>
    <row r="14141" spans="19:19" ht="15.75">
      <c r="S14141" s="1"/>
    </row>
    <row r="14142" spans="19:19" ht="15.75">
      <c r="S14142" s="1"/>
    </row>
    <row r="14143" spans="19:19" ht="15.75">
      <c r="S14143" s="1"/>
    </row>
    <row r="14144" spans="19:19" ht="15.75">
      <c r="S14144" s="1"/>
    </row>
    <row r="14145" spans="19:19" ht="15.75">
      <c r="S14145" s="1"/>
    </row>
    <row r="14146" spans="19:19" ht="15.75">
      <c r="S14146" s="1"/>
    </row>
    <row r="14147" spans="19:19" ht="15.75">
      <c r="S14147" s="1"/>
    </row>
    <row r="14148" spans="19:19" ht="15.75">
      <c r="S14148" s="1"/>
    </row>
    <row r="14149" spans="19:19" ht="15.75">
      <c r="S14149" s="1"/>
    </row>
    <row r="14150" spans="19:19" ht="15.75">
      <c r="S14150" s="1"/>
    </row>
    <row r="14151" spans="19:19" ht="15.75">
      <c r="S14151" s="1"/>
    </row>
    <row r="14152" spans="19:19" ht="15.75">
      <c r="S14152" s="1"/>
    </row>
    <row r="14153" spans="19:19" ht="15.75">
      <c r="S14153" s="1"/>
    </row>
    <row r="14154" spans="19:19" ht="15.75">
      <c r="S14154" s="1"/>
    </row>
    <row r="14155" spans="19:19" ht="15.75">
      <c r="S14155" s="1"/>
    </row>
    <row r="14156" spans="19:19" ht="15.75">
      <c r="S14156" s="1"/>
    </row>
    <row r="14157" spans="19:19" ht="15.75">
      <c r="S14157" s="1"/>
    </row>
    <row r="14158" spans="19:19" ht="15.75">
      <c r="S14158" s="1"/>
    </row>
    <row r="14159" spans="19:19" ht="15.75">
      <c r="S14159" s="1"/>
    </row>
    <row r="14160" spans="19:19" ht="15.75">
      <c r="S14160" s="1"/>
    </row>
    <row r="14161" spans="19:19" ht="15.75">
      <c r="S14161" s="1"/>
    </row>
    <row r="14162" spans="19:19" ht="15.75">
      <c r="S14162" s="1"/>
    </row>
    <row r="14163" spans="19:19" ht="15.75">
      <c r="S14163" s="1"/>
    </row>
    <row r="14164" spans="19:19" ht="15.75">
      <c r="S14164" s="1"/>
    </row>
    <row r="14165" spans="19:19" ht="15.75">
      <c r="S14165" s="1"/>
    </row>
    <row r="14166" spans="19:19" ht="15.75">
      <c r="S14166" s="1"/>
    </row>
    <row r="14167" spans="19:19" ht="15.75">
      <c r="S14167" s="1"/>
    </row>
    <row r="14168" spans="19:19" ht="15.75">
      <c r="S14168" s="1"/>
    </row>
    <row r="14169" spans="19:19" ht="15.75">
      <c r="S14169" s="1"/>
    </row>
    <row r="14170" spans="19:19" ht="15.75">
      <c r="S14170" s="1"/>
    </row>
    <row r="14171" spans="19:19" ht="15.75">
      <c r="S14171" s="1"/>
    </row>
    <row r="14172" spans="19:19" ht="15.75">
      <c r="S14172" s="1"/>
    </row>
    <row r="14173" spans="19:19" ht="15.75">
      <c r="S14173" s="1"/>
    </row>
    <row r="14174" spans="19:19" ht="15.75">
      <c r="S14174" s="1"/>
    </row>
    <row r="14175" spans="19:19" ht="15.75">
      <c r="S14175" s="1"/>
    </row>
    <row r="14176" spans="19:19" ht="15.75">
      <c r="S14176" s="1"/>
    </row>
    <row r="14177" spans="19:19" ht="15.75">
      <c r="S14177" s="1"/>
    </row>
    <row r="14178" spans="19:19" ht="15.75">
      <c r="S14178" s="1"/>
    </row>
    <row r="14179" spans="19:19" ht="15.75">
      <c r="S14179" s="1"/>
    </row>
    <row r="14180" spans="19:19" ht="15.75">
      <c r="S14180" s="1"/>
    </row>
    <row r="14181" spans="19:19" ht="15.75">
      <c r="S14181" s="1"/>
    </row>
    <row r="14182" spans="19:19" ht="15.75">
      <c r="S14182" s="1"/>
    </row>
    <row r="14183" spans="19:19" ht="15.75">
      <c r="S14183" s="1"/>
    </row>
    <row r="14184" spans="19:19" ht="15.75">
      <c r="S14184" s="1"/>
    </row>
    <row r="14185" spans="19:19" ht="15.75">
      <c r="S14185" s="1"/>
    </row>
    <row r="14186" spans="19:19" ht="15.75">
      <c r="S14186" s="1"/>
    </row>
    <row r="14187" spans="19:19" ht="15.75">
      <c r="S14187" s="1"/>
    </row>
    <row r="14188" spans="19:19" ht="15.75">
      <c r="S14188" s="1"/>
    </row>
    <row r="14189" spans="19:19" ht="15.75">
      <c r="S14189" s="1"/>
    </row>
    <row r="14190" spans="19:19" ht="15.75">
      <c r="S14190" s="1"/>
    </row>
    <row r="14191" spans="19:19" ht="15.75">
      <c r="S14191" s="1"/>
    </row>
    <row r="14192" spans="19:19" ht="15.75">
      <c r="S14192" s="1"/>
    </row>
    <row r="14193" spans="19:19" ht="15.75">
      <c r="S14193" s="1"/>
    </row>
    <row r="14194" spans="19:19" ht="15.75">
      <c r="S14194" s="1"/>
    </row>
    <row r="14195" spans="19:19" ht="15.75">
      <c r="S14195" s="1"/>
    </row>
    <row r="14196" spans="19:19" ht="15.75">
      <c r="S14196" s="1"/>
    </row>
    <row r="14197" spans="19:19" ht="15.75">
      <c r="S14197" s="1"/>
    </row>
    <row r="14198" spans="19:19" ht="15.75">
      <c r="S14198" s="1"/>
    </row>
    <row r="14199" spans="19:19" ht="15.75">
      <c r="S14199" s="1"/>
    </row>
    <row r="14200" spans="19:19" ht="15.75">
      <c r="S14200" s="1"/>
    </row>
    <row r="14201" spans="19:19" ht="15.75">
      <c r="S14201" s="1"/>
    </row>
    <row r="14202" spans="19:19" ht="15.75">
      <c r="S14202" s="1"/>
    </row>
    <row r="14203" spans="19:19" ht="15.75">
      <c r="S14203" s="1"/>
    </row>
    <row r="14204" spans="19:19" ht="15.75">
      <c r="S14204" s="1"/>
    </row>
    <row r="14205" spans="19:19" ht="15.75">
      <c r="S14205" s="1"/>
    </row>
    <row r="14206" spans="19:19" ht="15.75">
      <c r="S14206" s="1"/>
    </row>
    <row r="14207" spans="19:19" ht="15.75">
      <c r="S14207" s="1"/>
    </row>
    <row r="14208" spans="19:19" ht="15.75">
      <c r="S14208" s="1"/>
    </row>
    <row r="14209" spans="19:19" ht="15.75">
      <c r="S14209" s="1"/>
    </row>
    <row r="14210" spans="19:19" ht="15.75">
      <c r="S14210" s="1"/>
    </row>
    <row r="14211" spans="19:19" ht="15.75">
      <c r="S14211" s="1"/>
    </row>
    <row r="14212" spans="19:19" ht="15.75">
      <c r="S14212" s="1"/>
    </row>
    <row r="14213" spans="19:19" ht="15.75">
      <c r="S14213" s="1"/>
    </row>
    <row r="14214" spans="19:19" ht="15.75">
      <c r="S14214" s="1"/>
    </row>
    <row r="14215" spans="19:19" ht="15.75">
      <c r="S14215" s="1"/>
    </row>
    <row r="14216" spans="19:19" ht="15.75">
      <c r="S14216" s="1"/>
    </row>
    <row r="14217" spans="19:19" ht="15.75">
      <c r="S14217" s="1"/>
    </row>
    <row r="14218" spans="19:19" ht="15.75">
      <c r="S14218" s="1"/>
    </row>
    <row r="14219" spans="19:19" ht="15.75">
      <c r="S14219" s="1"/>
    </row>
    <row r="14220" spans="19:19" ht="15.75">
      <c r="S14220" s="1"/>
    </row>
    <row r="14221" spans="19:19" ht="15.75">
      <c r="S14221" s="1"/>
    </row>
    <row r="14222" spans="19:19" ht="15.75">
      <c r="S14222" s="1"/>
    </row>
    <row r="14223" spans="19:19" ht="15.75">
      <c r="S14223" s="1"/>
    </row>
    <row r="14224" spans="19:19" ht="15.75">
      <c r="S14224" s="1"/>
    </row>
    <row r="14225" spans="19:19" ht="15.75">
      <c r="S14225" s="1"/>
    </row>
    <row r="14226" spans="19:19" ht="15.75">
      <c r="S14226" s="1"/>
    </row>
    <row r="14227" spans="19:19" ht="15.75">
      <c r="S14227" s="1"/>
    </row>
    <row r="14228" spans="19:19" ht="15.75">
      <c r="S14228" s="1"/>
    </row>
    <row r="14229" spans="19:19" ht="15.75">
      <c r="S14229" s="1"/>
    </row>
    <row r="14230" spans="19:19" ht="15.75">
      <c r="S14230" s="1"/>
    </row>
    <row r="14231" spans="19:19" ht="15.75">
      <c r="S14231" s="1"/>
    </row>
    <row r="14232" spans="19:19" ht="15.75">
      <c r="S14232" s="1"/>
    </row>
    <row r="14233" spans="19:19" ht="15.75">
      <c r="S14233" s="1"/>
    </row>
    <row r="14234" spans="19:19" ht="15.75">
      <c r="S14234" s="1"/>
    </row>
    <row r="14235" spans="19:19" ht="15.75">
      <c r="S14235" s="1"/>
    </row>
    <row r="14236" spans="19:19" ht="15.75">
      <c r="S14236" s="1"/>
    </row>
    <row r="14237" spans="19:19" ht="15.75">
      <c r="S14237" s="1"/>
    </row>
    <row r="14238" spans="19:19" ht="15.75">
      <c r="S14238" s="1"/>
    </row>
    <row r="14239" spans="19:19" ht="15.75">
      <c r="S14239" s="1"/>
    </row>
    <row r="14240" spans="19:19" ht="15.75">
      <c r="S14240" s="1"/>
    </row>
    <row r="14241" spans="19:19" ht="15.75">
      <c r="S14241" s="1"/>
    </row>
    <row r="14242" spans="19:19" ht="15.75">
      <c r="S14242" s="1"/>
    </row>
    <row r="14243" spans="19:19" ht="15.75">
      <c r="S14243" s="1"/>
    </row>
    <row r="14244" spans="19:19" ht="15.75">
      <c r="S14244" s="1"/>
    </row>
    <row r="14245" spans="19:19" ht="15.75">
      <c r="S14245" s="1"/>
    </row>
    <row r="14246" spans="19:19" ht="15.75">
      <c r="S14246" s="1"/>
    </row>
    <row r="14247" spans="19:19" ht="15.75">
      <c r="S14247" s="1"/>
    </row>
    <row r="14248" spans="19:19" ht="15.75">
      <c r="S14248" s="1"/>
    </row>
    <row r="14249" spans="19:19" ht="15.75">
      <c r="S14249" s="1"/>
    </row>
    <row r="14250" spans="19:19" ht="15.75">
      <c r="S14250" s="1"/>
    </row>
    <row r="14251" spans="19:19" ht="15.75">
      <c r="S14251" s="1"/>
    </row>
    <row r="14252" spans="19:19" ht="15.75">
      <c r="S14252" s="1"/>
    </row>
    <row r="14253" spans="19:19" ht="15.75">
      <c r="S14253" s="1"/>
    </row>
    <row r="14254" spans="19:19" ht="15.75">
      <c r="S14254" s="1"/>
    </row>
    <row r="14255" spans="19:19" ht="15.75">
      <c r="S14255" s="1"/>
    </row>
    <row r="14256" spans="19:19" ht="15.75">
      <c r="S14256" s="1"/>
    </row>
    <row r="14257" spans="19:19" ht="15.75">
      <c r="S14257" s="1"/>
    </row>
    <row r="14258" spans="19:19" ht="15.75">
      <c r="S14258" s="1"/>
    </row>
    <row r="14259" spans="19:19" ht="15.75">
      <c r="S14259" s="1"/>
    </row>
    <row r="14260" spans="19:19" ht="15.75">
      <c r="S14260" s="1"/>
    </row>
    <row r="14261" spans="19:19" ht="15.75">
      <c r="S14261" s="1"/>
    </row>
    <row r="14262" spans="19:19" ht="15.75">
      <c r="S14262" s="1"/>
    </row>
    <row r="14263" spans="19:19" ht="15.75">
      <c r="S14263" s="1"/>
    </row>
    <row r="14264" spans="19:19" ht="15.75">
      <c r="S14264" s="1"/>
    </row>
    <row r="14265" spans="19:19" ht="15.75">
      <c r="S14265" s="1"/>
    </row>
    <row r="14266" spans="19:19" ht="15.75">
      <c r="S14266" s="1"/>
    </row>
    <row r="14267" spans="19:19" ht="15.75">
      <c r="S14267" s="1"/>
    </row>
    <row r="14268" spans="19:19" ht="15.75">
      <c r="S14268" s="1"/>
    </row>
    <row r="14269" spans="19:19" ht="15.75">
      <c r="S14269" s="1"/>
    </row>
    <row r="14270" spans="19:19" ht="15.75">
      <c r="S14270" s="1"/>
    </row>
    <row r="14271" spans="19:19" ht="15.75">
      <c r="S14271" s="1"/>
    </row>
    <row r="14272" spans="19:19" ht="15.75">
      <c r="S14272" s="1"/>
    </row>
    <row r="14273" spans="19:19" ht="15.75">
      <c r="S14273" s="1"/>
    </row>
    <row r="14274" spans="19:19" ht="15.75">
      <c r="S14274" s="1"/>
    </row>
    <row r="14275" spans="19:19" ht="15.75">
      <c r="S14275" s="1"/>
    </row>
    <row r="14276" spans="19:19" ht="15.75">
      <c r="S14276" s="1"/>
    </row>
    <row r="14277" spans="19:19" ht="15.75">
      <c r="S14277" s="1"/>
    </row>
    <row r="14278" spans="19:19" ht="15.75">
      <c r="S14278" s="1"/>
    </row>
    <row r="14279" spans="19:19" ht="15.75">
      <c r="S14279" s="1"/>
    </row>
    <row r="14280" spans="19:19" ht="15.75">
      <c r="S14280" s="1"/>
    </row>
    <row r="14281" spans="19:19" ht="15.75">
      <c r="S14281" s="1"/>
    </row>
    <row r="14282" spans="19:19" ht="15.75">
      <c r="S14282" s="1"/>
    </row>
    <row r="14283" spans="19:19" ht="15.75">
      <c r="S14283" s="1"/>
    </row>
    <row r="14284" spans="19:19" ht="15.75">
      <c r="S14284" s="1"/>
    </row>
    <row r="14285" spans="19:19" ht="15.75">
      <c r="S14285" s="1"/>
    </row>
    <row r="14286" spans="19:19" ht="15.75">
      <c r="S14286" s="1"/>
    </row>
    <row r="14287" spans="19:19" ht="15.75">
      <c r="S14287" s="1"/>
    </row>
    <row r="14288" spans="19:19" ht="15.75">
      <c r="S14288" s="1"/>
    </row>
    <row r="14289" spans="19:19" ht="15.75">
      <c r="S14289" s="1"/>
    </row>
    <row r="14290" spans="19:19" ht="15.75">
      <c r="S14290" s="1"/>
    </row>
    <row r="14291" spans="19:19" ht="15.75">
      <c r="S14291" s="1"/>
    </row>
    <row r="14292" spans="19:19" ht="15.75">
      <c r="S14292" s="1"/>
    </row>
    <row r="14293" spans="19:19" ht="15.75">
      <c r="S14293" s="1"/>
    </row>
    <row r="14294" spans="19:19" ht="15.75">
      <c r="S14294" s="1"/>
    </row>
    <row r="14295" spans="19:19" ht="15.75">
      <c r="S14295" s="1"/>
    </row>
    <row r="14296" spans="19:19" ht="15.75">
      <c r="S14296" s="1"/>
    </row>
    <row r="14297" spans="19:19" ht="15.75">
      <c r="S14297" s="1"/>
    </row>
    <row r="14298" spans="19:19" ht="15.75">
      <c r="S14298" s="1"/>
    </row>
    <row r="14299" spans="19:19" ht="15.75">
      <c r="S14299" s="1"/>
    </row>
    <row r="14300" spans="19:19" ht="15.75">
      <c r="S14300" s="1"/>
    </row>
    <row r="14301" spans="19:19" ht="15.75">
      <c r="S14301" s="1"/>
    </row>
    <row r="14302" spans="19:19" ht="15.75">
      <c r="S14302" s="1"/>
    </row>
    <row r="14303" spans="19:19" ht="15.75">
      <c r="S14303" s="1"/>
    </row>
    <row r="14304" spans="19:19" ht="15.75">
      <c r="S14304" s="1"/>
    </row>
    <row r="14305" spans="19:19" ht="15.75">
      <c r="S14305" s="1"/>
    </row>
    <row r="14306" spans="19:19" ht="15.75">
      <c r="S14306" s="1"/>
    </row>
    <row r="14307" spans="19:19" ht="15.75">
      <c r="S14307" s="1"/>
    </row>
    <row r="14308" spans="19:19" ht="15.75">
      <c r="S14308" s="1"/>
    </row>
    <row r="14309" spans="19:19" ht="15.75">
      <c r="S14309" s="1"/>
    </row>
    <row r="14310" spans="19:19" ht="15.75">
      <c r="S14310" s="1"/>
    </row>
    <row r="14311" spans="19:19" ht="15.75">
      <c r="S14311" s="1"/>
    </row>
    <row r="14312" spans="19:19" ht="15.75">
      <c r="S14312" s="1"/>
    </row>
    <row r="14313" spans="19:19" ht="15.75">
      <c r="S14313" s="1"/>
    </row>
    <row r="14314" spans="19:19" ht="15.75">
      <c r="S14314" s="1"/>
    </row>
    <row r="14315" spans="19:19" ht="15.75">
      <c r="S14315" s="1"/>
    </row>
    <row r="14316" spans="19:19" ht="15.75">
      <c r="S14316" s="1"/>
    </row>
    <row r="14317" spans="19:19" ht="15.75">
      <c r="S14317" s="1"/>
    </row>
    <row r="14318" spans="19:19" ht="15.75">
      <c r="S14318" s="1"/>
    </row>
    <row r="14319" spans="19:19" ht="15.75">
      <c r="S14319" s="1"/>
    </row>
    <row r="14320" spans="19:19" ht="15.75">
      <c r="S14320" s="1"/>
    </row>
    <row r="14321" spans="19:19" ht="15.75">
      <c r="S14321" s="1"/>
    </row>
    <row r="14322" spans="19:19" ht="15.75">
      <c r="S14322" s="1"/>
    </row>
    <row r="14323" spans="19:19" ht="15.75">
      <c r="S14323" s="1"/>
    </row>
    <row r="14324" spans="19:19" ht="15.75">
      <c r="S14324" s="1"/>
    </row>
    <row r="14325" spans="19:19" ht="15.75">
      <c r="S14325" s="1"/>
    </row>
    <row r="14326" spans="19:19" ht="15.75">
      <c r="S14326" s="1"/>
    </row>
    <row r="14327" spans="19:19" ht="15.75">
      <c r="S14327" s="1"/>
    </row>
    <row r="14328" spans="19:19" ht="15.75">
      <c r="S14328" s="1"/>
    </row>
    <row r="14329" spans="19:19" ht="15.75">
      <c r="S14329" s="1"/>
    </row>
    <row r="14330" spans="19:19" ht="15.75">
      <c r="S14330" s="1"/>
    </row>
    <row r="14331" spans="19:19" ht="15.75">
      <c r="S14331" s="1"/>
    </row>
    <row r="14332" spans="19:19" ht="15.75">
      <c r="S14332" s="1"/>
    </row>
    <row r="14333" spans="19:19" ht="15.75">
      <c r="S14333" s="1"/>
    </row>
    <row r="14334" spans="19:19" ht="15.75">
      <c r="S14334" s="1"/>
    </row>
    <row r="14335" spans="19:19" ht="15.75">
      <c r="S14335" s="1"/>
    </row>
    <row r="14336" spans="19:19" ht="15.75">
      <c r="S14336" s="1"/>
    </row>
    <row r="14337" spans="19:19" ht="15.75">
      <c r="S14337" s="1"/>
    </row>
    <row r="14338" spans="19:19" ht="15.75">
      <c r="S14338" s="1"/>
    </row>
    <row r="14339" spans="19:19" ht="15.75">
      <c r="S14339" s="1"/>
    </row>
    <row r="14340" spans="19:19" ht="15.75">
      <c r="S14340" s="1"/>
    </row>
    <row r="14341" spans="19:19" ht="15.75">
      <c r="S14341" s="1"/>
    </row>
    <row r="14342" spans="19:19" ht="15.75">
      <c r="S14342" s="1"/>
    </row>
    <row r="14343" spans="19:19" ht="15.75">
      <c r="S14343" s="1"/>
    </row>
    <row r="14344" spans="19:19" ht="15.75">
      <c r="S14344" s="1"/>
    </row>
    <row r="14345" spans="19:19" ht="15.75">
      <c r="S14345" s="1"/>
    </row>
    <row r="14346" spans="19:19" ht="15.75">
      <c r="S14346" s="1"/>
    </row>
    <row r="14347" spans="19:19" ht="15.75">
      <c r="S14347" s="1"/>
    </row>
    <row r="14348" spans="19:19" ht="15.75">
      <c r="S14348" s="1"/>
    </row>
    <row r="14349" spans="19:19" ht="15.75">
      <c r="S14349" s="1"/>
    </row>
    <row r="14350" spans="19:19" ht="15.75">
      <c r="S14350" s="1"/>
    </row>
    <row r="14351" spans="19:19" ht="15.75">
      <c r="S14351" s="1"/>
    </row>
    <row r="14352" spans="19:19" ht="15.75">
      <c r="S14352" s="1"/>
    </row>
    <row r="14353" spans="19:19" ht="15.75">
      <c r="S14353" s="1"/>
    </row>
    <row r="14354" spans="19:19" ht="15.75">
      <c r="S14354" s="1"/>
    </row>
    <row r="14355" spans="19:19" ht="15.75">
      <c r="S14355" s="1"/>
    </row>
    <row r="14356" spans="19:19" ht="15.75">
      <c r="S14356" s="1"/>
    </row>
    <row r="14357" spans="19:19" ht="15.75">
      <c r="S14357" s="1"/>
    </row>
    <row r="14358" spans="19:19" ht="15.75">
      <c r="S14358" s="1"/>
    </row>
    <row r="14359" spans="19:19" ht="15.75">
      <c r="S14359" s="1"/>
    </row>
    <row r="14360" spans="19:19" ht="15.75">
      <c r="S14360" s="1"/>
    </row>
    <row r="14361" spans="19:19" ht="15.75">
      <c r="S14361" s="1"/>
    </row>
    <row r="14362" spans="19:19" ht="15.75">
      <c r="S14362" s="1"/>
    </row>
    <row r="14363" spans="19:19" ht="15.75">
      <c r="S14363" s="1"/>
    </row>
    <row r="14364" spans="19:19" ht="15.75">
      <c r="S14364" s="1"/>
    </row>
    <row r="14365" spans="19:19" ht="15.75">
      <c r="S14365" s="1"/>
    </row>
    <row r="14366" spans="19:19" ht="15.75">
      <c r="S14366" s="1"/>
    </row>
    <row r="14367" spans="19:19" ht="15.75">
      <c r="S14367" s="1"/>
    </row>
    <row r="14368" spans="19:19" ht="15.75">
      <c r="S14368" s="1"/>
    </row>
    <row r="14369" spans="19:19" ht="15.75">
      <c r="S14369" s="1"/>
    </row>
    <row r="14370" spans="19:19" ht="15.75">
      <c r="S14370" s="1"/>
    </row>
    <row r="14371" spans="19:19" ht="15.75">
      <c r="S14371" s="1"/>
    </row>
    <row r="14372" spans="19:19" ht="15.75">
      <c r="S14372" s="1"/>
    </row>
    <row r="14373" spans="19:19" ht="15.75">
      <c r="S14373" s="1"/>
    </row>
    <row r="14374" spans="19:19" ht="15.75">
      <c r="S14374" s="1"/>
    </row>
    <row r="14375" spans="19:19" ht="15.75">
      <c r="S14375" s="1"/>
    </row>
    <row r="14376" spans="19:19" ht="15.75">
      <c r="S14376" s="1"/>
    </row>
    <row r="14377" spans="19:19" ht="15.75">
      <c r="S14377" s="1"/>
    </row>
    <row r="14378" spans="19:19" ht="15.75">
      <c r="S14378" s="1"/>
    </row>
    <row r="14379" spans="19:19" ht="15.75">
      <c r="S14379" s="1"/>
    </row>
    <row r="14380" spans="19:19" ht="15.75">
      <c r="S14380" s="1"/>
    </row>
    <row r="14381" spans="19:19" ht="15.75">
      <c r="S14381" s="1"/>
    </row>
    <row r="14382" spans="19:19" ht="15.75">
      <c r="S14382" s="1"/>
    </row>
    <row r="14383" spans="19:19" ht="15.75">
      <c r="S14383" s="1"/>
    </row>
    <row r="14384" spans="19:19" ht="15.75">
      <c r="S14384" s="1"/>
    </row>
    <row r="14385" spans="19:19" ht="15.75">
      <c r="S14385" s="1"/>
    </row>
    <row r="14386" spans="19:19" ht="15.75">
      <c r="S14386" s="1"/>
    </row>
    <row r="14387" spans="19:19" ht="15.75">
      <c r="S14387" s="1"/>
    </row>
    <row r="14388" spans="19:19" ht="15.75">
      <c r="S14388" s="1"/>
    </row>
    <row r="14389" spans="19:19" ht="15.75">
      <c r="S14389" s="1"/>
    </row>
    <row r="14390" spans="19:19" ht="15.75">
      <c r="S14390" s="1"/>
    </row>
    <row r="14391" spans="19:19" ht="15.75">
      <c r="S14391" s="1"/>
    </row>
    <row r="14392" spans="19:19" ht="15.75">
      <c r="S14392" s="1"/>
    </row>
    <row r="14393" spans="19:19" ht="15.75">
      <c r="S14393" s="1"/>
    </row>
    <row r="14394" spans="19:19" ht="15.75">
      <c r="S14394" s="1"/>
    </row>
    <row r="14395" spans="19:19" ht="15.75">
      <c r="S14395" s="1"/>
    </row>
    <row r="14396" spans="19:19" ht="15.75">
      <c r="S14396" s="1"/>
    </row>
    <row r="14397" spans="19:19" ht="15.75">
      <c r="S14397" s="1"/>
    </row>
    <row r="14398" spans="19:19" ht="15.75">
      <c r="S14398" s="1"/>
    </row>
    <row r="14399" spans="19:19" ht="15.75">
      <c r="S14399" s="1"/>
    </row>
    <row r="14400" spans="19:19" ht="15.75">
      <c r="S14400" s="1"/>
    </row>
    <row r="14401" spans="19:19" ht="15.75">
      <c r="S14401" s="1"/>
    </row>
    <row r="14402" spans="19:19" ht="15.75">
      <c r="S14402" s="1"/>
    </row>
    <row r="14403" spans="19:19" ht="15.75">
      <c r="S14403" s="1"/>
    </row>
    <row r="14404" spans="19:19" ht="15.75">
      <c r="S14404" s="1"/>
    </row>
    <row r="14405" spans="19:19" ht="15.75">
      <c r="S14405" s="1"/>
    </row>
    <row r="14406" spans="19:19" ht="15.75">
      <c r="S14406" s="1"/>
    </row>
    <row r="14407" spans="19:19" ht="15.75">
      <c r="S14407" s="1"/>
    </row>
    <row r="14408" spans="19:19" ht="15.75">
      <c r="S14408" s="1"/>
    </row>
    <row r="14409" spans="19:19" ht="15.75">
      <c r="S14409" s="1"/>
    </row>
    <row r="14410" spans="19:19" ht="15.75">
      <c r="S14410" s="1"/>
    </row>
    <row r="14411" spans="19:19" ht="15.75">
      <c r="S14411" s="1"/>
    </row>
    <row r="14412" spans="19:19" ht="15.75">
      <c r="S14412" s="1"/>
    </row>
    <row r="14413" spans="19:19" ht="15.75">
      <c r="S14413" s="1"/>
    </row>
    <row r="14414" spans="19:19" ht="15.75">
      <c r="S14414" s="1"/>
    </row>
    <row r="14415" spans="19:19" ht="15.75">
      <c r="S14415" s="1"/>
    </row>
    <row r="14416" spans="19:19" ht="15.75">
      <c r="S14416" s="1"/>
    </row>
    <row r="14417" spans="19:19" ht="15.75">
      <c r="S14417" s="1"/>
    </row>
    <row r="14418" spans="19:19" ht="15.75">
      <c r="S14418" s="1"/>
    </row>
    <row r="14419" spans="19:19" ht="15.75">
      <c r="S14419" s="1"/>
    </row>
    <row r="14420" spans="19:19" ht="15.75">
      <c r="S14420" s="1"/>
    </row>
    <row r="14421" spans="19:19" ht="15.75">
      <c r="S14421" s="1"/>
    </row>
    <row r="14422" spans="19:19" ht="15.75">
      <c r="S14422" s="1"/>
    </row>
    <row r="14423" spans="19:19" ht="15.75">
      <c r="S14423" s="1"/>
    </row>
    <row r="14424" spans="19:19" ht="15.75">
      <c r="S14424" s="1"/>
    </row>
    <row r="14425" spans="19:19" ht="15.75">
      <c r="S14425" s="1"/>
    </row>
    <row r="14426" spans="19:19" ht="15.75">
      <c r="S14426" s="1"/>
    </row>
    <row r="14427" spans="19:19" ht="15.75">
      <c r="S14427" s="1"/>
    </row>
    <row r="14428" spans="19:19" ht="15.75">
      <c r="S14428" s="1"/>
    </row>
    <row r="14429" spans="19:19" ht="15.75">
      <c r="S14429" s="1"/>
    </row>
    <row r="14430" spans="19:19" ht="15.75">
      <c r="S14430" s="1"/>
    </row>
    <row r="14431" spans="19:19" ht="15.75">
      <c r="S14431" s="1"/>
    </row>
    <row r="14432" spans="19:19" ht="15.75">
      <c r="S14432" s="1"/>
    </row>
    <row r="14433" spans="19:19" ht="15.75">
      <c r="S14433" s="1"/>
    </row>
    <row r="14434" spans="19:19" ht="15.75">
      <c r="S14434" s="1"/>
    </row>
    <row r="14435" spans="19:19" ht="15.75">
      <c r="S14435" s="1"/>
    </row>
    <row r="14436" spans="19:19" ht="15.75">
      <c r="S14436" s="1"/>
    </row>
    <row r="14437" spans="19:19" ht="15.75">
      <c r="S14437" s="1"/>
    </row>
    <row r="14438" spans="19:19" ht="15.75">
      <c r="S14438" s="1"/>
    </row>
    <row r="14439" spans="19:19" ht="15.75">
      <c r="S14439" s="1"/>
    </row>
    <row r="14440" spans="19:19" ht="15.75">
      <c r="S14440" s="1"/>
    </row>
    <row r="14441" spans="19:19" ht="15.75">
      <c r="S14441" s="1"/>
    </row>
    <row r="14442" spans="19:19" ht="15.75">
      <c r="S14442" s="1"/>
    </row>
    <row r="14443" spans="19:19" ht="15.75">
      <c r="S14443" s="1"/>
    </row>
    <row r="14444" spans="19:19" ht="15.75">
      <c r="S14444" s="1"/>
    </row>
    <row r="14445" spans="19:19" ht="15.75">
      <c r="S14445" s="1"/>
    </row>
    <row r="14446" spans="19:19" ht="15.75">
      <c r="S14446" s="1"/>
    </row>
    <row r="14447" spans="19:19" ht="15.75">
      <c r="S14447" s="1"/>
    </row>
    <row r="14448" spans="19:19" ht="15.75">
      <c r="S14448" s="1"/>
    </row>
    <row r="14449" spans="19:19" ht="15.75">
      <c r="S14449" s="1"/>
    </row>
    <row r="14450" spans="19:19" ht="15.75">
      <c r="S14450" s="1"/>
    </row>
    <row r="14451" spans="19:19" ht="15.75">
      <c r="S14451" s="1"/>
    </row>
    <row r="14452" spans="19:19" ht="15.75">
      <c r="S14452" s="1"/>
    </row>
    <row r="14453" spans="19:19" ht="15.75">
      <c r="S14453" s="1"/>
    </row>
    <row r="14454" spans="19:19" ht="15.75">
      <c r="S14454" s="1"/>
    </row>
    <row r="14455" spans="19:19" ht="15.75">
      <c r="S14455" s="1"/>
    </row>
    <row r="14456" spans="19:19" ht="15.75">
      <c r="S14456" s="1"/>
    </row>
    <row r="14457" spans="19:19" ht="15.75">
      <c r="S14457" s="1"/>
    </row>
    <row r="14458" spans="19:19" ht="15.75">
      <c r="S14458" s="1"/>
    </row>
    <row r="14459" spans="19:19" ht="15.75">
      <c r="S14459" s="1"/>
    </row>
    <row r="14460" spans="19:19" ht="15.75">
      <c r="S14460" s="1"/>
    </row>
    <row r="14461" spans="19:19" ht="15.75">
      <c r="S14461" s="1"/>
    </row>
    <row r="14462" spans="19:19" ht="15.75">
      <c r="S14462" s="1"/>
    </row>
    <row r="14463" spans="19:19" ht="15.75">
      <c r="S14463" s="1"/>
    </row>
    <row r="14464" spans="19:19" ht="15.75">
      <c r="S14464" s="1"/>
    </row>
    <row r="14465" spans="19:19" ht="15.75">
      <c r="S14465" s="1"/>
    </row>
    <row r="14466" spans="19:19" ht="15.75">
      <c r="S14466" s="1"/>
    </row>
    <row r="14467" spans="19:19" ht="15.75">
      <c r="S14467" s="1"/>
    </row>
    <row r="14468" spans="19:19" ht="15.75">
      <c r="S14468" s="1"/>
    </row>
    <row r="14469" spans="19:19" ht="15.75">
      <c r="S14469" s="1"/>
    </row>
    <row r="14470" spans="19:19" ht="15.75">
      <c r="S14470" s="1"/>
    </row>
    <row r="14471" spans="19:19" ht="15.75">
      <c r="S14471" s="1"/>
    </row>
    <row r="14472" spans="19:19" ht="15.75">
      <c r="S14472" s="1"/>
    </row>
    <row r="14473" spans="19:19" ht="15.75">
      <c r="S14473" s="1"/>
    </row>
    <row r="14474" spans="19:19" ht="15.75">
      <c r="S14474" s="1"/>
    </row>
    <row r="14475" spans="19:19" ht="15.75">
      <c r="S14475" s="1"/>
    </row>
    <row r="14476" spans="19:19" ht="15.75">
      <c r="S14476" s="1"/>
    </row>
    <row r="14477" spans="19:19" ht="15.75">
      <c r="S14477" s="1"/>
    </row>
    <row r="14478" spans="19:19" ht="15.75">
      <c r="S14478" s="1"/>
    </row>
    <row r="14479" spans="19:19" ht="15.75">
      <c r="S14479" s="1"/>
    </row>
    <row r="14480" spans="19:19" ht="15.75">
      <c r="S14480" s="1"/>
    </row>
    <row r="14481" spans="19:19" ht="15.75">
      <c r="S14481" s="1"/>
    </row>
    <row r="14482" spans="19:19" ht="15.75">
      <c r="S14482" s="1"/>
    </row>
    <row r="14483" spans="19:19" ht="15.75">
      <c r="S14483" s="1"/>
    </row>
    <row r="14484" spans="19:19" ht="15.75">
      <c r="S14484" s="1"/>
    </row>
    <row r="14485" spans="19:19" ht="15.75">
      <c r="S14485" s="1"/>
    </row>
    <row r="14486" spans="19:19" ht="15.75">
      <c r="S14486" s="1"/>
    </row>
    <row r="14487" spans="19:19" ht="15.75">
      <c r="S14487" s="1"/>
    </row>
    <row r="14488" spans="19:19" ht="15.75">
      <c r="S14488" s="1"/>
    </row>
    <row r="14489" spans="19:19" ht="15.75">
      <c r="S14489" s="1"/>
    </row>
    <row r="14490" spans="19:19" ht="15.75">
      <c r="S14490" s="1"/>
    </row>
    <row r="14491" spans="19:19" ht="15.75">
      <c r="S14491" s="1"/>
    </row>
    <row r="14492" spans="19:19" ht="15.75">
      <c r="S14492" s="1"/>
    </row>
    <row r="14493" spans="19:19" ht="15.75">
      <c r="S14493" s="1"/>
    </row>
    <row r="14494" spans="19:19" ht="15.75">
      <c r="S14494" s="1"/>
    </row>
    <row r="14495" spans="19:19" ht="15.75">
      <c r="S14495" s="1"/>
    </row>
    <row r="14496" spans="19:19" ht="15.75">
      <c r="S14496" s="1"/>
    </row>
    <row r="14497" spans="19:19" ht="15.75">
      <c r="S14497" s="1"/>
    </row>
    <row r="14498" spans="19:19" ht="15.75">
      <c r="S14498" s="1"/>
    </row>
    <row r="14499" spans="19:19" ht="15.75">
      <c r="S14499" s="1"/>
    </row>
    <row r="14500" spans="19:19" ht="15.75">
      <c r="S14500" s="1"/>
    </row>
    <row r="14501" spans="19:19" ht="15.75">
      <c r="S14501" s="1"/>
    </row>
    <row r="14502" spans="19:19" ht="15.75">
      <c r="S14502" s="1"/>
    </row>
    <row r="14503" spans="19:19" ht="15.75">
      <c r="S14503" s="1"/>
    </row>
    <row r="14504" spans="19:19" ht="15.75">
      <c r="S14504" s="1"/>
    </row>
    <row r="14505" spans="19:19" ht="15.75">
      <c r="S14505" s="1"/>
    </row>
    <row r="14506" spans="19:19" ht="15.75">
      <c r="S14506" s="1"/>
    </row>
    <row r="14507" spans="19:19" ht="15.75">
      <c r="S14507" s="1"/>
    </row>
    <row r="14508" spans="19:19" ht="15.75">
      <c r="S14508" s="1"/>
    </row>
    <row r="14509" spans="19:19" ht="15.75">
      <c r="S14509" s="1"/>
    </row>
    <row r="14510" spans="19:19" ht="15.75">
      <c r="S14510" s="1"/>
    </row>
    <row r="14511" spans="19:19" ht="15.75">
      <c r="S14511" s="1"/>
    </row>
    <row r="14512" spans="19:19" ht="15.75">
      <c r="S14512" s="1"/>
    </row>
    <row r="14513" spans="19:19" ht="15.75">
      <c r="S14513" s="1"/>
    </row>
    <row r="14514" spans="19:19" ht="15.75">
      <c r="S14514" s="1"/>
    </row>
    <row r="14515" spans="19:19" ht="15.75">
      <c r="S14515" s="1"/>
    </row>
    <row r="14516" spans="19:19" ht="15.75">
      <c r="S14516" s="1"/>
    </row>
    <row r="14517" spans="19:19" ht="15.75">
      <c r="S14517" s="1"/>
    </row>
    <row r="14518" spans="19:19" ht="15.75">
      <c r="S14518" s="1"/>
    </row>
    <row r="14519" spans="19:19" ht="15.75">
      <c r="S14519" s="1"/>
    </row>
    <row r="14520" spans="19:19" ht="15.75">
      <c r="S14520" s="1"/>
    </row>
    <row r="14521" spans="19:19" ht="15.75">
      <c r="S14521" s="1"/>
    </row>
    <row r="14522" spans="19:19" ht="15.75">
      <c r="S14522" s="1"/>
    </row>
    <row r="14523" spans="19:19" ht="15.75">
      <c r="S14523" s="1"/>
    </row>
    <row r="14524" spans="19:19" ht="15.75">
      <c r="S14524" s="1"/>
    </row>
    <row r="14525" spans="19:19" ht="15.75">
      <c r="S14525" s="1"/>
    </row>
    <row r="14526" spans="19:19" ht="15.75">
      <c r="S14526" s="1"/>
    </row>
    <row r="14527" spans="19:19" ht="15.75">
      <c r="S14527" s="1"/>
    </row>
    <row r="14528" spans="19:19" ht="15.75">
      <c r="S14528" s="1"/>
    </row>
    <row r="14529" spans="19:19" ht="15.75">
      <c r="S14529" s="1"/>
    </row>
    <row r="14530" spans="19:19" ht="15.75">
      <c r="S14530" s="1"/>
    </row>
    <row r="14531" spans="19:19" ht="15.75">
      <c r="S14531" s="1"/>
    </row>
    <row r="14532" spans="19:19" ht="15.75">
      <c r="S14532" s="1"/>
    </row>
    <row r="14533" spans="19:19" ht="15.75">
      <c r="S14533" s="1"/>
    </row>
    <row r="14534" spans="19:19" ht="15.75">
      <c r="S14534" s="1"/>
    </row>
    <row r="14535" spans="19:19" ht="15.75">
      <c r="S14535" s="1"/>
    </row>
    <row r="14536" spans="19:19" ht="15.75">
      <c r="S14536" s="1"/>
    </row>
    <row r="14537" spans="19:19" ht="15.75">
      <c r="S14537" s="1"/>
    </row>
    <row r="14538" spans="19:19" ht="15.75">
      <c r="S14538" s="1"/>
    </row>
    <row r="14539" spans="19:19" ht="15.75">
      <c r="S14539" s="1"/>
    </row>
    <row r="14540" spans="19:19" ht="15.75">
      <c r="S14540" s="1"/>
    </row>
    <row r="14541" spans="19:19" ht="15.75">
      <c r="S14541" s="1"/>
    </row>
    <row r="14542" spans="19:19" ht="15.75">
      <c r="S14542" s="1"/>
    </row>
    <row r="14543" spans="19:19" ht="15.75">
      <c r="S14543" s="1"/>
    </row>
    <row r="14544" spans="19:19" ht="15.75">
      <c r="S14544" s="1"/>
    </row>
    <row r="14545" spans="19:19" ht="15.75">
      <c r="S14545" s="1"/>
    </row>
    <row r="14546" spans="19:19" ht="15.75">
      <c r="S14546" s="1"/>
    </row>
    <row r="14547" spans="19:19" ht="15.75">
      <c r="S14547" s="1"/>
    </row>
    <row r="14548" spans="19:19" ht="15.75">
      <c r="S14548" s="1"/>
    </row>
    <row r="14549" spans="19:19" ht="15.75">
      <c r="S14549" s="1"/>
    </row>
    <row r="14550" spans="19:19" ht="15.75">
      <c r="S14550" s="1"/>
    </row>
    <row r="14551" spans="19:19" ht="15.75">
      <c r="S14551" s="1"/>
    </row>
    <row r="14552" spans="19:19" ht="15.75">
      <c r="S14552" s="1"/>
    </row>
    <row r="14553" spans="19:19" ht="15.75">
      <c r="S14553" s="1"/>
    </row>
    <row r="14554" spans="19:19" ht="15.75">
      <c r="S14554" s="1"/>
    </row>
    <row r="14555" spans="19:19" ht="15.75">
      <c r="S14555" s="1"/>
    </row>
    <row r="14556" spans="19:19" ht="15.75">
      <c r="S14556" s="1"/>
    </row>
    <row r="14557" spans="19:19" ht="15.75">
      <c r="S14557" s="1"/>
    </row>
    <row r="14558" spans="19:19" ht="15.75">
      <c r="S14558" s="1"/>
    </row>
    <row r="14559" spans="19:19" ht="15.75">
      <c r="S14559" s="1"/>
    </row>
    <row r="14560" spans="19:19" ht="15.75">
      <c r="S14560" s="1"/>
    </row>
    <row r="14561" spans="19:19" ht="15.75">
      <c r="S14561" s="1"/>
    </row>
    <row r="14562" spans="19:19" ht="15.75">
      <c r="S14562" s="1"/>
    </row>
    <row r="14563" spans="19:19" ht="15.75">
      <c r="S14563" s="1"/>
    </row>
    <row r="14564" spans="19:19" ht="15.75">
      <c r="S14564" s="1"/>
    </row>
    <row r="14565" spans="19:19" ht="15.75">
      <c r="S14565" s="1"/>
    </row>
    <row r="14566" spans="19:19" ht="15.75">
      <c r="S14566" s="1"/>
    </row>
    <row r="14567" spans="19:19" ht="15.75">
      <c r="S14567" s="1"/>
    </row>
    <row r="14568" spans="19:19" ht="15.75">
      <c r="S14568" s="1"/>
    </row>
    <row r="14569" spans="19:19" ht="15.75">
      <c r="S14569" s="1"/>
    </row>
    <row r="14570" spans="19:19" ht="15.75">
      <c r="S14570" s="1"/>
    </row>
    <row r="14571" spans="19:19" ht="15.75">
      <c r="S14571" s="1"/>
    </row>
    <row r="14572" spans="19:19" ht="15.75">
      <c r="S14572" s="1"/>
    </row>
    <row r="14573" spans="19:19" ht="15.75">
      <c r="S14573" s="1"/>
    </row>
    <row r="14574" spans="19:19" ht="15.75">
      <c r="S14574" s="1"/>
    </row>
    <row r="14575" spans="19:19" ht="15.75">
      <c r="S14575" s="1"/>
    </row>
    <row r="14576" spans="19:19" ht="15.75">
      <c r="S14576" s="1"/>
    </row>
    <row r="14577" spans="19:19" ht="15.75">
      <c r="S14577" s="1"/>
    </row>
    <row r="14578" spans="19:19" ht="15.75">
      <c r="S14578" s="1"/>
    </row>
    <row r="14579" spans="19:19" ht="15.75">
      <c r="S14579" s="1"/>
    </row>
    <row r="14580" spans="19:19" ht="15.75">
      <c r="S14580" s="1"/>
    </row>
    <row r="14581" spans="19:19" ht="15.75">
      <c r="S14581" s="1"/>
    </row>
    <row r="14582" spans="19:19" ht="15.75">
      <c r="S14582" s="1"/>
    </row>
    <row r="14583" spans="19:19" ht="15.75">
      <c r="S14583" s="1"/>
    </row>
    <row r="14584" spans="19:19" ht="15.75">
      <c r="S14584" s="1"/>
    </row>
    <row r="14585" spans="19:19" ht="15.75">
      <c r="S14585" s="1"/>
    </row>
    <row r="14586" spans="19:19" ht="15.75">
      <c r="S14586" s="1"/>
    </row>
    <row r="14587" spans="19:19" ht="15.75">
      <c r="S14587" s="1"/>
    </row>
    <row r="14588" spans="19:19" ht="15.75">
      <c r="S14588" s="1"/>
    </row>
    <row r="14589" spans="19:19" ht="15.75">
      <c r="S14589" s="1"/>
    </row>
    <row r="14590" spans="19:19" ht="15.75">
      <c r="S14590" s="1"/>
    </row>
    <row r="14591" spans="19:19" ht="15.75">
      <c r="S14591" s="1"/>
    </row>
    <row r="14592" spans="19:19" ht="15.75">
      <c r="S14592" s="1"/>
    </row>
    <row r="14593" spans="19:19" ht="15.75">
      <c r="S14593" s="1"/>
    </row>
    <row r="14594" spans="19:19" ht="15.75">
      <c r="S14594" s="1"/>
    </row>
    <row r="14595" spans="19:19" ht="15.75">
      <c r="S14595" s="1"/>
    </row>
    <row r="14596" spans="19:19" ht="15.75">
      <c r="S14596" s="1"/>
    </row>
    <row r="14597" spans="19:19" ht="15.75">
      <c r="S14597" s="1"/>
    </row>
    <row r="14598" spans="19:19" ht="15.75">
      <c r="S14598" s="1"/>
    </row>
    <row r="14599" spans="19:19" ht="15.75">
      <c r="S14599" s="1"/>
    </row>
    <row r="14600" spans="19:19" ht="15.75">
      <c r="S14600" s="1"/>
    </row>
    <row r="14601" spans="19:19" ht="15.75">
      <c r="S14601" s="1"/>
    </row>
    <row r="14602" spans="19:19" ht="15.75">
      <c r="S14602" s="1"/>
    </row>
    <row r="14603" spans="19:19" ht="15.75">
      <c r="S14603" s="1"/>
    </row>
    <row r="14604" spans="19:19" ht="15.75">
      <c r="S14604" s="1"/>
    </row>
    <row r="14605" spans="19:19" ht="15.75">
      <c r="S14605" s="1"/>
    </row>
    <row r="14606" spans="19:19" ht="15.75">
      <c r="S14606" s="1"/>
    </row>
    <row r="14607" spans="19:19" ht="15.75">
      <c r="S14607" s="1"/>
    </row>
    <row r="14608" spans="19:19" ht="15.75">
      <c r="S14608" s="1"/>
    </row>
    <row r="14609" spans="19:19" ht="15.75">
      <c r="S14609" s="1"/>
    </row>
    <row r="14610" spans="19:19" ht="15.75">
      <c r="S14610" s="1"/>
    </row>
    <row r="14611" spans="19:19" ht="15.75">
      <c r="S14611" s="1"/>
    </row>
    <row r="14612" spans="19:19" ht="15.75">
      <c r="S14612" s="1"/>
    </row>
    <row r="14613" spans="19:19" ht="15.75">
      <c r="S14613" s="1"/>
    </row>
    <row r="14614" spans="19:19" ht="15.75">
      <c r="S14614" s="1"/>
    </row>
    <row r="14615" spans="19:19" ht="15.75">
      <c r="S14615" s="1"/>
    </row>
    <row r="14616" spans="19:19" ht="15.75">
      <c r="S14616" s="1"/>
    </row>
    <row r="14617" spans="19:19" ht="15.75">
      <c r="S14617" s="1"/>
    </row>
    <row r="14618" spans="19:19" ht="15.75">
      <c r="S14618" s="1"/>
    </row>
    <row r="14619" spans="19:19" ht="15.75">
      <c r="S14619" s="1"/>
    </row>
    <row r="14620" spans="19:19" ht="15.75">
      <c r="S14620" s="1"/>
    </row>
    <row r="14621" spans="19:19" ht="15.75">
      <c r="S14621" s="1"/>
    </row>
    <row r="14622" spans="19:19" ht="15.75">
      <c r="S14622" s="1"/>
    </row>
    <row r="14623" spans="19:19" ht="15.75">
      <c r="S14623" s="1"/>
    </row>
    <row r="14624" spans="19:19" ht="15.75">
      <c r="S14624" s="1"/>
    </row>
    <row r="14625" spans="19:19" ht="15.75">
      <c r="S14625" s="1"/>
    </row>
    <row r="14626" spans="19:19" ht="15.75">
      <c r="S14626" s="1"/>
    </row>
    <row r="14627" spans="19:19" ht="15.75">
      <c r="S14627" s="1"/>
    </row>
    <row r="14628" spans="19:19" ht="15.75">
      <c r="S14628" s="1"/>
    </row>
    <row r="14629" spans="19:19" ht="15.75">
      <c r="S14629" s="1"/>
    </row>
    <row r="14630" spans="19:19" ht="15.75">
      <c r="S14630" s="1"/>
    </row>
    <row r="14631" spans="19:19" ht="15.75">
      <c r="S14631" s="1"/>
    </row>
    <row r="14632" spans="19:19" ht="15.75">
      <c r="S14632" s="1"/>
    </row>
    <row r="14633" spans="19:19" ht="15.75">
      <c r="S14633" s="1"/>
    </row>
    <row r="14634" spans="19:19" ht="15.75">
      <c r="S14634" s="1"/>
    </row>
    <row r="14635" spans="19:19" ht="15.75">
      <c r="S14635" s="1"/>
    </row>
    <row r="14636" spans="19:19" ht="15.75">
      <c r="S14636" s="1"/>
    </row>
    <row r="14637" spans="19:19" ht="15.75">
      <c r="S14637" s="1"/>
    </row>
    <row r="14638" spans="19:19" ht="15.75">
      <c r="S14638" s="1"/>
    </row>
    <row r="14639" spans="19:19" ht="15.75">
      <c r="S14639" s="1"/>
    </row>
    <row r="14640" spans="19:19" ht="15.75">
      <c r="S14640" s="1"/>
    </row>
    <row r="14641" spans="19:19" ht="15.75">
      <c r="S14641" s="1"/>
    </row>
    <row r="14642" spans="19:19" ht="15.75">
      <c r="S14642" s="1"/>
    </row>
    <row r="14643" spans="19:19" ht="15.75">
      <c r="S14643" s="1"/>
    </row>
    <row r="14644" spans="19:19" ht="15.75">
      <c r="S14644" s="1"/>
    </row>
    <row r="14645" spans="19:19" ht="15.75">
      <c r="S14645" s="1"/>
    </row>
    <row r="14646" spans="19:19" ht="15.75">
      <c r="S14646" s="1"/>
    </row>
    <row r="14647" spans="19:19" ht="15.75">
      <c r="S14647" s="1"/>
    </row>
    <row r="14648" spans="19:19" ht="15.75">
      <c r="S14648" s="1"/>
    </row>
    <row r="14649" spans="19:19" ht="15.75">
      <c r="S14649" s="1"/>
    </row>
    <row r="14650" spans="19:19" ht="15.75">
      <c r="S14650" s="1"/>
    </row>
    <row r="14651" spans="19:19" ht="15.75">
      <c r="S14651" s="1"/>
    </row>
    <row r="14652" spans="19:19" ht="15.75">
      <c r="S14652" s="1"/>
    </row>
    <row r="14653" spans="19:19" ht="15.75">
      <c r="S14653" s="1"/>
    </row>
    <row r="14654" spans="19:19" ht="15.75">
      <c r="S14654" s="1"/>
    </row>
    <row r="14655" spans="19:19" ht="15.75">
      <c r="S14655" s="1"/>
    </row>
    <row r="14656" spans="19:19" ht="15.75">
      <c r="S14656" s="1"/>
    </row>
    <row r="14657" spans="19:19" ht="15.75">
      <c r="S14657" s="1"/>
    </row>
    <row r="14658" spans="19:19" ht="15.75">
      <c r="S14658" s="1"/>
    </row>
    <row r="14659" spans="19:19" ht="15.75">
      <c r="S14659" s="1"/>
    </row>
    <row r="14660" spans="19:19" ht="15.75">
      <c r="S14660" s="1"/>
    </row>
    <row r="14661" spans="19:19" ht="15.75">
      <c r="S14661" s="1"/>
    </row>
    <row r="14662" spans="19:19" ht="15.75">
      <c r="S14662" s="1"/>
    </row>
    <row r="14663" spans="19:19" ht="15.75">
      <c r="S14663" s="1"/>
    </row>
    <row r="14664" spans="19:19" ht="15.75">
      <c r="S14664" s="1"/>
    </row>
    <row r="14665" spans="19:19" ht="15.75">
      <c r="S14665" s="1"/>
    </row>
    <row r="14666" spans="19:19" ht="15.75">
      <c r="S14666" s="1"/>
    </row>
    <row r="14667" spans="19:19" ht="15.75">
      <c r="S14667" s="1"/>
    </row>
    <row r="14668" spans="19:19" ht="15.75">
      <c r="S14668" s="1"/>
    </row>
    <row r="14669" spans="19:19" ht="15.75">
      <c r="S14669" s="1"/>
    </row>
    <row r="14670" spans="19:19" ht="15.75">
      <c r="S14670" s="1"/>
    </row>
    <row r="14671" spans="19:19" ht="15.75">
      <c r="S14671" s="1"/>
    </row>
    <row r="14672" spans="19:19" ht="15.75">
      <c r="S14672" s="1"/>
    </row>
    <row r="14673" spans="19:19" ht="15.75">
      <c r="S14673" s="1"/>
    </row>
    <row r="14674" spans="19:19" ht="15.75">
      <c r="S14674" s="1"/>
    </row>
    <row r="14675" spans="19:19" ht="15.75">
      <c r="S14675" s="1"/>
    </row>
    <row r="14676" spans="19:19" ht="15.75">
      <c r="S14676" s="1"/>
    </row>
    <row r="14677" spans="19:19" ht="15.75">
      <c r="S14677" s="1"/>
    </row>
    <row r="14678" spans="19:19" ht="15.75">
      <c r="S14678" s="1"/>
    </row>
    <row r="14679" spans="19:19" ht="15.75">
      <c r="S14679" s="1"/>
    </row>
    <row r="14680" spans="19:19" ht="15.75">
      <c r="S14680" s="1"/>
    </row>
    <row r="14681" spans="19:19" ht="15.75">
      <c r="S14681" s="1"/>
    </row>
    <row r="14682" spans="19:19" ht="15.75">
      <c r="S14682" s="1"/>
    </row>
    <row r="14683" spans="19:19" ht="15.75">
      <c r="S14683" s="1"/>
    </row>
    <row r="14684" spans="19:19" ht="15.75">
      <c r="S14684" s="1"/>
    </row>
    <row r="14685" spans="19:19" ht="15.75">
      <c r="S14685" s="1"/>
    </row>
    <row r="14686" spans="19:19" ht="15.75">
      <c r="S14686" s="1"/>
    </row>
    <row r="14687" spans="19:19" ht="15.75">
      <c r="S14687" s="1"/>
    </row>
    <row r="14688" spans="19:19" ht="15.75">
      <c r="S14688" s="1"/>
    </row>
    <row r="14689" spans="19:19" ht="15.75">
      <c r="S14689" s="1"/>
    </row>
    <row r="14690" spans="19:19" ht="15.75">
      <c r="S14690" s="1"/>
    </row>
    <row r="14691" spans="19:19" ht="15.75">
      <c r="S14691" s="1"/>
    </row>
    <row r="14692" spans="19:19" ht="15.75">
      <c r="S14692" s="1"/>
    </row>
    <row r="14693" spans="19:19" ht="15.75">
      <c r="S14693" s="1"/>
    </row>
    <row r="14694" spans="19:19" ht="15.75">
      <c r="S14694" s="1"/>
    </row>
    <row r="14695" spans="19:19" ht="15.75">
      <c r="S14695" s="1"/>
    </row>
    <row r="14696" spans="19:19" ht="15.75">
      <c r="S14696" s="1"/>
    </row>
    <row r="14697" spans="19:19" ht="15.75">
      <c r="S14697" s="1"/>
    </row>
    <row r="14698" spans="19:19" ht="15.75">
      <c r="S14698" s="1"/>
    </row>
    <row r="14699" spans="19:19" ht="15.75">
      <c r="S14699" s="1"/>
    </row>
    <row r="14700" spans="19:19" ht="15.75">
      <c r="S14700" s="1"/>
    </row>
    <row r="14701" spans="19:19" ht="15.75">
      <c r="S14701" s="1"/>
    </row>
    <row r="14702" spans="19:19" ht="15.75">
      <c r="S14702" s="1"/>
    </row>
    <row r="14703" spans="19:19" ht="15.75">
      <c r="S14703" s="1"/>
    </row>
    <row r="14704" spans="19:19" ht="15.75">
      <c r="S14704" s="1"/>
    </row>
    <row r="14705" spans="19:19" ht="15.75">
      <c r="S14705" s="1"/>
    </row>
    <row r="14706" spans="19:19" ht="15.75">
      <c r="S14706" s="1"/>
    </row>
    <row r="14707" spans="19:19" ht="15.75">
      <c r="S14707" s="1"/>
    </row>
    <row r="14708" spans="19:19" ht="15.75">
      <c r="S14708" s="1"/>
    </row>
    <row r="14709" spans="19:19" ht="15.75">
      <c r="S14709" s="1"/>
    </row>
    <row r="14710" spans="19:19" ht="15.75">
      <c r="S14710" s="1"/>
    </row>
    <row r="14711" spans="19:19" ht="15.75">
      <c r="S14711" s="1"/>
    </row>
    <row r="14712" spans="19:19" ht="15.75">
      <c r="S14712" s="1"/>
    </row>
    <row r="14713" spans="19:19" ht="15.75">
      <c r="S14713" s="1"/>
    </row>
    <row r="14714" spans="19:19" ht="15.75">
      <c r="S14714" s="1"/>
    </row>
    <row r="14715" spans="19:19" ht="15.75">
      <c r="S14715" s="1"/>
    </row>
    <row r="14716" spans="19:19" ht="15.75">
      <c r="S14716" s="1"/>
    </row>
    <row r="14717" spans="19:19" ht="15.75">
      <c r="S14717" s="1"/>
    </row>
    <row r="14718" spans="19:19" ht="15.75">
      <c r="S14718" s="1"/>
    </row>
    <row r="14719" spans="19:19" ht="15.75">
      <c r="S14719" s="1"/>
    </row>
    <row r="14720" spans="19:19" ht="15.75">
      <c r="S14720" s="1"/>
    </row>
    <row r="14721" spans="19:19" ht="15.75">
      <c r="S14721" s="1"/>
    </row>
    <row r="14722" spans="19:19" ht="15.75">
      <c r="S14722" s="1"/>
    </row>
    <row r="14723" spans="19:19" ht="15.75">
      <c r="S14723" s="1"/>
    </row>
    <row r="14724" spans="19:19" ht="15.75">
      <c r="S14724" s="1"/>
    </row>
    <row r="14725" spans="19:19" ht="15.75">
      <c r="S14725" s="1"/>
    </row>
    <row r="14726" spans="19:19" ht="15.75">
      <c r="S14726" s="1"/>
    </row>
    <row r="14727" spans="19:19" ht="15.75">
      <c r="S14727" s="1"/>
    </row>
    <row r="14728" spans="19:19" ht="15.75">
      <c r="S14728" s="1"/>
    </row>
    <row r="14729" spans="19:19" ht="15.75">
      <c r="S14729" s="1"/>
    </row>
    <row r="14730" spans="19:19" ht="15.75">
      <c r="S14730" s="1"/>
    </row>
    <row r="14731" spans="19:19" ht="15.75">
      <c r="S14731" s="1"/>
    </row>
    <row r="14732" spans="19:19" ht="15.75">
      <c r="S14732" s="1"/>
    </row>
    <row r="14733" spans="19:19" ht="15.75">
      <c r="S14733" s="1"/>
    </row>
    <row r="14734" spans="19:19" ht="15.75">
      <c r="S14734" s="1"/>
    </row>
    <row r="14735" spans="19:19" ht="15.75">
      <c r="S14735" s="1"/>
    </row>
    <row r="14736" spans="19:19" ht="15.75">
      <c r="S14736" s="1"/>
    </row>
    <row r="14737" spans="19:19" ht="15.75">
      <c r="S14737" s="1"/>
    </row>
    <row r="14738" spans="19:19" ht="15.75">
      <c r="S14738" s="1"/>
    </row>
    <row r="14739" spans="19:19" ht="15.75">
      <c r="S14739" s="1"/>
    </row>
    <row r="14740" spans="19:19" ht="15.75">
      <c r="S14740" s="1"/>
    </row>
    <row r="14741" spans="19:19" ht="15.75">
      <c r="S14741" s="1"/>
    </row>
    <row r="14742" spans="19:19" ht="15.75">
      <c r="S14742" s="1"/>
    </row>
    <row r="14743" spans="19:19" ht="15.75">
      <c r="S14743" s="1"/>
    </row>
    <row r="14744" spans="19:19" ht="15.75">
      <c r="S14744" s="1"/>
    </row>
    <row r="14745" spans="19:19" ht="15.75">
      <c r="S14745" s="1"/>
    </row>
    <row r="14746" spans="19:19" ht="15.75">
      <c r="S14746" s="1"/>
    </row>
    <row r="14747" spans="19:19" ht="15.75">
      <c r="S14747" s="1"/>
    </row>
    <row r="14748" spans="19:19" ht="15.75">
      <c r="S14748" s="1"/>
    </row>
    <row r="14749" spans="19:19" ht="15.75">
      <c r="S14749" s="1"/>
    </row>
    <row r="14750" spans="19:19" ht="15.75">
      <c r="S14750" s="1"/>
    </row>
    <row r="14751" spans="19:19" ht="15.75">
      <c r="S14751" s="1"/>
    </row>
    <row r="14752" spans="19:19" ht="15.75">
      <c r="S14752" s="1"/>
    </row>
    <row r="14753" spans="19:19" ht="15.75">
      <c r="S14753" s="1"/>
    </row>
    <row r="14754" spans="19:19" ht="15.75">
      <c r="S14754" s="1"/>
    </row>
    <row r="14755" spans="19:19" ht="15.75">
      <c r="S14755" s="1"/>
    </row>
    <row r="14756" spans="19:19" ht="15.75">
      <c r="S14756" s="1"/>
    </row>
    <row r="14757" spans="19:19" ht="15.75">
      <c r="S14757" s="1"/>
    </row>
    <row r="14758" spans="19:19" ht="15.75">
      <c r="S14758" s="1"/>
    </row>
    <row r="14759" spans="19:19" ht="15.75">
      <c r="S14759" s="1"/>
    </row>
    <row r="14760" spans="19:19" ht="15.75">
      <c r="S14760" s="1"/>
    </row>
    <row r="14761" spans="19:19" ht="15.75">
      <c r="S14761" s="1"/>
    </row>
    <row r="14762" spans="19:19" ht="15.75">
      <c r="S14762" s="1"/>
    </row>
    <row r="14763" spans="19:19" ht="15.75">
      <c r="S14763" s="1"/>
    </row>
    <row r="14764" spans="19:19" ht="15.75">
      <c r="S14764" s="1"/>
    </row>
    <row r="14765" spans="19:19" ht="15.75">
      <c r="S14765" s="1"/>
    </row>
    <row r="14766" spans="19:19" ht="15.75">
      <c r="S14766" s="1"/>
    </row>
    <row r="14767" spans="19:19" ht="15.75">
      <c r="S14767" s="1"/>
    </row>
    <row r="14768" spans="19:19" ht="15.75">
      <c r="S14768" s="1"/>
    </row>
    <row r="14769" spans="19:19" ht="15.75">
      <c r="S14769" s="1"/>
    </row>
    <row r="14770" spans="19:19" ht="15.75">
      <c r="S14770" s="1"/>
    </row>
    <row r="14771" spans="19:19" ht="15.75">
      <c r="S14771" s="1"/>
    </row>
    <row r="14772" spans="19:19" ht="15.75">
      <c r="S14772" s="1"/>
    </row>
    <row r="14773" spans="19:19" ht="15.75">
      <c r="S14773" s="1"/>
    </row>
    <row r="14774" spans="19:19" ht="15.75">
      <c r="S14774" s="1"/>
    </row>
    <row r="14775" spans="19:19" ht="15.75">
      <c r="S14775" s="1"/>
    </row>
    <row r="14776" spans="19:19" ht="15.75">
      <c r="S14776" s="1"/>
    </row>
    <row r="14777" spans="19:19" ht="15.75">
      <c r="S14777" s="1"/>
    </row>
    <row r="14778" spans="19:19" ht="15.75">
      <c r="S14778" s="1"/>
    </row>
    <row r="14779" spans="19:19" ht="15.75">
      <c r="S14779" s="1"/>
    </row>
    <row r="14780" spans="19:19" ht="15.75">
      <c r="S14780" s="1"/>
    </row>
    <row r="14781" spans="19:19" ht="15.75">
      <c r="S14781" s="1"/>
    </row>
    <row r="14782" spans="19:19" ht="15.75">
      <c r="S14782" s="1"/>
    </row>
    <row r="14783" spans="19:19" ht="15.75">
      <c r="S14783" s="1"/>
    </row>
    <row r="14784" spans="19:19" ht="15.75">
      <c r="S14784" s="1"/>
    </row>
    <row r="14785" spans="19:19" ht="15.75">
      <c r="S14785" s="1"/>
    </row>
    <row r="14786" spans="19:19" ht="15.75">
      <c r="S14786" s="1"/>
    </row>
    <row r="14787" spans="19:19" ht="15.75">
      <c r="S14787" s="1"/>
    </row>
    <row r="14788" spans="19:19" ht="15.75">
      <c r="S14788" s="1"/>
    </row>
    <row r="14789" spans="19:19" ht="15.75">
      <c r="S14789" s="1"/>
    </row>
    <row r="14790" spans="19:19" ht="15.75">
      <c r="S14790" s="1"/>
    </row>
    <row r="14791" spans="19:19" ht="15.75">
      <c r="S14791" s="1"/>
    </row>
    <row r="14792" spans="19:19" ht="15.75">
      <c r="S14792" s="1"/>
    </row>
    <row r="14793" spans="19:19" ht="15.75">
      <c r="S14793" s="1"/>
    </row>
    <row r="14794" spans="19:19" ht="15.75">
      <c r="S14794" s="1"/>
    </row>
    <row r="14795" spans="19:19" ht="15.75">
      <c r="S14795" s="1"/>
    </row>
    <row r="14796" spans="19:19" ht="15.75">
      <c r="S14796" s="1"/>
    </row>
    <row r="14797" spans="19:19" ht="15.75">
      <c r="S14797" s="1"/>
    </row>
    <row r="14798" spans="19:19" ht="15.75">
      <c r="S14798" s="1"/>
    </row>
    <row r="14799" spans="19:19" ht="15.75">
      <c r="S14799" s="1"/>
    </row>
    <row r="14800" spans="19:19" ht="15.75">
      <c r="S14800" s="1"/>
    </row>
    <row r="14801" spans="19:19" ht="15.75">
      <c r="S14801" s="1"/>
    </row>
    <row r="14802" spans="19:19" ht="15.75">
      <c r="S14802" s="1"/>
    </row>
    <row r="14803" spans="19:19" ht="15.75">
      <c r="S14803" s="1"/>
    </row>
    <row r="14804" spans="19:19" ht="15.75">
      <c r="S14804" s="1"/>
    </row>
    <row r="14805" spans="19:19" ht="15.75">
      <c r="S14805" s="1"/>
    </row>
    <row r="14806" spans="19:19" ht="15.75">
      <c r="S14806" s="1"/>
    </row>
    <row r="14807" spans="19:19" ht="15.75">
      <c r="S14807" s="1"/>
    </row>
    <row r="14808" spans="19:19" ht="15.75">
      <c r="S14808" s="1"/>
    </row>
    <row r="14809" spans="19:19" ht="15.75">
      <c r="S14809" s="1"/>
    </row>
    <row r="14810" spans="19:19" ht="15.75">
      <c r="S14810" s="1"/>
    </row>
    <row r="14811" spans="19:19" ht="15.75">
      <c r="S14811" s="1"/>
    </row>
    <row r="14812" spans="19:19" ht="15.75">
      <c r="S14812" s="1"/>
    </row>
    <row r="14813" spans="19:19" ht="15.75">
      <c r="S14813" s="1"/>
    </row>
    <row r="14814" spans="19:19" ht="15.75">
      <c r="S14814" s="1"/>
    </row>
    <row r="14815" spans="19:19" ht="15.75">
      <c r="S14815" s="1"/>
    </row>
    <row r="14816" spans="19:19" ht="15.75">
      <c r="S14816" s="1"/>
    </row>
    <row r="14817" spans="19:19" ht="15.75">
      <c r="S14817" s="1"/>
    </row>
    <row r="14818" spans="19:19" ht="15.75">
      <c r="S14818" s="1"/>
    </row>
    <row r="14819" spans="19:19" ht="15.75">
      <c r="S14819" s="1"/>
    </row>
    <row r="14820" spans="19:19" ht="15.75">
      <c r="S14820" s="1"/>
    </row>
    <row r="14821" spans="19:19" ht="15.75">
      <c r="S14821" s="1"/>
    </row>
    <row r="14822" spans="19:19" ht="15.75">
      <c r="S14822" s="1"/>
    </row>
    <row r="14823" spans="19:19" ht="15.75">
      <c r="S14823" s="1"/>
    </row>
    <row r="14824" spans="19:19" ht="15.75">
      <c r="S14824" s="1"/>
    </row>
    <row r="14825" spans="19:19" ht="15.75">
      <c r="S14825" s="1"/>
    </row>
    <row r="14826" spans="19:19" ht="15.75">
      <c r="S14826" s="1"/>
    </row>
    <row r="14827" spans="19:19" ht="15.75">
      <c r="S14827" s="1"/>
    </row>
    <row r="14828" spans="19:19" ht="15.75">
      <c r="S14828" s="1"/>
    </row>
    <row r="14829" spans="19:19" ht="15.75">
      <c r="S14829" s="1"/>
    </row>
    <row r="14830" spans="19:19" ht="15.75">
      <c r="S14830" s="1"/>
    </row>
    <row r="14831" spans="19:19" ht="15.75">
      <c r="S14831" s="1"/>
    </row>
    <row r="14832" spans="19:19" ht="15.75">
      <c r="S14832" s="1"/>
    </row>
    <row r="14833" spans="19:19" ht="15.75">
      <c r="S14833" s="1"/>
    </row>
    <row r="14834" spans="19:19" ht="15.75">
      <c r="S14834" s="1"/>
    </row>
    <row r="14835" spans="19:19" ht="15.75">
      <c r="S14835" s="1"/>
    </row>
    <row r="14836" spans="19:19" ht="15.75">
      <c r="S14836" s="1"/>
    </row>
    <row r="14837" spans="19:19" ht="15.75">
      <c r="S14837" s="1"/>
    </row>
    <row r="14838" spans="19:19" ht="15.75">
      <c r="S14838" s="1"/>
    </row>
    <row r="14839" spans="19:19" ht="15.75">
      <c r="S14839" s="1"/>
    </row>
    <row r="14840" spans="19:19" ht="15.75">
      <c r="S14840" s="1"/>
    </row>
    <row r="14841" spans="19:19" ht="15.75">
      <c r="S14841" s="1"/>
    </row>
    <row r="14842" spans="19:19" ht="15.75">
      <c r="S14842" s="1"/>
    </row>
    <row r="14843" spans="19:19" ht="15.75">
      <c r="S14843" s="1"/>
    </row>
    <row r="14844" spans="19:19" ht="15.75">
      <c r="S14844" s="1"/>
    </row>
    <row r="14845" spans="19:19" ht="15.75">
      <c r="S14845" s="1"/>
    </row>
    <row r="14846" spans="19:19" ht="15.75">
      <c r="S14846" s="1"/>
    </row>
    <row r="14847" spans="19:19" ht="15.75">
      <c r="S14847" s="1"/>
    </row>
    <row r="14848" spans="19:19" ht="15.75">
      <c r="S14848" s="1"/>
    </row>
    <row r="14849" spans="19:19" ht="15.75">
      <c r="S14849" s="1"/>
    </row>
    <row r="14850" spans="19:19" ht="15.75">
      <c r="S14850" s="1"/>
    </row>
    <row r="14851" spans="19:19" ht="15.75">
      <c r="S14851" s="1"/>
    </row>
    <row r="14852" spans="19:19" ht="15.75">
      <c r="S14852" s="1"/>
    </row>
    <row r="14853" spans="19:19" ht="15.75">
      <c r="S14853" s="1"/>
    </row>
    <row r="14854" spans="19:19" ht="15.75">
      <c r="S14854" s="1"/>
    </row>
    <row r="14855" spans="19:19" ht="15.75">
      <c r="S14855" s="1"/>
    </row>
    <row r="14856" spans="19:19" ht="15.75">
      <c r="S14856" s="1"/>
    </row>
    <row r="14857" spans="19:19" ht="15.75">
      <c r="S14857" s="1"/>
    </row>
    <row r="14858" spans="19:19" ht="15.75">
      <c r="S14858" s="1"/>
    </row>
    <row r="14859" spans="19:19" ht="15.75">
      <c r="S14859" s="1"/>
    </row>
    <row r="14860" spans="19:19" ht="15.75">
      <c r="S14860" s="1"/>
    </row>
    <row r="14861" spans="19:19" ht="15.75">
      <c r="S14861" s="1"/>
    </row>
    <row r="14862" spans="19:19" ht="15.75">
      <c r="S14862" s="1"/>
    </row>
    <row r="14863" spans="19:19" ht="15.75">
      <c r="S14863" s="1"/>
    </row>
    <row r="14864" spans="19:19" ht="15.75">
      <c r="S14864" s="1"/>
    </row>
    <row r="14865" spans="19:19" ht="15.75">
      <c r="S14865" s="1"/>
    </row>
    <row r="14866" spans="19:19" ht="15.75">
      <c r="S14866" s="1"/>
    </row>
    <row r="14867" spans="19:19" ht="15.75">
      <c r="S14867" s="1"/>
    </row>
    <row r="14868" spans="19:19" ht="15.75">
      <c r="S14868" s="1"/>
    </row>
    <row r="14869" spans="19:19" ht="15.75">
      <c r="S14869" s="1"/>
    </row>
    <row r="14870" spans="19:19" ht="15.75">
      <c r="S14870" s="1"/>
    </row>
    <row r="14871" spans="19:19" ht="15.75">
      <c r="S14871" s="1"/>
    </row>
    <row r="14872" spans="19:19" ht="15.75">
      <c r="S14872" s="1"/>
    </row>
    <row r="14873" spans="19:19" ht="15.75">
      <c r="S14873" s="1"/>
    </row>
    <row r="14874" spans="19:19" ht="15.75">
      <c r="S14874" s="1"/>
    </row>
    <row r="14875" spans="19:19" ht="15.75">
      <c r="S14875" s="1"/>
    </row>
    <row r="14876" spans="19:19" ht="15.75">
      <c r="S14876" s="1"/>
    </row>
    <row r="14877" spans="19:19" ht="15.75">
      <c r="S14877" s="1"/>
    </row>
    <row r="14878" spans="19:19" ht="15.75">
      <c r="S14878" s="1"/>
    </row>
    <row r="14879" spans="19:19" ht="15.75">
      <c r="S14879" s="1"/>
    </row>
    <row r="14880" spans="19:19" ht="15.75">
      <c r="S14880" s="1"/>
    </row>
    <row r="14881" spans="19:19" ht="15.75">
      <c r="S14881" s="1"/>
    </row>
    <row r="14882" spans="19:19" ht="15.75">
      <c r="S14882" s="1"/>
    </row>
    <row r="14883" spans="19:19" ht="15.75">
      <c r="S14883" s="1"/>
    </row>
    <row r="14884" spans="19:19" ht="15.75">
      <c r="S14884" s="1"/>
    </row>
    <row r="14885" spans="19:19" ht="15.75">
      <c r="S14885" s="1"/>
    </row>
    <row r="14886" spans="19:19" ht="15.75">
      <c r="S14886" s="1"/>
    </row>
    <row r="14887" spans="19:19" ht="15.75">
      <c r="S14887" s="1"/>
    </row>
    <row r="14888" spans="19:19" ht="15.75">
      <c r="S14888" s="1"/>
    </row>
    <row r="14889" spans="19:19" ht="15.75">
      <c r="S14889" s="1"/>
    </row>
    <row r="14890" spans="19:19" ht="15.75">
      <c r="S14890" s="1"/>
    </row>
    <row r="14891" spans="19:19" ht="15.75">
      <c r="S14891" s="1"/>
    </row>
    <row r="14892" spans="19:19" ht="15.75">
      <c r="S14892" s="1"/>
    </row>
    <row r="14893" spans="19:19" ht="15.75">
      <c r="S14893" s="1"/>
    </row>
    <row r="14894" spans="19:19" ht="15.75">
      <c r="S14894" s="1"/>
    </row>
    <row r="14895" spans="19:19" ht="15.75">
      <c r="S14895" s="1"/>
    </row>
    <row r="14896" spans="19:19" ht="15.75">
      <c r="S14896" s="1"/>
    </row>
    <row r="14897" spans="19:19" ht="15.75">
      <c r="S14897" s="1"/>
    </row>
    <row r="14898" spans="19:19" ht="15.75">
      <c r="S14898" s="1"/>
    </row>
    <row r="14899" spans="19:19" ht="15.75">
      <c r="S14899" s="1"/>
    </row>
    <row r="14900" spans="19:19" ht="15.75">
      <c r="S14900" s="1"/>
    </row>
    <row r="14901" spans="19:19" ht="15.75">
      <c r="S14901" s="1"/>
    </row>
    <row r="14902" spans="19:19" ht="15.75">
      <c r="S14902" s="1"/>
    </row>
    <row r="14903" spans="19:19" ht="15.75">
      <c r="S14903" s="1"/>
    </row>
    <row r="14904" spans="19:19" ht="15.75">
      <c r="S14904" s="1"/>
    </row>
    <row r="14905" spans="19:19" ht="15.75">
      <c r="S14905" s="1"/>
    </row>
    <row r="14906" spans="19:19" ht="15.75">
      <c r="S14906" s="1"/>
    </row>
    <row r="14907" spans="19:19" ht="15.75">
      <c r="S14907" s="1"/>
    </row>
    <row r="14908" spans="19:19" ht="15.75">
      <c r="S14908" s="1"/>
    </row>
    <row r="14909" spans="19:19" ht="15.75">
      <c r="S14909" s="1"/>
    </row>
    <row r="14910" spans="19:19" ht="15.75">
      <c r="S14910" s="1"/>
    </row>
    <row r="14911" spans="19:19" ht="15.75">
      <c r="S14911" s="1"/>
    </row>
    <row r="14912" spans="19:19" ht="15.75">
      <c r="S14912" s="1"/>
    </row>
    <row r="14913" spans="19:19" ht="15.75">
      <c r="S14913" s="1"/>
    </row>
    <row r="14914" spans="19:19" ht="15.75">
      <c r="S14914" s="1"/>
    </row>
    <row r="14915" spans="19:19" ht="15.75">
      <c r="S14915" s="1"/>
    </row>
    <row r="14916" spans="19:19" ht="15.75">
      <c r="S14916" s="1"/>
    </row>
    <row r="14917" spans="19:19" ht="15.75">
      <c r="S14917" s="1"/>
    </row>
    <row r="14918" spans="19:19" ht="15.75">
      <c r="S14918" s="1"/>
    </row>
    <row r="14919" spans="19:19" ht="15.75">
      <c r="S14919" s="1"/>
    </row>
    <row r="14920" spans="19:19" ht="15.75">
      <c r="S14920" s="1"/>
    </row>
    <row r="14921" spans="19:19" ht="15.75">
      <c r="S14921" s="1"/>
    </row>
    <row r="14922" spans="19:19" ht="15.75">
      <c r="S14922" s="1"/>
    </row>
    <row r="14923" spans="19:19" ht="15.75">
      <c r="S14923" s="1"/>
    </row>
    <row r="14924" spans="19:19" ht="15.75">
      <c r="S14924" s="1"/>
    </row>
    <row r="14925" spans="19:19" ht="15.75">
      <c r="S14925" s="1"/>
    </row>
    <row r="14926" spans="19:19" ht="15.75">
      <c r="S14926" s="1"/>
    </row>
    <row r="14927" spans="19:19" ht="15.75">
      <c r="S14927" s="1"/>
    </row>
    <row r="14928" spans="19:19" ht="15.75">
      <c r="S14928" s="1"/>
    </row>
    <row r="14929" spans="19:19" ht="15.75">
      <c r="S14929" s="1"/>
    </row>
    <row r="14930" spans="19:19" ht="15.75">
      <c r="S14930" s="1"/>
    </row>
    <row r="14931" spans="19:19" ht="15.75">
      <c r="S14931" s="1"/>
    </row>
    <row r="14932" spans="19:19" ht="15.75">
      <c r="S14932" s="1"/>
    </row>
    <row r="14933" spans="19:19" ht="15.75">
      <c r="S14933" s="1"/>
    </row>
    <row r="14934" spans="19:19" ht="15.75">
      <c r="S14934" s="1"/>
    </row>
    <row r="14935" spans="19:19" ht="15.75">
      <c r="S14935" s="1"/>
    </row>
    <row r="14936" spans="19:19" ht="15.75">
      <c r="S14936" s="1"/>
    </row>
    <row r="14937" spans="19:19" ht="15.75">
      <c r="S14937" s="1"/>
    </row>
    <row r="14938" spans="19:19" ht="15.75">
      <c r="S14938" s="1"/>
    </row>
    <row r="14939" spans="19:19" ht="15.75">
      <c r="S14939" s="1"/>
    </row>
    <row r="14940" spans="19:19" ht="15.75">
      <c r="S14940" s="1"/>
    </row>
    <row r="14941" spans="19:19" ht="15.75">
      <c r="S14941" s="1"/>
    </row>
    <row r="14942" spans="19:19" ht="15.75">
      <c r="S14942" s="1"/>
    </row>
    <row r="14943" spans="19:19" ht="15.75">
      <c r="S14943" s="1"/>
    </row>
    <row r="14944" spans="19:19" ht="15.75">
      <c r="S14944" s="1"/>
    </row>
    <row r="14945" spans="19:19" ht="15.75">
      <c r="S14945" s="1"/>
    </row>
    <row r="14946" spans="19:19" ht="15.75">
      <c r="S14946" s="1"/>
    </row>
    <row r="14947" spans="19:19" ht="15.75">
      <c r="S14947" s="1"/>
    </row>
    <row r="14948" spans="19:19" ht="15.75">
      <c r="S14948" s="1"/>
    </row>
    <row r="14949" spans="19:19" ht="15.75">
      <c r="S14949" s="1"/>
    </row>
    <row r="14950" spans="19:19" ht="15.75">
      <c r="S14950" s="1"/>
    </row>
    <row r="14951" spans="19:19" ht="15.75">
      <c r="S14951" s="1"/>
    </row>
    <row r="14952" spans="19:19" ht="15.75">
      <c r="S14952" s="1"/>
    </row>
    <row r="14953" spans="19:19" ht="15.75">
      <c r="S14953" s="1"/>
    </row>
    <row r="14954" spans="19:19" ht="15.75">
      <c r="S14954" s="1"/>
    </row>
    <row r="14955" spans="19:19" ht="15.75">
      <c r="S14955" s="1"/>
    </row>
    <row r="14956" spans="19:19" ht="15.75">
      <c r="S14956" s="1"/>
    </row>
    <row r="14957" spans="19:19" ht="15.75">
      <c r="S14957" s="1"/>
    </row>
    <row r="14958" spans="19:19" ht="15.75">
      <c r="S14958" s="1"/>
    </row>
    <row r="14959" spans="19:19" ht="15.75">
      <c r="S14959" s="1"/>
    </row>
    <row r="14960" spans="19:19" ht="15.75">
      <c r="S14960" s="1"/>
    </row>
    <row r="14961" spans="19:19" ht="15.75">
      <c r="S14961" s="1"/>
    </row>
    <row r="14962" spans="19:19" ht="15.75">
      <c r="S14962" s="1"/>
    </row>
    <row r="14963" spans="19:19" ht="15.75">
      <c r="S14963" s="1"/>
    </row>
    <row r="14964" spans="19:19" ht="15.75">
      <c r="S14964" s="1"/>
    </row>
    <row r="14965" spans="19:19" ht="15.75">
      <c r="S14965" s="1"/>
    </row>
    <row r="14966" spans="19:19" ht="15.75">
      <c r="S14966" s="1"/>
    </row>
    <row r="14967" spans="19:19" ht="15.75">
      <c r="S14967" s="1"/>
    </row>
    <row r="14968" spans="19:19" ht="15.75">
      <c r="S14968" s="1"/>
    </row>
    <row r="14969" spans="19:19" ht="15.75">
      <c r="S14969" s="1"/>
    </row>
    <row r="14970" spans="19:19" ht="15.75">
      <c r="S14970" s="1"/>
    </row>
    <row r="14971" spans="19:19" ht="15.75">
      <c r="S14971" s="1"/>
    </row>
    <row r="14972" spans="19:19" ht="15.75">
      <c r="S14972" s="1"/>
    </row>
    <row r="14973" spans="19:19" ht="15.75">
      <c r="S14973" s="1"/>
    </row>
    <row r="14974" spans="19:19" ht="15.75">
      <c r="S14974" s="1"/>
    </row>
    <row r="14975" spans="19:19" ht="15.75">
      <c r="S14975" s="1"/>
    </row>
    <row r="14976" spans="19:19" ht="15.75">
      <c r="S14976" s="1"/>
    </row>
    <row r="14977" spans="19:19" ht="15.75">
      <c r="S14977" s="1"/>
    </row>
    <row r="14978" spans="19:19" ht="15.75">
      <c r="S14978" s="1"/>
    </row>
    <row r="14979" spans="19:19" ht="15.75">
      <c r="S14979" s="1"/>
    </row>
    <row r="14980" spans="19:19" ht="15.75">
      <c r="S14980" s="1"/>
    </row>
    <row r="14981" spans="19:19" ht="15.75">
      <c r="S14981" s="1"/>
    </row>
    <row r="14982" spans="19:19" ht="15.75">
      <c r="S14982" s="1"/>
    </row>
    <row r="14983" spans="19:19" ht="15.75">
      <c r="S14983" s="1"/>
    </row>
    <row r="14984" spans="19:19" ht="15.75">
      <c r="S14984" s="1"/>
    </row>
    <row r="14985" spans="19:19" ht="15.75">
      <c r="S14985" s="1"/>
    </row>
    <row r="14986" spans="19:19" ht="15.75">
      <c r="S14986" s="1"/>
    </row>
    <row r="14987" spans="19:19" ht="15.75">
      <c r="S14987" s="1"/>
    </row>
    <row r="14988" spans="19:19" ht="15.75">
      <c r="S14988" s="1"/>
    </row>
    <row r="14989" spans="19:19" ht="15.75">
      <c r="S14989" s="1"/>
    </row>
    <row r="14990" spans="19:19" ht="15.75">
      <c r="S14990" s="1"/>
    </row>
    <row r="14991" spans="19:19" ht="15.75">
      <c r="S14991" s="1"/>
    </row>
    <row r="14992" spans="19:19" ht="15.75">
      <c r="S14992" s="1"/>
    </row>
    <row r="14993" spans="19:19" ht="15.75">
      <c r="S14993" s="1"/>
    </row>
    <row r="14994" spans="19:19" ht="15.75">
      <c r="S14994" s="1"/>
    </row>
    <row r="14995" spans="19:19" ht="15.75">
      <c r="S14995" s="1"/>
    </row>
    <row r="14996" spans="19:19" ht="15.75">
      <c r="S14996" s="1"/>
    </row>
    <row r="14997" spans="19:19" ht="15.75">
      <c r="S14997" s="1"/>
    </row>
    <row r="14998" spans="19:19" ht="15.75">
      <c r="S14998" s="1"/>
    </row>
    <row r="14999" spans="19:19" ht="15.75">
      <c r="S14999" s="1"/>
    </row>
    <row r="15000" spans="19:19" ht="15.75">
      <c r="S15000" s="1"/>
    </row>
    <row r="15001" spans="19:19" ht="15.75">
      <c r="S15001" s="1"/>
    </row>
    <row r="15002" spans="19:19" ht="15.75">
      <c r="S15002" s="1"/>
    </row>
    <row r="15003" spans="19:19" ht="15.75">
      <c r="S15003" s="1"/>
    </row>
    <row r="15004" spans="19:19" ht="15.75">
      <c r="S15004" s="1"/>
    </row>
    <row r="15005" spans="19:19" ht="15.75">
      <c r="S15005" s="1"/>
    </row>
    <row r="15006" spans="19:19" ht="15.75">
      <c r="S15006" s="1"/>
    </row>
    <row r="15007" spans="19:19" ht="15.75">
      <c r="S15007" s="1"/>
    </row>
    <row r="15008" spans="19:19" ht="15.75">
      <c r="S15008" s="1"/>
    </row>
    <row r="15009" spans="19:19" ht="15.75">
      <c r="S15009" s="1"/>
    </row>
    <row r="15010" spans="19:19" ht="15.75">
      <c r="S15010" s="1"/>
    </row>
    <row r="15011" spans="19:19" ht="15.75">
      <c r="S15011" s="1"/>
    </row>
    <row r="15012" spans="19:19" ht="15.75">
      <c r="S15012" s="1"/>
    </row>
    <row r="15013" spans="19:19" ht="15.75">
      <c r="S15013" s="1"/>
    </row>
    <row r="15014" spans="19:19" ht="15.75">
      <c r="S15014" s="1"/>
    </row>
    <row r="15015" spans="19:19" ht="15.75">
      <c r="S15015" s="1"/>
    </row>
    <row r="15016" spans="19:19" ht="15.75">
      <c r="S15016" s="1"/>
    </row>
    <row r="15017" spans="19:19" ht="15.75">
      <c r="S15017" s="1"/>
    </row>
    <row r="15018" spans="19:19" ht="15.75">
      <c r="S15018" s="1"/>
    </row>
    <row r="15019" spans="19:19" ht="15.75">
      <c r="S15019" s="1"/>
    </row>
    <row r="15020" spans="19:19" ht="15.75">
      <c r="S15020" s="1"/>
    </row>
    <row r="15021" spans="19:19" ht="15.75">
      <c r="S15021" s="1"/>
    </row>
    <row r="15022" spans="19:19" ht="15.75">
      <c r="S15022" s="1"/>
    </row>
    <row r="15023" spans="19:19" ht="15.75">
      <c r="S15023" s="1"/>
    </row>
    <row r="15024" spans="19:19" ht="15.75">
      <c r="S15024" s="1"/>
    </row>
    <row r="15025" spans="19:19" ht="15.75">
      <c r="S15025" s="1"/>
    </row>
    <row r="15026" spans="19:19" ht="15.75">
      <c r="S15026" s="1"/>
    </row>
    <row r="15027" spans="19:19" ht="15.75">
      <c r="S15027" s="1"/>
    </row>
    <row r="15028" spans="19:19" ht="15.75">
      <c r="S15028" s="1"/>
    </row>
    <row r="15029" spans="19:19" ht="15.75">
      <c r="S15029" s="1"/>
    </row>
    <row r="15030" spans="19:19" ht="15.75">
      <c r="S15030" s="1"/>
    </row>
    <row r="15031" spans="19:19" ht="15.75">
      <c r="S15031" s="1"/>
    </row>
    <row r="15032" spans="19:19" ht="15.75">
      <c r="S15032" s="1"/>
    </row>
    <row r="15033" spans="19:19" ht="15.75">
      <c r="S15033" s="1"/>
    </row>
    <row r="15034" spans="19:19" ht="15.75">
      <c r="S15034" s="1"/>
    </row>
    <row r="15035" spans="19:19" ht="15.75">
      <c r="S15035" s="1"/>
    </row>
    <row r="15036" spans="19:19" ht="15.75">
      <c r="S15036" s="1"/>
    </row>
    <row r="15037" spans="19:19" ht="15.75">
      <c r="S15037" s="1"/>
    </row>
    <row r="15038" spans="19:19" ht="15.75">
      <c r="S15038" s="1"/>
    </row>
    <row r="15039" spans="19:19" ht="15.75">
      <c r="S15039" s="1"/>
    </row>
    <row r="15040" spans="19:19" ht="15.75">
      <c r="S15040" s="1"/>
    </row>
    <row r="15041" spans="19:19" ht="15.75">
      <c r="S15041" s="1"/>
    </row>
    <row r="15042" spans="19:19" ht="15.75">
      <c r="S15042" s="1"/>
    </row>
    <row r="15043" spans="19:19" ht="15.75">
      <c r="S15043" s="1"/>
    </row>
    <row r="15044" spans="19:19" ht="15.75">
      <c r="S15044" s="1"/>
    </row>
    <row r="15045" spans="19:19" ht="15.75">
      <c r="S15045" s="1"/>
    </row>
    <row r="15046" spans="19:19" ht="15.75">
      <c r="S15046" s="1"/>
    </row>
    <row r="15047" spans="19:19" ht="15.75">
      <c r="S15047" s="1"/>
    </row>
    <row r="15048" spans="19:19" ht="15.75">
      <c r="S15048" s="1"/>
    </row>
    <row r="15049" spans="19:19" ht="15.75">
      <c r="S15049" s="1"/>
    </row>
    <row r="15050" spans="19:19" ht="15.75">
      <c r="S15050" s="1"/>
    </row>
    <row r="15051" spans="19:19" ht="15.75">
      <c r="S15051" s="1"/>
    </row>
    <row r="15052" spans="19:19" ht="15.75">
      <c r="S15052" s="1"/>
    </row>
    <row r="15053" spans="19:19" ht="15.75">
      <c r="S15053" s="1"/>
    </row>
    <row r="15054" spans="19:19" ht="15.75">
      <c r="S15054" s="1"/>
    </row>
    <row r="15055" spans="19:19" ht="15.75">
      <c r="S15055" s="1"/>
    </row>
    <row r="15056" spans="19:19" ht="15.75">
      <c r="S15056" s="1"/>
    </row>
    <row r="15057" spans="19:19" ht="15.75">
      <c r="S15057" s="1"/>
    </row>
    <row r="15058" spans="19:19" ht="15.75">
      <c r="S15058" s="1"/>
    </row>
    <row r="15059" spans="19:19" ht="15.75">
      <c r="S15059" s="1"/>
    </row>
    <row r="15060" spans="19:19" ht="15.75">
      <c r="S15060" s="1"/>
    </row>
    <row r="15061" spans="19:19" ht="15.75">
      <c r="S15061" s="1"/>
    </row>
    <row r="15062" spans="19:19" ht="15.75">
      <c r="S15062" s="1"/>
    </row>
    <row r="15063" spans="19:19" ht="15.75">
      <c r="S15063" s="1"/>
    </row>
    <row r="15064" spans="19:19" ht="15.75">
      <c r="S15064" s="1"/>
    </row>
    <row r="15065" spans="19:19" ht="15.75">
      <c r="S15065" s="1"/>
    </row>
    <row r="15066" spans="19:19" ht="15.75">
      <c r="S15066" s="1"/>
    </row>
    <row r="15067" spans="19:19" ht="15.75">
      <c r="S15067" s="1"/>
    </row>
    <row r="15068" spans="19:19" ht="15.75">
      <c r="S15068" s="1"/>
    </row>
    <row r="15069" spans="19:19" ht="15.75">
      <c r="S15069" s="1"/>
    </row>
    <row r="15070" spans="19:19" ht="15.75">
      <c r="S15070" s="1"/>
    </row>
    <row r="15071" spans="19:19" ht="15.75">
      <c r="S15071" s="1"/>
    </row>
    <row r="15072" spans="19:19" ht="15.75">
      <c r="S15072" s="1"/>
    </row>
    <row r="15073" spans="19:19" ht="15.75">
      <c r="S15073" s="1"/>
    </row>
    <row r="15074" spans="19:19" ht="15.75">
      <c r="S15074" s="1"/>
    </row>
    <row r="15075" spans="19:19" ht="15.75">
      <c r="S15075" s="1"/>
    </row>
    <row r="15076" spans="19:19" ht="15.75">
      <c r="S15076" s="1"/>
    </row>
    <row r="15077" spans="19:19" ht="15.75">
      <c r="S15077" s="1"/>
    </row>
    <row r="15078" spans="19:19" ht="15.75">
      <c r="S15078" s="1"/>
    </row>
    <row r="15079" spans="19:19" ht="15.75">
      <c r="S15079" s="1"/>
    </row>
    <row r="15080" spans="19:19" ht="15.75">
      <c r="S15080" s="1"/>
    </row>
    <row r="15081" spans="19:19" ht="15.75">
      <c r="S15081" s="1"/>
    </row>
    <row r="15082" spans="19:19" ht="15.75">
      <c r="S15082" s="1"/>
    </row>
    <row r="15083" spans="19:19" ht="15.75">
      <c r="S15083" s="1"/>
    </row>
    <row r="15084" spans="19:19" ht="15.75">
      <c r="S15084" s="1"/>
    </row>
    <row r="15085" spans="19:19" ht="15.75">
      <c r="S15085" s="1"/>
    </row>
    <row r="15086" spans="19:19" ht="15.75">
      <c r="S15086" s="1"/>
    </row>
    <row r="15087" spans="19:19" ht="15.75">
      <c r="S15087" s="1"/>
    </row>
    <row r="15088" spans="19:19" ht="15.75">
      <c r="S15088" s="1"/>
    </row>
    <row r="15089" spans="19:19" ht="15.75">
      <c r="S15089" s="1"/>
    </row>
    <row r="15090" spans="19:19" ht="15.75">
      <c r="S15090" s="1"/>
    </row>
    <row r="15091" spans="19:19" ht="15.75">
      <c r="S15091" s="1"/>
    </row>
    <row r="15092" spans="19:19" ht="15.75">
      <c r="S15092" s="1"/>
    </row>
    <row r="15093" spans="19:19" ht="15.75">
      <c r="S15093" s="1"/>
    </row>
    <row r="15094" spans="19:19" ht="15.75">
      <c r="S15094" s="1"/>
    </row>
    <row r="15095" spans="19:19" ht="15.75">
      <c r="S15095" s="1"/>
    </row>
    <row r="15096" spans="19:19" ht="15.75">
      <c r="S15096" s="1"/>
    </row>
    <row r="15097" spans="19:19" ht="15.75">
      <c r="S15097" s="1"/>
    </row>
    <row r="15098" spans="19:19" ht="15.75">
      <c r="S15098" s="1"/>
    </row>
    <row r="15099" spans="19:19" ht="15.75">
      <c r="S15099" s="1"/>
    </row>
    <row r="15100" spans="19:19" ht="15.75">
      <c r="S15100" s="1"/>
    </row>
    <row r="15101" spans="19:19" ht="15.75">
      <c r="S15101" s="1"/>
    </row>
    <row r="15102" spans="19:19" ht="15.75">
      <c r="S15102" s="1"/>
    </row>
    <row r="15103" spans="19:19" ht="15.75">
      <c r="S15103" s="1"/>
    </row>
    <row r="15104" spans="19:19" ht="15.75">
      <c r="S15104" s="1"/>
    </row>
    <row r="15105" spans="19:19" ht="15.75">
      <c r="S15105" s="1"/>
    </row>
    <row r="15106" spans="19:19" ht="15.75">
      <c r="S15106" s="1"/>
    </row>
    <row r="15107" spans="19:19" ht="15.75">
      <c r="S15107" s="1"/>
    </row>
    <row r="15108" spans="19:19" ht="15.75">
      <c r="S15108" s="1"/>
    </row>
    <row r="15109" spans="19:19" ht="15.75">
      <c r="S15109" s="1"/>
    </row>
    <row r="15110" spans="19:19" ht="15.75">
      <c r="S15110" s="1"/>
    </row>
    <row r="15111" spans="19:19" ht="15.75">
      <c r="S15111" s="1"/>
    </row>
    <row r="15112" spans="19:19" ht="15.75">
      <c r="S15112" s="1"/>
    </row>
    <row r="15113" spans="19:19" ht="15.75">
      <c r="S15113" s="1"/>
    </row>
    <row r="15114" spans="19:19" ht="15.75">
      <c r="S15114" s="1"/>
    </row>
    <row r="15115" spans="19:19" ht="15.75">
      <c r="S15115" s="1"/>
    </row>
    <row r="15116" spans="19:19" ht="15.75">
      <c r="S15116" s="1"/>
    </row>
    <row r="15117" spans="19:19" ht="15.75">
      <c r="S15117" s="1"/>
    </row>
    <row r="15118" spans="19:19" ht="15.75">
      <c r="S15118" s="1"/>
    </row>
    <row r="15119" spans="19:19" ht="15.75">
      <c r="S15119" s="1"/>
    </row>
    <row r="15120" spans="19:19" ht="15.75">
      <c r="S15120" s="1"/>
    </row>
    <row r="15121" spans="19:19" ht="15.75">
      <c r="S15121" s="1"/>
    </row>
    <row r="15122" spans="19:19" ht="15.75">
      <c r="S15122" s="1"/>
    </row>
    <row r="15123" spans="19:19" ht="15.75">
      <c r="S15123" s="1"/>
    </row>
    <row r="15124" spans="19:19" ht="15.75">
      <c r="S15124" s="1"/>
    </row>
    <row r="15125" spans="19:19" ht="15.75">
      <c r="S15125" s="1"/>
    </row>
    <row r="15126" spans="19:19" ht="15.75">
      <c r="S15126" s="1"/>
    </row>
    <row r="15127" spans="19:19" ht="15.75">
      <c r="S15127" s="1"/>
    </row>
    <row r="15128" spans="19:19" ht="15.75">
      <c r="S15128" s="1"/>
    </row>
    <row r="15129" spans="19:19" ht="15.75">
      <c r="S15129" s="1"/>
    </row>
    <row r="15130" spans="19:19" ht="15.75">
      <c r="S15130" s="1"/>
    </row>
    <row r="15131" spans="19:19" ht="15.75">
      <c r="S15131" s="1"/>
    </row>
    <row r="15132" spans="19:19" ht="15.75">
      <c r="S15132" s="1"/>
    </row>
    <row r="15133" spans="19:19" ht="15.75">
      <c r="S15133" s="1"/>
    </row>
    <row r="15134" spans="19:19" ht="15.75">
      <c r="S15134" s="1"/>
    </row>
    <row r="15135" spans="19:19" ht="15.75">
      <c r="S15135" s="1"/>
    </row>
    <row r="15136" spans="19:19" ht="15.75">
      <c r="S15136" s="1"/>
    </row>
    <row r="15137" spans="19:19" ht="15.75">
      <c r="S15137" s="1"/>
    </row>
    <row r="15138" spans="19:19" ht="15.75">
      <c r="S15138" s="1"/>
    </row>
    <row r="15139" spans="19:19" ht="15.75">
      <c r="S15139" s="1"/>
    </row>
    <row r="15140" spans="19:19" ht="15.75">
      <c r="S15140" s="1"/>
    </row>
    <row r="15141" spans="19:19" ht="15.75">
      <c r="S15141" s="1"/>
    </row>
    <row r="15142" spans="19:19" ht="15.75">
      <c r="S15142" s="1"/>
    </row>
    <row r="15143" spans="19:19" ht="15.75">
      <c r="S15143" s="1"/>
    </row>
    <row r="15144" spans="19:19" ht="15.75">
      <c r="S15144" s="1"/>
    </row>
    <row r="15145" spans="19:19" ht="15.75">
      <c r="S15145" s="1"/>
    </row>
    <row r="15146" spans="19:19" ht="15.75">
      <c r="S15146" s="1"/>
    </row>
    <row r="15147" spans="19:19" ht="15.75">
      <c r="S15147" s="1"/>
    </row>
    <row r="15148" spans="19:19" ht="15.75">
      <c r="S15148" s="1"/>
    </row>
    <row r="15149" spans="19:19" ht="15.75">
      <c r="S15149" s="1"/>
    </row>
    <row r="15150" spans="19:19" ht="15.75">
      <c r="S15150" s="1"/>
    </row>
    <row r="15151" spans="19:19" ht="15.75">
      <c r="S15151" s="1"/>
    </row>
    <row r="15152" spans="19:19" ht="15.75">
      <c r="S15152" s="1"/>
    </row>
    <row r="15153" spans="19:19" ht="15.75">
      <c r="S15153" s="1"/>
    </row>
    <row r="15154" spans="19:19" ht="15.75">
      <c r="S15154" s="1"/>
    </row>
    <row r="15155" spans="19:19" ht="15.75">
      <c r="S15155" s="1"/>
    </row>
    <row r="15156" spans="19:19" ht="15.75">
      <c r="S15156" s="1"/>
    </row>
    <row r="15157" spans="19:19" ht="15.75">
      <c r="S15157" s="1"/>
    </row>
    <row r="15158" spans="19:19" ht="15.75">
      <c r="S15158" s="1"/>
    </row>
    <row r="15159" spans="19:19" ht="15.75">
      <c r="S15159" s="1"/>
    </row>
    <row r="15160" spans="19:19" ht="15.75">
      <c r="S15160" s="1"/>
    </row>
    <row r="15161" spans="19:19" ht="15.75">
      <c r="S15161" s="1"/>
    </row>
    <row r="15162" spans="19:19" ht="15.75">
      <c r="S15162" s="1"/>
    </row>
    <row r="15163" spans="19:19" ht="15.75">
      <c r="S15163" s="1"/>
    </row>
    <row r="15164" spans="19:19" ht="15.75">
      <c r="S15164" s="1"/>
    </row>
    <row r="15165" spans="19:19" ht="15.75">
      <c r="S15165" s="1"/>
    </row>
    <row r="15166" spans="19:19" ht="15.75">
      <c r="S15166" s="1"/>
    </row>
    <row r="15167" spans="19:19" ht="15.75">
      <c r="S15167" s="1"/>
    </row>
    <row r="15168" spans="19:19" ht="15.75">
      <c r="S15168" s="1"/>
    </row>
    <row r="15169" spans="19:19" ht="15.75">
      <c r="S15169" s="1"/>
    </row>
    <row r="15170" spans="19:19" ht="15.75">
      <c r="S15170" s="1"/>
    </row>
    <row r="15171" spans="19:19" ht="15.75">
      <c r="S15171" s="1"/>
    </row>
    <row r="15172" spans="19:19" ht="15.75">
      <c r="S15172" s="1"/>
    </row>
    <row r="15173" spans="19:19" ht="15.75">
      <c r="S15173" s="1"/>
    </row>
    <row r="15174" spans="19:19" ht="15.75">
      <c r="S15174" s="1"/>
    </row>
    <row r="15175" spans="19:19" ht="15.75">
      <c r="S15175" s="1"/>
    </row>
    <row r="15176" spans="19:19" ht="15.75">
      <c r="S15176" s="1"/>
    </row>
    <row r="15177" spans="19:19" ht="15.75">
      <c r="S15177" s="1"/>
    </row>
    <row r="15178" spans="19:19" ht="15.75">
      <c r="S15178" s="1"/>
    </row>
    <row r="15179" spans="19:19" ht="15.75">
      <c r="S15179" s="1"/>
    </row>
    <row r="15180" spans="19:19" ht="15.75">
      <c r="S15180" s="1"/>
    </row>
    <row r="15181" spans="19:19" ht="15.75">
      <c r="S15181" s="1"/>
    </row>
    <row r="15182" spans="19:19" ht="15.75">
      <c r="S15182" s="1"/>
    </row>
    <row r="15183" spans="19:19" ht="15.75">
      <c r="S15183" s="1"/>
    </row>
    <row r="15184" spans="19:19" ht="15.75">
      <c r="S15184" s="1"/>
    </row>
    <row r="15185" spans="19:19" ht="15.75">
      <c r="S15185" s="1"/>
    </row>
    <row r="15186" spans="19:19" ht="15.75">
      <c r="S15186" s="1"/>
    </row>
    <row r="15187" spans="19:19" ht="15.75">
      <c r="S15187" s="1"/>
    </row>
    <row r="15188" spans="19:19" ht="15.75">
      <c r="S15188" s="1"/>
    </row>
    <row r="15189" spans="19:19" ht="15.75">
      <c r="S15189" s="1"/>
    </row>
    <row r="15190" spans="19:19" ht="15.75">
      <c r="S15190" s="1"/>
    </row>
    <row r="15191" spans="19:19" ht="15.75">
      <c r="S15191" s="1"/>
    </row>
    <row r="15192" spans="19:19" ht="15.75">
      <c r="S15192" s="1"/>
    </row>
    <row r="15193" spans="19:19" ht="15.75">
      <c r="S15193" s="1"/>
    </row>
    <row r="15194" spans="19:19" ht="15.75">
      <c r="S15194" s="1"/>
    </row>
    <row r="15195" spans="19:19" ht="15.75">
      <c r="S15195" s="1"/>
    </row>
    <row r="15196" spans="19:19" ht="15.75">
      <c r="S15196" s="1"/>
    </row>
    <row r="15197" spans="19:19" ht="15.75">
      <c r="S15197" s="1"/>
    </row>
    <row r="15198" spans="19:19" ht="15.75">
      <c r="S15198" s="1"/>
    </row>
    <row r="15199" spans="19:19" ht="15.75">
      <c r="S15199" s="1"/>
    </row>
    <row r="15200" spans="19:19" ht="15.75">
      <c r="S15200" s="1"/>
    </row>
    <row r="15201" spans="19:19" ht="15.75">
      <c r="S15201" s="1"/>
    </row>
    <row r="15202" spans="19:19" ht="15.75">
      <c r="S15202" s="1"/>
    </row>
    <row r="15203" spans="19:19" ht="15.75">
      <c r="S15203" s="1"/>
    </row>
    <row r="15204" spans="19:19" ht="15.75">
      <c r="S15204" s="1"/>
    </row>
    <row r="15205" spans="19:19" ht="15.75">
      <c r="S15205" s="1"/>
    </row>
    <row r="15206" spans="19:19" ht="15.75">
      <c r="S15206" s="1"/>
    </row>
    <row r="15207" spans="19:19" ht="15.75">
      <c r="S15207" s="1"/>
    </row>
    <row r="15208" spans="19:19" ht="15.75">
      <c r="S15208" s="1"/>
    </row>
    <row r="15209" spans="19:19" ht="15.75">
      <c r="S15209" s="1"/>
    </row>
    <row r="15210" spans="19:19" ht="15.75">
      <c r="S15210" s="1"/>
    </row>
    <row r="15211" spans="19:19" ht="15.75">
      <c r="S15211" s="1"/>
    </row>
    <row r="15212" spans="19:19" ht="15.75">
      <c r="S15212" s="1"/>
    </row>
    <row r="15213" spans="19:19" ht="15.75">
      <c r="S15213" s="1"/>
    </row>
    <row r="15214" spans="19:19" ht="15.75">
      <c r="S15214" s="1"/>
    </row>
    <row r="15215" spans="19:19" ht="15.75">
      <c r="S15215" s="1"/>
    </row>
    <row r="15216" spans="19:19" ht="15.75">
      <c r="S15216" s="1"/>
    </row>
    <row r="15217" spans="19:19" ht="15.75">
      <c r="S15217" s="1"/>
    </row>
    <row r="15218" spans="19:19" ht="15.75">
      <c r="S15218" s="1"/>
    </row>
    <row r="15219" spans="19:19" ht="15.75">
      <c r="S15219" s="1"/>
    </row>
    <row r="15220" spans="19:19" ht="15.75">
      <c r="S15220" s="1"/>
    </row>
    <row r="15221" spans="19:19" ht="15.75">
      <c r="S15221" s="1"/>
    </row>
    <row r="15222" spans="19:19" ht="15.75">
      <c r="S15222" s="1"/>
    </row>
    <row r="15223" spans="19:19" ht="15.75">
      <c r="S15223" s="1"/>
    </row>
    <row r="15224" spans="19:19" ht="15.75">
      <c r="S15224" s="1"/>
    </row>
    <row r="15225" spans="19:19" ht="15.75">
      <c r="S15225" s="1"/>
    </row>
    <row r="15226" spans="19:19" ht="15.75">
      <c r="S15226" s="1"/>
    </row>
    <row r="15227" spans="19:19" ht="15.75">
      <c r="S15227" s="1"/>
    </row>
    <row r="15228" spans="19:19" ht="15.75">
      <c r="S15228" s="1"/>
    </row>
    <row r="15229" spans="19:19" ht="15.75">
      <c r="S15229" s="1"/>
    </row>
    <row r="15230" spans="19:19" ht="15.75">
      <c r="S15230" s="1"/>
    </row>
    <row r="15231" spans="19:19" ht="15.75">
      <c r="S15231" s="1"/>
    </row>
    <row r="15232" spans="19:19" ht="15.75">
      <c r="S15232" s="1"/>
    </row>
    <row r="15233" spans="19:19" ht="15.75">
      <c r="S15233" s="1"/>
    </row>
    <row r="15234" spans="19:19" ht="15.75">
      <c r="S15234" s="1"/>
    </row>
    <row r="15235" spans="19:19" ht="15.75">
      <c r="S15235" s="1"/>
    </row>
    <row r="15236" spans="19:19" ht="15.75">
      <c r="S15236" s="1"/>
    </row>
    <row r="15237" spans="19:19" ht="15.75">
      <c r="S15237" s="1"/>
    </row>
    <row r="15238" spans="19:19" ht="15.75">
      <c r="S15238" s="1"/>
    </row>
    <row r="15239" spans="19:19" ht="15.75">
      <c r="S15239" s="1"/>
    </row>
    <row r="15240" spans="19:19" ht="15.75">
      <c r="S15240" s="1"/>
    </row>
    <row r="15241" spans="19:19" ht="15.75">
      <c r="S15241" s="1"/>
    </row>
    <row r="15242" spans="19:19" ht="15.75">
      <c r="S15242" s="1"/>
    </row>
    <row r="15243" spans="19:19" ht="15.75">
      <c r="S15243" s="1"/>
    </row>
    <row r="15244" spans="19:19" ht="15.75">
      <c r="S15244" s="1"/>
    </row>
    <row r="15245" spans="19:19" ht="15.75">
      <c r="S15245" s="1"/>
    </row>
    <row r="15246" spans="19:19" ht="15.75">
      <c r="S15246" s="1"/>
    </row>
    <row r="15247" spans="19:19" ht="15.75">
      <c r="S15247" s="1"/>
    </row>
    <row r="15248" spans="19:19" ht="15.75">
      <c r="S15248" s="1"/>
    </row>
    <row r="15249" spans="19:19" ht="15.75">
      <c r="S15249" s="1"/>
    </row>
    <row r="15250" spans="19:19" ht="15.75">
      <c r="S15250" s="1"/>
    </row>
    <row r="15251" spans="19:19" ht="15.75">
      <c r="S15251" s="1"/>
    </row>
    <row r="15252" spans="19:19" ht="15.75">
      <c r="S15252" s="1"/>
    </row>
    <row r="15253" spans="19:19" ht="15.75">
      <c r="S15253" s="1"/>
    </row>
    <row r="15254" spans="19:19" ht="15.75">
      <c r="S15254" s="1"/>
    </row>
    <row r="15255" spans="19:19" ht="15.75">
      <c r="S15255" s="1"/>
    </row>
    <row r="15256" spans="19:19" ht="15.75">
      <c r="S15256" s="1"/>
    </row>
    <row r="15257" spans="19:19" ht="15.75">
      <c r="S15257" s="1"/>
    </row>
    <row r="15258" spans="19:19" ht="15.75">
      <c r="S15258" s="1"/>
    </row>
    <row r="15259" spans="19:19" ht="15.75">
      <c r="S15259" s="1"/>
    </row>
    <row r="15260" spans="19:19" ht="15.75">
      <c r="S15260" s="1"/>
    </row>
    <row r="15261" spans="19:19" ht="15.75">
      <c r="S15261" s="1"/>
    </row>
    <row r="15262" spans="19:19" ht="15.75">
      <c r="S15262" s="1"/>
    </row>
    <row r="15263" spans="19:19" ht="15.75">
      <c r="S15263" s="1"/>
    </row>
    <row r="15264" spans="19:19" ht="15.75">
      <c r="S15264" s="1"/>
    </row>
    <row r="15265" spans="19:19" ht="15.75">
      <c r="S15265" s="1"/>
    </row>
    <row r="15266" spans="19:19" ht="15.75">
      <c r="S15266" s="1"/>
    </row>
    <row r="15267" spans="19:19" ht="15.75">
      <c r="S15267" s="1"/>
    </row>
    <row r="15268" spans="19:19" ht="15.75">
      <c r="S15268" s="1"/>
    </row>
    <row r="15269" spans="19:19" ht="15.75">
      <c r="S15269" s="1"/>
    </row>
    <row r="15270" spans="19:19" ht="15.75">
      <c r="S15270" s="1"/>
    </row>
    <row r="15271" spans="19:19" ht="15.75">
      <c r="S15271" s="1"/>
    </row>
    <row r="15272" spans="19:19" ht="15.75">
      <c r="S15272" s="1"/>
    </row>
    <row r="15273" spans="19:19" ht="15.75">
      <c r="S15273" s="1"/>
    </row>
    <row r="15274" spans="19:19" ht="15.75">
      <c r="S15274" s="1"/>
    </row>
    <row r="15275" spans="19:19" ht="15.75">
      <c r="S15275" s="1"/>
    </row>
    <row r="15276" spans="19:19" ht="15.75">
      <c r="S15276" s="1"/>
    </row>
    <row r="15277" spans="19:19" ht="15.75">
      <c r="S15277" s="1"/>
    </row>
    <row r="15278" spans="19:19" ht="15.75">
      <c r="S15278" s="1"/>
    </row>
    <row r="15279" spans="19:19" ht="15.75">
      <c r="S15279" s="1"/>
    </row>
    <row r="15280" spans="19:19" ht="15.75">
      <c r="S15280" s="1"/>
    </row>
    <row r="15281" spans="19:19" ht="15.75">
      <c r="S15281" s="1"/>
    </row>
    <row r="15282" spans="19:19" ht="15.75">
      <c r="S15282" s="1"/>
    </row>
    <row r="15283" spans="19:19" ht="15.75">
      <c r="S15283" s="1"/>
    </row>
    <row r="15284" spans="19:19" ht="15.75">
      <c r="S15284" s="1"/>
    </row>
    <row r="15285" spans="19:19" ht="15.75">
      <c r="S15285" s="1"/>
    </row>
    <row r="15286" spans="19:19" ht="15.75">
      <c r="S15286" s="1"/>
    </row>
    <row r="15287" spans="19:19" ht="15.75">
      <c r="S15287" s="1"/>
    </row>
    <row r="15288" spans="19:19" ht="15.75">
      <c r="S15288" s="1"/>
    </row>
    <row r="15289" spans="19:19" ht="15.75">
      <c r="S15289" s="1"/>
    </row>
    <row r="15290" spans="19:19" ht="15.75">
      <c r="S15290" s="1"/>
    </row>
    <row r="15291" spans="19:19" ht="15.75">
      <c r="S15291" s="1"/>
    </row>
    <row r="15292" spans="19:19" ht="15.75">
      <c r="S15292" s="1"/>
    </row>
    <row r="15293" spans="19:19" ht="15.75">
      <c r="S15293" s="1"/>
    </row>
    <row r="15294" spans="19:19" ht="15.75">
      <c r="S15294" s="1"/>
    </row>
    <row r="15295" spans="19:19" ht="15.75">
      <c r="S15295" s="1"/>
    </row>
    <row r="15296" spans="19:19" ht="15.75">
      <c r="S15296" s="1"/>
    </row>
    <row r="15297" spans="19:19" ht="15.75">
      <c r="S15297" s="1"/>
    </row>
    <row r="15298" spans="19:19" ht="15.75">
      <c r="S15298" s="1"/>
    </row>
    <row r="15299" spans="19:19" ht="15.75">
      <c r="S15299" s="1"/>
    </row>
    <row r="15300" spans="19:19" ht="15.75">
      <c r="S15300" s="1"/>
    </row>
    <row r="15301" spans="19:19" ht="15.75">
      <c r="S15301" s="1"/>
    </row>
    <row r="15302" spans="19:19" ht="15.75">
      <c r="S15302" s="1"/>
    </row>
    <row r="15303" spans="19:19" ht="15.75">
      <c r="S15303" s="1"/>
    </row>
    <row r="15304" spans="19:19" ht="15.75">
      <c r="S15304" s="1"/>
    </row>
    <row r="15305" spans="19:19" ht="15.75">
      <c r="S15305" s="1"/>
    </row>
    <row r="15306" spans="19:19" ht="15.75">
      <c r="S15306" s="1"/>
    </row>
    <row r="15307" spans="19:19" ht="15.75">
      <c r="S15307" s="1"/>
    </row>
    <row r="15308" spans="19:19" ht="15.75">
      <c r="S15308" s="1"/>
    </row>
    <row r="15309" spans="19:19" ht="15.75">
      <c r="S15309" s="1"/>
    </row>
    <row r="15310" spans="19:19" ht="15.75">
      <c r="S15310" s="1"/>
    </row>
    <row r="15311" spans="19:19" ht="15.75">
      <c r="S15311" s="1"/>
    </row>
    <row r="15312" spans="19:19" ht="15.75">
      <c r="S15312" s="1"/>
    </row>
    <row r="15313" spans="19:19" ht="15.75">
      <c r="S15313" s="1"/>
    </row>
    <row r="15314" spans="19:19" ht="15.75">
      <c r="S15314" s="1"/>
    </row>
    <row r="15315" spans="19:19" ht="15.75">
      <c r="S15315" s="1"/>
    </row>
    <row r="15316" spans="19:19" ht="15.75">
      <c r="S15316" s="1"/>
    </row>
    <row r="15317" spans="19:19" ht="15.75">
      <c r="S15317" s="1"/>
    </row>
    <row r="15318" spans="19:19" ht="15.75">
      <c r="S15318" s="1"/>
    </row>
    <row r="15319" spans="19:19" ht="15.75">
      <c r="S15319" s="1"/>
    </row>
    <row r="15320" spans="19:19" ht="15.75">
      <c r="S15320" s="1"/>
    </row>
    <row r="15321" spans="19:19" ht="15.75">
      <c r="S15321" s="1"/>
    </row>
    <row r="15322" spans="19:19" ht="15.75">
      <c r="S15322" s="1"/>
    </row>
    <row r="15323" spans="19:19" ht="15.75">
      <c r="S15323" s="1"/>
    </row>
    <row r="15324" spans="19:19" ht="15.75">
      <c r="S15324" s="1"/>
    </row>
    <row r="15325" spans="19:19" ht="15.75">
      <c r="S15325" s="1"/>
    </row>
    <row r="15326" spans="19:19" ht="15.75">
      <c r="S15326" s="1"/>
    </row>
    <row r="15327" spans="19:19" ht="15.75">
      <c r="S15327" s="1"/>
    </row>
    <row r="15328" spans="19:19" ht="15.75">
      <c r="S15328" s="1"/>
    </row>
    <row r="15329" spans="19:19" ht="15.75">
      <c r="S15329" s="1"/>
    </row>
    <row r="15330" spans="19:19" ht="15.75">
      <c r="S15330" s="1"/>
    </row>
    <row r="15331" spans="19:19" ht="15.75">
      <c r="S15331" s="1"/>
    </row>
    <row r="15332" spans="19:19" ht="15.75">
      <c r="S15332" s="1"/>
    </row>
    <row r="15333" spans="19:19" ht="15.75">
      <c r="S15333" s="1"/>
    </row>
    <row r="15334" spans="19:19" ht="15.75">
      <c r="S15334" s="1"/>
    </row>
    <row r="15335" spans="19:19" ht="15.75">
      <c r="S15335" s="1"/>
    </row>
    <row r="15336" spans="19:19" ht="15.75">
      <c r="S15336" s="1"/>
    </row>
    <row r="15337" spans="19:19" ht="15.75">
      <c r="S15337" s="1"/>
    </row>
    <row r="15338" spans="19:19" ht="15.75">
      <c r="S15338" s="1"/>
    </row>
    <row r="15339" spans="19:19" ht="15.75">
      <c r="S15339" s="1"/>
    </row>
    <row r="15340" spans="19:19" ht="15.75">
      <c r="S15340" s="1"/>
    </row>
    <row r="15341" spans="19:19" ht="15.75">
      <c r="S15341" s="1"/>
    </row>
    <row r="15342" spans="19:19" ht="15.75">
      <c r="S15342" s="1"/>
    </row>
    <row r="15343" spans="19:19" ht="15.75">
      <c r="S15343" s="1"/>
    </row>
    <row r="15344" spans="19:19" ht="15.75">
      <c r="S15344" s="1"/>
    </row>
    <row r="15345" spans="19:19" ht="15.75">
      <c r="S15345" s="1"/>
    </row>
    <row r="15346" spans="19:19" ht="15.75">
      <c r="S15346" s="1"/>
    </row>
    <row r="15347" spans="19:19" ht="15.75">
      <c r="S15347" s="1"/>
    </row>
    <row r="15348" spans="19:19" ht="15.75">
      <c r="S15348" s="1"/>
    </row>
    <row r="15349" spans="19:19" ht="15.75">
      <c r="S15349" s="1"/>
    </row>
    <row r="15350" spans="19:19" ht="15.75">
      <c r="S15350" s="1"/>
    </row>
    <row r="15351" spans="19:19" ht="15.75">
      <c r="S15351" s="1"/>
    </row>
    <row r="15352" spans="19:19" ht="15.75">
      <c r="S15352" s="1"/>
    </row>
    <row r="15353" spans="19:19" ht="15.75">
      <c r="S15353" s="1"/>
    </row>
    <row r="15354" spans="19:19" ht="15.75">
      <c r="S15354" s="1"/>
    </row>
    <row r="15355" spans="19:19" ht="15.75">
      <c r="S15355" s="1"/>
    </row>
    <row r="15356" spans="19:19" ht="15.75">
      <c r="S15356" s="1"/>
    </row>
    <row r="15357" spans="19:19" ht="15.75">
      <c r="S15357" s="1"/>
    </row>
    <row r="15358" spans="19:19" ht="15.75">
      <c r="S15358" s="1"/>
    </row>
    <row r="15359" spans="19:19" ht="15.75">
      <c r="S15359" s="1"/>
    </row>
    <row r="15360" spans="19:19" ht="15.75">
      <c r="S15360" s="1"/>
    </row>
    <row r="15361" spans="19:19" ht="15.75">
      <c r="S15361" s="1"/>
    </row>
    <row r="15362" spans="19:19" ht="15.75">
      <c r="S15362" s="1"/>
    </row>
    <row r="15363" spans="19:19" ht="15.75">
      <c r="S15363" s="1"/>
    </row>
    <row r="15364" spans="19:19" ht="15.75">
      <c r="S15364" s="1"/>
    </row>
    <row r="15365" spans="19:19" ht="15.75">
      <c r="S15365" s="1"/>
    </row>
    <row r="15366" spans="19:19" ht="15.75">
      <c r="S15366" s="1"/>
    </row>
    <row r="15367" spans="19:19" ht="15.75">
      <c r="S15367" s="1"/>
    </row>
    <row r="15368" spans="19:19" ht="15.75">
      <c r="S15368" s="1"/>
    </row>
    <row r="15369" spans="19:19" ht="15.75">
      <c r="S15369" s="1"/>
    </row>
    <row r="15370" spans="19:19" ht="15.75">
      <c r="S15370" s="1"/>
    </row>
    <row r="15371" spans="19:19" ht="15.75">
      <c r="S15371" s="1"/>
    </row>
    <row r="15372" spans="19:19" ht="15.75">
      <c r="S15372" s="1"/>
    </row>
    <row r="15373" spans="19:19" ht="15.75">
      <c r="S15373" s="1"/>
    </row>
    <row r="15374" spans="19:19" ht="15.75">
      <c r="S15374" s="1"/>
    </row>
    <row r="15375" spans="19:19" ht="15.75">
      <c r="S15375" s="1"/>
    </row>
    <row r="15376" spans="19:19" ht="15.75">
      <c r="S15376" s="1"/>
    </row>
    <row r="15377" spans="19:19" ht="15.75">
      <c r="S15377" s="1"/>
    </row>
    <row r="15378" spans="19:19" ht="15.75">
      <c r="S15378" s="1"/>
    </row>
    <row r="15379" spans="19:19" ht="15.75">
      <c r="S15379" s="1"/>
    </row>
    <row r="15380" spans="19:19" ht="15.75">
      <c r="S15380" s="1"/>
    </row>
    <row r="15381" spans="19:19" ht="15.75">
      <c r="S15381" s="1"/>
    </row>
    <row r="15382" spans="19:19" ht="15.75">
      <c r="S15382" s="1"/>
    </row>
    <row r="15383" spans="19:19" ht="15.75">
      <c r="S15383" s="1"/>
    </row>
    <row r="15384" spans="19:19" ht="15.75">
      <c r="S15384" s="1"/>
    </row>
    <row r="15385" spans="19:19" ht="15.75">
      <c r="S15385" s="1"/>
    </row>
    <row r="15386" spans="19:19" ht="15.75">
      <c r="S15386" s="1"/>
    </row>
    <row r="15387" spans="19:19" ht="15.75">
      <c r="S15387" s="1"/>
    </row>
    <row r="15388" spans="19:19" ht="15.75">
      <c r="S15388" s="1"/>
    </row>
    <row r="15389" spans="19:19" ht="15.75">
      <c r="S15389" s="1"/>
    </row>
    <row r="15390" spans="19:19" ht="15.75">
      <c r="S15390" s="1"/>
    </row>
    <row r="15391" spans="19:19" ht="15.75">
      <c r="S15391" s="1"/>
    </row>
    <row r="15392" spans="19:19" ht="15.75">
      <c r="S15392" s="1"/>
    </row>
    <row r="15393" spans="19:19" ht="15.75">
      <c r="S15393" s="1"/>
    </row>
    <row r="15394" spans="19:19" ht="15.75">
      <c r="S15394" s="1"/>
    </row>
    <row r="15395" spans="19:19" ht="15.75">
      <c r="S15395" s="1"/>
    </row>
    <row r="15396" spans="19:19" ht="15.75">
      <c r="S15396" s="1"/>
    </row>
    <row r="15397" spans="19:19" ht="15.75">
      <c r="S15397" s="1"/>
    </row>
    <row r="15398" spans="19:19" ht="15.75">
      <c r="S15398" s="1"/>
    </row>
    <row r="15399" spans="19:19" ht="15.75">
      <c r="S15399" s="1"/>
    </row>
    <row r="15400" spans="19:19" ht="15.75">
      <c r="S15400" s="1"/>
    </row>
    <row r="15401" spans="19:19" ht="15.75">
      <c r="S15401" s="1"/>
    </row>
    <row r="15402" spans="19:19" ht="15.75">
      <c r="S15402" s="1"/>
    </row>
    <row r="15403" spans="19:19" ht="15.75">
      <c r="S15403" s="1"/>
    </row>
    <row r="15404" spans="19:19" ht="15.75">
      <c r="S15404" s="1"/>
    </row>
    <row r="15405" spans="19:19" ht="15.75">
      <c r="S15405" s="1"/>
    </row>
    <row r="15406" spans="19:19" ht="15.75">
      <c r="S15406" s="1"/>
    </row>
    <row r="15407" spans="19:19" ht="15.75">
      <c r="S15407" s="1"/>
    </row>
    <row r="15408" spans="19:19" ht="15.75">
      <c r="S15408" s="1"/>
    </row>
    <row r="15409" spans="19:19" ht="15.75">
      <c r="S15409" s="1"/>
    </row>
    <row r="15410" spans="19:19" ht="15.75">
      <c r="S15410" s="1"/>
    </row>
    <row r="15411" spans="19:19" ht="15.75">
      <c r="S15411" s="1"/>
    </row>
    <row r="15412" spans="19:19" ht="15.75">
      <c r="S15412" s="1"/>
    </row>
    <row r="15413" spans="19:19" ht="15.75">
      <c r="S15413" s="1"/>
    </row>
    <row r="15414" spans="19:19" ht="15.75">
      <c r="S15414" s="1"/>
    </row>
    <row r="15415" spans="19:19" ht="15.75">
      <c r="S15415" s="1"/>
    </row>
    <row r="15416" spans="19:19" ht="15.75">
      <c r="S15416" s="1"/>
    </row>
    <row r="15417" spans="19:19" ht="15.75">
      <c r="S15417" s="1"/>
    </row>
    <row r="15418" spans="19:19" ht="15.75">
      <c r="S15418" s="1"/>
    </row>
    <row r="15419" spans="19:19" ht="15.75">
      <c r="S15419" s="1"/>
    </row>
    <row r="15420" spans="19:19" ht="15.75">
      <c r="S15420" s="1"/>
    </row>
    <row r="15421" spans="19:19" ht="15.75">
      <c r="S15421" s="1"/>
    </row>
    <row r="15422" spans="19:19" ht="15.75">
      <c r="S15422" s="1"/>
    </row>
    <row r="15423" spans="19:19" ht="15.75">
      <c r="S15423" s="1"/>
    </row>
    <row r="15424" spans="19:19" ht="15.75">
      <c r="S15424" s="1"/>
    </row>
    <row r="15425" spans="19:19" ht="15.75">
      <c r="S15425" s="1"/>
    </row>
    <row r="15426" spans="19:19" ht="15.75">
      <c r="S15426" s="1"/>
    </row>
    <row r="15427" spans="19:19" ht="15.75">
      <c r="S15427" s="1"/>
    </row>
    <row r="15428" spans="19:19" ht="15.75">
      <c r="S15428" s="1"/>
    </row>
    <row r="15429" spans="19:19" ht="15.75">
      <c r="S15429" s="1"/>
    </row>
    <row r="15430" spans="19:19" ht="15.75">
      <c r="S15430" s="1"/>
    </row>
    <row r="15431" spans="19:19" ht="15.75">
      <c r="S15431" s="1"/>
    </row>
    <row r="15432" spans="19:19" ht="15.75">
      <c r="S15432" s="1"/>
    </row>
    <row r="15433" spans="19:19" ht="15.75">
      <c r="S15433" s="1"/>
    </row>
    <row r="15434" spans="19:19" ht="15.75">
      <c r="S15434" s="1"/>
    </row>
    <row r="15435" spans="19:19" ht="15.75">
      <c r="S15435" s="1"/>
    </row>
    <row r="15436" spans="19:19" ht="15.75">
      <c r="S15436" s="1"/>
    </row>
    <row r="15437" spans="19:19" ht="15.75">
      <c r="S15437" s="1"/>
    </row>
    <row r="15438" spans="19:19" ht="15.75">
      <c r="S15438" s="1"/>
    </row>
    <row r="15439" spans="19:19" ht="15.75">
      <c r="S15439" s="1"/>
    </row>
    <row r="15440" spans="19:19" ht="15.75">
      <c r="S15440" s="1"/>
    </row>
    <row r="15441" spans="19:19" ht="15.75">
      <c r="S15441" s="1"/>
    </row>
    <row r="15442" spans="19:19" ht="15.75">
      <c r="S15442" s="1"/>
    </row>
    <row r="15443" spans="19:19" ht="15.75">
      <c r="S15443" s="1"/>
    </row>
    <row r="15444" spans="19:19" ht="15.75">
      <c r="S15444" s="1"/>
    </row>
    <row r="15445" spans="19:19" ht="15.75">
      <c r="S15445" s="1"/>
    </row>
    <row r="15446" spans="19:19" ht="15.75">
      <c r="S15446" s="1"/>
    </row>
    <row r="15447" spans="19:19" ht="15.75">
      <c r="S15447" s="1"/>
    </row>
    <row r="15448" spans="19:19" ht="15.75">
      <c r="S15448" s="1"/>
    </row>
    <row r="15449" spans="19:19" ht="15.75">
      <c r="S15449" s="1"/>
    </row>
    <row r="15450" spans="19:19" ht="15.75">
      <c r="S15450" s="1"/>
    </row>
    <row r="15451" spans="19:19" ht="15.75">
      <c r="S15451" s="1"/>
    </row>
    <row r="15452" spans="19:19" ht="15.75">
      <c r="S15452" s="1"/>
    </row>
    <row r="15453" spans="19:19" ht="15.75">
      <c r="S15453" s="1"/>
    </row>
    <row r="15454" spans="19:19" ht="15.75">
      <c r="S15454" s="1"/>
    </row>
    <row r="15455" spans="19:19" ht="15.75">
      <c r="S15455" s="1"/>
    </row>
    <row r="15456" spans="19:19" ht="15.75">
      <c r="S15456" s="1"/>
    </row>
    <row r="15457" spans="19:19" ht="15.75">
      <c r="S15457" s="1"/>
    </row>
    <row r="15458" spans="19:19" ht="15.75">
      <c r="S15458" s="1"/>
    </row>
    <row r="15459" spans="19:19" ht="15.75">
      <c r="S15459" s="1"/>
    </row>
    <row r="15460" spans="19:19" ht="15.75">
      <c r="S15460" s="1"/>
    </row>
    <row r="15461" spans="19:19" ht="15.75">
      <c r="S15461" s="1"/>
    </row>
    <row r="15462" spans="19:19" ht="15.75">
      <c r="S15462" s="1"/>
    </row>
    <row r="15463" spans="19:19" ht="15.75">
      <c r="S15463" s="1"/>
    </row>
    <row r="15464" spans="19:19" ht="15.75">
      <c r="S15464" s="1"/>
    </row>
    <row r="15465" spans="19:19" ht="15.75">
      <c r="S15465" s="1"/>
    </row>
    <row r="15466" spans="19:19" ht="15.75">
      <c r="S15466" s="1"/>
    </row>
    <row r="15467" spans="19:19" ht="15.75">
      <c r="S15467" s="1"/>
    </row>
    <row r="15468" spans="19:19" ht="15.75">
      <c r="S15468" s="1"/>
    </row>
    <row r="15469" spans="19:19" ht="15.75">
      <c r="S15469" s="1"/>
    </row>
    <row r="15470" spans="19:19" ht="15.75">
      <c r="S15470" s="1"/>
    </row>
    <row r="15471" spans="19:19" ht="15.75">
      <c r="S15471" s="1"/>
    </row>
    <row r="15472" spans="19:19" ht="15.75">
      <c r="S15472" s="1"/>
    </row>
    <row r="15473" spans="19:19" ht="15.75">
      <c r="S15473" s="1"/>
    </row>
    <row r="15474" spans="19:19" ht="15.75">
      <c r="S15474" s="1"/>
    </row>
    <row r="15475" spans="19:19" ht="15.75">
      <c r="S15475" s="1"/>
    </row>
    <row r="15476" spans="19:19" ht="15.75">
      <c r="S15476" s="1"/>
    </row>
    <row r="15477" spans="19:19" ht="15.75">
      <c r="S15477" s="1"/>
    </row>
    <row r="15478" spans="19:19" ht="15.75">
      <c r="S15478" s="1"/>
    </row>
    <row r="15479" spans="19:19" ht="15.75">
      <c r="S15479" s="1"/>
    </row>
    <row r="15480" spans="19:19" ht="15.75">
      <c r="S15480" s="1"/>
    </row>
    <row r="15481" spans="19:19" ht="15.75">
      <c r="S15481" s="1"/>
    </row>
    <row r="15482" spans="19:19" ht="15.75">
      <c r="S15482" s="1"/>
    </row>
    <row r="15483" spans="19:19" ht="15.75">
      <c r="S15483" s="1"/>
    </row>
    <row r="15484" spans="19:19" ht="15.75">
      <c r="S15484" s="1"/>
    </row>
    <row r="15485" spans="19:19" ht="15.75">
      <c r="S15485" s="1"/>
    </row>
    <row r="15486" spans="19:19" ht="15.75">
      <c r="S15486" s="1"/>
    </row>
    <row r="15487" spans="19:19" ht="15.75">
      <c r="S15487" s="1"/>
    </row>
    <row r="15488" spans="19:19" ht="15.75">
      <c r="S15488" s="1"/>
    </row>
    <row r="15489" spans="19:19" ht="15.75">
      <c r="S15489" s="1"/>
    </row>
    <row r="15490" spans="19:19" ht="15.75">
      <c r="S15490" s="1"/>
    </row>
    <row r="15491" spans="19:19" ht="15.75">
      <c r="S15491" s="1"/>
    </row>
    <row r="15492" spans="19:19" ht="15.75">
      <c r="S15492" s="1"/>
    </row>
    <row r="15493" spans="19:19" ht="15.75">
      <c r="S15493" s="1"/>
    </row>
    <row r="15494" spans="19:19" ht="15.75">
      <c r="S15494" s="1"/>
    </row>
    <row r="15495" spans="19:19" ht="15.75">
      <c r="S15495" s="1"/>
    </row>
    <row r="15496" spans="19:19" ht="15.75">
      <c r="S15496" s="1"/>
    </row>
    <row r="15497" spans="19:19" ht="15.75">
      <c r="S15497" s="1"/>
    </row>
    <row r="15498" spans="19:19" ht="15.75">
      <c r="S15498" s="1"/>
    </row>
    <row r="15499" spans="19:19" ht="15.75">
      <c r="S15499" s="1"/>
    </row>
    <row r="15500" spans="19:19" ht="15.75">
      <c r="S15500" s="1"/>
    </row>
    <row r="15501" spans="19:19" ht="15.75">
      <c r="S15501" s="1"/>
    </row>
    <row r="15502" spans="19:19" ht="15.75">
      <c r="S15502" s="1"/>
    </row>
    <row r="15503" spans="19:19" ht="15.75">
      <c r="S15503" s="1"/>
    </row>
    <row r="15504" spans="19:19" ht="15.75">
      <c r="S15504" s="1"/>
    </row>
    <row r="15505" spans="19:19" ht="15.75">
      <c r="S15505" s="1"/>
    </row>
    <row r="15506" spans="19:19" ht="15.75">
      <c r="S15506" s="1"/>
    </row>
    <row r="15507" spans="19:19" ht="15.75">
      <c r="S15507" s="1"/>
    </row>
    <row r="15508" spans="19:19" ht="15.75">
      <c r="S15508" s="1"/>
    </row>
    <row r="15509" spans="19:19" ht="15.75">
      <c r="S15509" s="1"/>
    </row>
    <row r="15510" spans="19:19" ht="15.75">
      <c r="S15510" s="1"/>
    </row>
    <row r="15511" spans="19:19" ht="15.75">
      <c r="S15511" s="1"/>
    </row>
    <row r="15512" spans="19:19" ht="15.75">
      <c r="S15512" s="1"/>
    </row>
    <row r="15513" spans="19:19" ht="15.75">
      <c r="S15513" s="1"/>
    </row>
    <row r="15514" spans="19:19" ht="15.75">
      <c r="S15514" s="1"/>
    </row>
    <row r="15515" spans="19:19" ht="15.75">
      <c r="S15515" s="1"/>
    </row>
    <row r="15516" spans="19:19" ht="15.75">
      <c r="S15516" s="1"/>
    </row>
    <row r="15517" spans="19:19" ht="15.75">
      <c r="S15517" s="1"/>
    </row>
    <row r="15518" spans="19:19" ht="15.75">
      <c r="S15518" s="1"/>
    </row>
    <row r="15519" spans="19:19" ht="15.75">
      <c r="S15519" s="1"/>
    </row>
    <row r="15520" spans="19:19" ht="15.75">
      <c r="S15520" s="1"/>
    </row>
    <row r="15521" spans="19:19" ht="15.75">
      <c r="S15521" s="1"/>
    </row>
    <row r="15522" spans="19:19" ht="15.75">
      <c r="S15522" s="1"/>
    </row>
    <row r="15523" spans="19:19" ht="15.75">
      <c r="S15523" s="1"/>
    </row>
    <row r="15524" spans="19:19" ht="15.75">
      <c r="S15524" s="1"/>
    </row>
    <row r="15525" spans="19:19" ht="15.75">
      <c r="S15525" s="1"/>
    </row>
    <row r="15526" spans="19:19" ht="15.75">
      <c r="S15526" s="1"/>
    </row>
    <row r="15527" spans="19:19" ht="15.75">
      <c r="S15527" s="1"/>
    </row>
    <row r="15528" spans="19:19" ht="15.75">
      <c r="S15528" s="1"/>
    </row>
    <row r="15529" spans="19:19" ht="15.75">
      <c r="S15529" s="1"/>
    </row>
    <row r="15530" spans="19:19" ht="15.75">
      <c r="S15530" s="1"/>
    </row>
    <row r="15531" spans="19:19" ht="15.75">
      <c r="S15531" s="1"/>
    </row>
    <row r="15532" spans="19:19" ht="15.75">
      <c r="S15532" s="1"/>
    </row>
    <row r="15533" spans="19:19" ht="15.75">
      <c r="S15533" s="1"/>
    </row>
    <row r="15534" spans="19:19" ht="15.75">
      <c r="S15534" s="1"/>
    </row>
    <row r="15535" spans="19:19" ht="15.75">
      <c r="S15535" s="1"/>
    </row>
    <row r="15536" spans="19:19" ht="15.75">
      <c r="S15536" s="1"/>
    </row>
    <row r="15537" spans="19:19" ht="15.75">
      <c r="S15537" s="1"/>
    </row>
    <row r="15538" spans="19:19" ht="15.75">
      <c r="S15538" s="1"/>
    </row>
    <row r="15539" spans="19:19" ht="15.75">
      <c r="S15539" s="1"/>
    </row>
    <row r="15540" spans="19:19" ht="15.75">
      <c r="S15540" s="1"/>
    </row>
    <row r="15541" spans="19:19" ht="15.75">
      <c r="S15541" s="1"/>
    </row>
    <row r="15542" spans="19:19" ht="15.75">
      <c r="S15542" s="1"/>
    </row>
    <row r="15543" spans="19:19" ht="15.75">
      <c r="S15543" s="1"/>
    </row>
    <row r="15544" spans="19:19" ht="15.75">
      <c r="S15544" s="1"/>
    </row>
    <row r="15545" spans="19:19" ht="15.75">
      <c r="S15545" s="1"/>
    </row>
    <row r="15546" spans="19:19" ht="15.75">
      <c r="S15546" s="1"/>
    </row>
    <row r="15547" spans="19:19" ht="15.75">
      <c r="S15547" s="1"/>
    </row>
    <row r="15548" spans="19:19" ht="15.75">
      <c r="S15548" s="1"/>
    </row>
    <row r="15549" spans="19:19" ht="15.75">
      <c r="S15549" s="1"/>
    </row>
    <row r="15550" spans="19:19" ht="15.75">
      <c r="S15550" s="1"/>
    </row>
    <row r="15551" spans="19:19" ht="15.75">
      <c r="S15551" s="1"/>
    </row>
    <row r="15552" spans="19:19" ht="15.75">
      <c r="S15552" s="1"/>
    </row>
    <row r="15553" spans="19:19" ht="15.75">
      <c r="S15553" s="1"/>
    </row>
    <row r="15554" spans="19:19" ht="15.75">
      <c r="S15554" s="1"/>
    </row>
    <row r="15555" spans="19:19" ht="15.75">
      <c r="S15555" s="1"/>
    </row>
    <row r="15556" spans="19:19" ht="15.75">
      <c r="S15556" s="1"/>
    </row>
    <row r="15557" spans="19:19" ht="15.75">
      <c r="S15557" s="1"/>
    </row>
    <row r="15558" spans="19:19" ht="15.75">
      <c r="S15558" s="1"/>
    </row>
    <row r="15559" spans="19:19" ht="15.75">
      <c r="S15559" s="1"/>
    </row>
    <row r="15560" spans="19:19" ht="15.75">
      <c r="S15560" s="1"/>
    </row>
    <row r="15561" spans="19:19" ht="15.75">
      <c r="S15561" s="1"/>
    </row>
    <row r="15562" spans="19:19" ht="15.75">
      <c r="S15562" s="1"/>
    </row>
    <row r="15563" spans="19:19" ht="15.75">
      <c r="S15563" s="1"/>
    </row>
    <row r="15564" spans="19:19" ht="15.75">
      <c r="S15564" s="1"/>
    </row>
    <row r="15565" spans="19:19" ht="15.75">
      <c r="S15565" s="1"/>
    </row>
    <row r="15566" spans="19:19" ht="15.75">
      <c r="S15566" s="1"/>
    </row>
    <row r="15567" spans="19:19" ht="15.75">
      <c r="S15567" s="1"/>
    </row>
    <row r="15568" spans="19:19" ht="15.75">
      <c r="S15568" s="1"/>
    </row>
    <row r="15569" spans="19:19" ht="15.75">
      <c r="S15569" s="1"/>
    </row>
    <row r="15570" spans="19:19" ht="15.75">
      <c r="S15570" s="1"/>
    </row>
    <row r="15571" spans="19:19" ht="15.75">
      <c r="S15571" s="1"/>
    </row>
    <row r="15572" spans="19:19" ht="15.75">
      <c r="S15572" s="1"/>
    </row>
    <row r="15573" spans="19:19" ht="15.75">
      <c r="S15573" s="1"/>
    </row>
    <row r="15574" spans="19:19" ht="15.75">
      <c r="S15574" s="1"/>
    </row>
    <row r="15575" spans="19:19" ht="15.75">
      <c r="S15575" s="1"/>
    </row>
    <row r="15576" spans="19:19" ht="15.75">
      <c r="S15576" s="1"/>
    </row>
    <row r="15577" spans="19:19" ht="15.75">
      <c r="S15577" s="1"/>
    </row>
    <row r="15578" spans="19:19" ht="15.75">
      <c r="S15578" s="1"/>
    </row>
    <row r="15579" spans="19:19" ht="15.75">
      <c r="S15579" s="1"/>
    </row>
    <row r="15580" spans="19:19" ht="15.75">
      <c r="S15580" s="1"/>
    </row>
    <row r="15581" spans="19:19" ht="15.75">
      <c r="S15581" s="1"/>
    </row>
    <row r="15582" spans="19:19" ht="15.75">
      <c r="S15582" s="1"/>
    </row>
    <row r="15583" spans="19:19" ht="15.75">
      <c r="S15583" s="1"/>
    </row>
    <row r="15584" spans="19:19" ht="15.75">
      <c r="S15584" s="1"/>
    </row>
    <row r="15585" spans="19:19" ht="15.75">
      <c r="S15585" s="1"/>
    </row>
    <row r="15586" spans="19:19" ht="15.75">
      <c r="S15586" s="1"/>
    </row>
    <row r="15587" spans="19:19" ht="15.75">
      <c r="S15587" s="1"/>
    </row>
    <row r="15588" spans="19:19" ht="15.75">
      <c r="S15588" s="1"/>
    </row>
    <row r="15589" spans="19:19" ht="15.75">
      <c r="S15589" s="1"/>
    </row>
    <row r="15590" spans="19:19" ht="15.75">
      <c r="S15590" s="1"/>
    </row>
    <row r="15591" spans="19:19" ht="15.75">
      <c r="S15591" s="1"/>
    </row>
    <row r="15592" spans="19:19" ht="15.75">
      <c r="S15592" s="1"/>
    </row>
    <row r="15593" spans="19:19" ht="15.75">
      <c r="S15593" s="1"/>
    </row>
    <row r="15594" spans="19:19" ht="15.75">
      <c r="S15594" s="1"/>
    </row>
    <row r="15595" spans="19:19" ht="15.75">
      <c r="S15595" s="1"/>
    </row>
    <row r="15596" spans="19:19" ht="15.75">
      <c r="S15596" s="1"/>
    </row>
    <row r="15597" spans="19:19" ht="15.75">
      <c r="S15597" s="1"/>
    </row>
    <row r="15598" spans="19:19" ht="15.75">
      <c r="S15598" s="1"/>
    </row>
    <row r="15599" spans="19:19" ht="15.75">
      <c r="S15599" s="1"/>
    </row>
    <row r="15600" spans="19:19" ht="15.75">
      <c r="S15600" s="1"/>
    </row>
    <row r="15601" spans="19:19" ht="15.75">
      <c r="S15601" s="1"/>
    </row>
    <row r="15602" spans="19:19" ht="15.75">
      <c r="S15602" s="1"/>
    </row>
    <row r="15603" spans="19:19" ht="15.75">
      <c r="S15603" s="1"/>
    </row>
    <row r="15604" spans="19:19" ht="15.75">
      <c r="S15604" s="1"/>
    </row>
    <row r="15605" spans="19:19" ht="15.75">
      <c r="S15605" s="1"/>
    </row>
    <row r="15606" spans="19:19" ht="15.75">
      <c r="S15606" s="1"/>
    </row>
    <row r="15607" spans="19:19" ht="15.75">
      <c r="S15607" s="1"/>
    </row>
    <row r="15608" spans="19:19" ht="15.75">
      <c r="S15608" s="1"/>
    </row>
    <row r="15609" spans="19:19" ht="15.75">
      <c r="S15609" s="1"/>
    </row>
    <row r="15610" spans="19:19" ht="15.75">
      <c r="S15610" s="1"/>
    </row>
    <row r="15611" spans="19:19" ht="15.75">
      <c r="S15611" s="1"/>
    </row>
    <row r="15612" spans="19:19" ht="15.75">
      <c r="S15612" s="1"/>
    </row>
    <row r="15613" spans="19:19" ht="15.75">
      <c r="S15613" s="1"/>
    </row>
    <row r="15614" spans="19:19" ht="15.75">
      <c r="S15614" s="1"/>
    </row>
    <row r="15615" spans="19:19" ht="15.75">
      <c r="S15615" s="1"/>
    </row>
    <row r="15616" spans="19:19" ht="15.75">
      <c r="S15616" s="1"/>
    </row>
    <row r="15617" spans="19:19" ht="15.75">
      <c r="S15617" s="1"/>
    </row>
    <row r="15618" spans="19:19" ht="15.75">
      <c r="S15618" s="1"/>
    </row>
    <row r="15619" spans="19:19" ht="15.75">
      <c r="S15619" s="1"/>
    </row>
    <row r="15620" spans="19:19" ht="15.75">
      <c r="S15620" s="1"/>
    </row>
    <row r="15621" spans="19:19" ht="15.75">
      <c r="S15621" s="1"/>
    </row>
    <row r="15622" spans="19:19" ht="15.75">
      <c r="S15622" s="1"/>
    </row>
    <row r="15623" spans="19:19" ht="15.75">
      <c r="S15623" s="1"/>
    </row>
    <row r="15624" spans="19:19" ht="15.75">
      <c r="S15624" s="1"/>
    </row>
    <row r="15625" spans="19:19" ht="15.75">
      <c r="S15625" s="1"/>
    </row>
    <row r="15626" spans="19:19" ht="15.75">
      <c r="S15626" s="1"/>
    </row>
    <row r="15627" spans="19:19" ht="15.75">
      <c r="S15627" s="1"/>
    </row>
    <row r="15628" spans="19:19" ht="15.75">
      <c r="S15628" s="1"/>
    </row>
    <row r="15629" spans="19:19" ht="15.75">
      <c r="S15629" s="1"/>
    </row>
    <row r="15630" spans="19:19" ht="15.75">
      <c r="S15630" s="1"/>
    </row>
    <row r="15631" spans="19:19" ht="15.75">
      <c r="S15631" s="1"/>
    </row>
    <row r="15632" spans="19:19" ht="15.75">
      <c r="S15632" s="1"/>
    </row>
    <row r="15633" spans="19:19" ht="15.75">
      <c r="S15633" s="1"/>
    </row>
    <row r="15634" spans="19:19" ht="15.75">
      <c r="S15634" s="1"/>
    </row>
    <row r="15635" spans="19:19" ht="15.75">
      <c r="S15635" s="1"/>
    </row>
    <row r="15636" spans="19:19" ht="15.75">
      <c r="S15636" s="1"/>
    </row>
    <row r="15637" spans="19:19" ht="15.75">
      <c r="S15637" s="1"/>
    </row>
    <row r="15638" spans="19:19" ht="15.75">
      <c r="S15638" s="1"/>
    </row>
    <row r="15639" spans="19:19" ht="15.75">
      <c r="S15639" s="1"/>
    </row>
    <row r="15640" spans="19:19" ht="15.75">
      <c r="S15640" s="1"/>
    </row>
    <row r="15641" spans="19:19" ht="15.75">
      <c r="S15641" s="1"/>
    </row>
    <row r="15642" spans="19:19" ht="15.75">
      <c r="S15642" s="1"/>
    </row>
    <row r="15643" spans="19:19" ht="15.75">
      <c r="S15643" s="1"/>
    </row>
    <row r="15644" spans="19:19" ht="15.75">
      <c r="S15644" s="1"/>
    </row>
    <row r="15645" spans="19:19" ht="15.75">
      <c r="S15645" s="1"/>
    </row>
    <row r="15646" spans="19:19" ht="15.75">
      <c r="S15646" s="1"/>
    </row>
    <row r="15647" spans="19:19" ht="15.75">
      <c r="S15647" s="1"/>
    </row>
    <row r="15648" spans="19:19" ht="15.75">
      <c r="S15648" s="1"/>
    </row>
    <row r="15649" spans="19:19" ht="15.75">
      <c r="S15649" s="1"/>
    </row>
    <row r="15650" spans="19:19" ht="15.75">
      <c r="S15650" s="1"/>
    </row>
    <row r="15651" spans="19:19" ht="15.75">
      <c r="S15651" s="1"/>
    </row>
    <row r="15652" spans="19:19" ht="15.75">
      <c r="S15652" s="1"/>
    </row>
    <row r="15653" spans="19:19" ht="15.75">
      <c r="S15653" s="1"/>
    </row>
    <row r="15654" spans="19:19" ht="15.75">
      <c r="S15654" s="1"/>
    </row>
    <row r="15655" spans="19:19" ht="15.75">
      <c r="S15655" s="1"/>
    </row>
    <row r="15656" spans="19:19" ht="15.75">
      <c r="S15656" s="1"/>
    </row>
    <row r="15657" spans="19:19" ht="15.75">
      <c r="S15657" s="1"/>
    </row>
    <row r="15658" spans="19:19" ht="15.75">
      <c r="S15658" s="1"/>
    </row>
    <row r="15659" spans="19:19" ht="15.75">
      <c r="S15659" s="1"/>
    </row>
    <row r="15660" spans="19:19" ht="15.75">
      <c r="S15660" s="1"/>
    </row>
    <row r="15661" spans="19:19" ht="15.75">
      <c r="S15661" s="1"/>
    </row>
    <row r="15662" spans="19:19" ht="15.75">
      <c r="S15662" s="1"/>
    </row>
    <row r="15663" spans="19:19" ht="15.75">
      <c r="S15663" s="1"/>
    </row>
    <row r="15664" spans="19:19" ht="15.75">
      <c r="S15664" s="1"/>
    </row>
    <row r="15665" spans="19:19" ht="15.75">
      <c r="S15665" s="1"/>
    </row>
    <row r="15666" spans="19:19" ht="15.75">
      <c r="S15666" s="1"/>
    </row>
    <row r="15667" spans="19:19" ht="15.75">
      <c r="S15667" s="1"/>
    </row>
    <row r="15668" spans="19:19" ht="15.75">
      <c r="S15668" s="1"/>
    </row>
    <row r="15669" spans="19:19" ht="15.75">
      <c r="S15669" s="1"/>
    </row>
    <row r="15670" spans="19:19" ht="15.75">
      <c r="S15670" s="1"/>
    </row>
    <row r="15671" spans="19:19" ht="15.75">
      <c r="S15671" s="1"/>
    </row>
    <row r="15672" spans="19:19" ht="15.75">
      <c r="S15672" s="1"/>
    </row>
    <row r="15673" spans="19:19" ht="15.75">
      <c r="S15673" s="1"/>
    </row>
    <row r="15674" spans="19:19" ht="15.75">
      <c r="S15674" s="1"/>
    </row>
    <row r="15675" spans="19:19" ht="15.75">
      <c r="S15675" s="1"/>
    </row>
    <row r="15676" spans="19:19" ht="15.75">
      <c r="S15676" s="1"/>
    </row>
    <row r="15677" spans="19:19" ht="15.75">
      <c r="S15677" s="1"/>
    </row>
    <row r="15678" spans="19:19" ht="15.75">
      <c r="S15678" s="1"/>
    </row>
    <row r="15679" spans="19:19" ht="15.75">
      <c r="S15679" s="1"/>
    </row>
    <row r="15680" spans="19:19" ht="15.75">
      <c r="S15680" s="1"/>
    </row>
    <row r="15681" spans="19:19" ht="15.75">
      <c r="S15681" s="1"/>
    </row>
    <row r="15682" spans="19:19" ht="15.75">
      <c r="S15682" s="1"/>
    </row>
    <row r="15683" spans="19:19" ht="15.75">
      <c r="S15683" s="1"/>
    </row>
    <row r="15684" spans="19:19" ht="15.75">
      <c r="S15684" s="1"/>
    </row>
    <row r="15685" spans="19:19" ht="15.75">
      <c r="S15685" s="1"/>
    </row>
    <row r="15686" spans="19:19" ht="15.75">
      <c r="S15686" s="1"/>
    </row>
    <row r="15687" spans="19:19" ht="15.75">
      <c r="S15687" s="1"/>
    </row>
    <row r="15688" spans="19:19" ht="15.75">
      <c r="S15688" s="1"/>
    </row>
    <row r="15689" spans="19:19" ht="15.75">
      <c r="S15689" s="1"/>
    </row>
    <row r="15690" spans="19:19" ht="15.75">
      <c r="S15690" s="1"/>
    </row>
    <row r="15691" spans="19:19" ht="15.75">
      <c r="S15691" s="1"/>
    </row>
    <row r="15692" spans="19:19" ht="15.75">
      <c r="S15692" s="1"/>
    </row>
    <row r="15693" spans="19:19" ht="15.75">
      <c r="S15693" s="1"/>
    </row>
    <row r="15694" spans="19:19" ht="15.75">
      <c r="S15694" s="1"/>
    </row>
    <row r="15695" spans="19:19" ht="15.75">
      <c r="S15695" s="1"/>
    </row>
    <row r="15696" spans="19:19" ht="15.75">
      <c r="S15696" s="1"/>
    </row>
    <row r="15697" spans="19:19" ht="15.75">
      <c r="S15697" s="1"/>
    </row>
    <row r="15698" spans="19:19" ht="15.75">
      <c r="S15698" s="1"/>
    </row>
    <row r="15699" spans="19:19" ht="15.75">
      <c r="S15699" s="1"/>
    </row>
    <row r="15700" spans="19:19" ht="15.75">
      <c r="S15700" s="1"/>
    </row>
    <row r="15701" spans="19:19" ht="15.75">
      <c r="S15701" s="1"/>
    </row>
    <row r="15702" spans="19:19" ht="15.75">
      <c r="S15702" s="1"/>
    </row>
    <row r="15703" spans="19:19" ht="15.75">
      <c r="S15703" s="1"/>
    </row>
    <row r="15704" spans="19:19" ht="15.75">
      <c r="S15704" s="1"/>
    </row>
    <row r="15705" spans="19:19" ht="15.75">
      <c r="S15705" s="1"/>
    </row>
    <row r="15706" spans="19:19" ht="15.75">
      <c r="S15706" s="1"/>
    </row>
    <row r="15707" spans="19:19" ht="15.75">
      <c r="S15707" s="1"/>
    </row>
    <row r="15708" spans="19:19" ht="15.75">
      <c r="S15708" s="1"/>
    </row>
    <row r="15709" spans="19:19" ht="15.75">
      <c r="S15709" s="1"/>
    </row>
    <row r="15710" spans="19:19" ht="15.75">
      <c r="S15710" s="1"/>
    </row>
    <row r="15711" spans="19:19" ht="15.75">
      <c r="S15711" s="1"/>
    </row>
    <row r="15712" spans="19:19" ht="15.75">
      <c r="S15712" s="1"/>
    </row>
    <row r="15713" spans="19:19" ht="15.75">
      <c r="S15713" s="1"/>
    </row>
    <row r="15714" spans="19:19" ht="15.75">
      <c r="S15714" s="1"/>
    </row>
    <row r="15715" spans="19:19" ht="15.75">
      <c r="S15715" s="1"/>
    </row>
    <row r="15716" spans="19:19" ht="15.75">
      <c r="S15716" s="1"/>
    </row>
    <row r="15717" spans="19:19" ht="15.75">
      <c r="S15717" s="1"/>
    </row>
    <row r="15718" spans="19:19" ht="15.75">
      <c r="S15718" s="1"/>
    </row>
    <row r="15719" spans="19:19" ht="15.75">
      <c r="S15719" s="1"/>
    </row>
    <row r="15720" spans="19:19" ht="15.75">
      <c r="S15720" s="1"/>
    </row>
    <row r="15721" spans="19:19" ht="15.75">
      <c r="S15721" s="1"/>
    </row>
    <row r="15722" spans="19:19" ht="15.75">
      <c r="S15722" s="1"/>
    </row>
    <row r="15723" spans="19:19" ht="15.75">
      <c r="S15723" s="1"/>
    </row>
    <row r="15724" spans="19:19" ht="15.75">
      <c r="S15724" s="1"/>
    </row>
    <row r="15725" spans="19:19" ht="15.75">
      <c r="S15725" s="1"/>
    </row>
    <row r="15726" spans="19:19" ht="15.75">
      <c r="S15726" s="1"/>
    </row>
    <row r="15727" spans="19:19" ht="15.75">
      <c r="S15727" s="1"/>
    </row>
    <row r="15728" spans="19:19" ht="15.75">
      <c r="S15728" s="1"/>
    </row>
    <row r="15729" spans="19:19" ht="15.75">
      <c r="S15729" s="1"/>
    </row>
    <row r="15730" spans="19:19" ht="15.75">
      <c r="S15730" s="1"/>
    </row>
    <row r="15731" spans="19:19" ht="15.75">
      <c r="S15731" s="1"/>
    </row>
    <row r="15732" spans="19:19" ht="15.75">
      <c r="S15732" s="1"/>
    </row>
    <row r="15733" spans="19:19" ht="15.75">
      <c r="S15733" s="1"/>
    </row>
    <row r="15734" spans="19:19" ht="15.75">
      <c r="S15734" s="1"/>
    </row>
    <row r="15735" spans="19:19" ht="15.75">
      <c r="S15735" s="1"/>
    </row>
    <row r="15736" spans="19:19" ht="15.75">
      <c r="S15736" s="1"/>
    </row>
    <row r="15737" spans="19:19" ht="15.75">
      <c r="S15737" s="1"/>
    </row>
    <row r="15738" spans="19:19" ht="15.75">
      <c r="S15738" s="1"/>
    </row>
    <row r="15739" spans="19:19" ht="15.75">
      <c r="S15739" s="1"/>
    </row>
    <row r="15740" spans="19:19" ht="15.75">
      <c r="S15740" s="1"/>
    </row>
    <row r="15741" spans="19:19" ht="15.75">
      <c r="S15741" s="1"/>
    </row>
    <row r="15742" spans="19:19" ht="15.75">
      <c r="S15742" s="1"/>
    </row>
    <row r="15743" spans="19:19" ht="15.75">
      <c r="S15743" s="1"/>
    </row>
    <row r="15744" spans="19:19" ht="15.75">
      <c r="S15744" s="1"/>
    </row>
    <row r="15745" spans="19:19" ht="15.75">
      <c r="S15745" s="1"/>
    </row>
    <row r="15746" spans="19:19" ht="15.75">
      <c r="S15746" s="1"/>
    </row>
    <row r="15747" spans="19:19" ht="15.75">
      <c r="S15747" s="1"/>
    </row>
    <row r="15748" spans="19:19" ht="15.75">
      <c r="S15748" s="1"/>
    </row>
    <row r="15749" spans="19:19" ht="15.75">
      <c r="S15749" s="1"/>
    </row>
    <row r="15750" spans="19:19" ht="15.75">
      <c r="S15750" s="1"/>
    </row>
    <row r="15751" spans="19:19" ht="15.75">
      <c r="S15751" s="1"/>
    </row>
    <row r="15752" spans="19:19" ht="15.75">
      <c r="S15752" s="1"/>
    </row>
    <row r="15753" spans="19:19" ht="15.75">
      <c r="S15753" s="1"/>
    </row>
    <row r="15754" spans="19:19" ht="15.75">
      <c r="S15754" s="1"/>
    </row>
    <row r="15755" spans="19:19" ht="15.75">
      <c r="S15755" s="1"/>
    </row>
    <row r="15756" spans="19:19" ht="15.75">
      <c r="S15756" s="1"/>
    </row>
    <row r="15757" spans="19:19" ht="15.75">
      <c r="S15757" s="1"/>
    </row>
    <row r="15758" spans="19:19" ht="15.75">
      <c r="S15758" s="1"/>
    </row>
    <row r="15759" spans="19:19" ht="15.75">
      <c r="S15759" s="1"/>
    </row>
    <row r="15760" spans="19:19" ht="15.75">
      <c r="S15760" s="1"/>
    </row>
    <row r="15761" spans="19:19" ht="15.75">
      <c r="S15761" s="1"/>
    </row>
    <row r="15762" spans="19:19" ht="15.75">
      <c r="S15762" s="1"/>
    </row>
    <row r="15763" spans="19:19" ht="15.75">
      <c r="S15763" s="1"/>
    </row>
    <row r="15764" spans="19:19" ht="15.75">
      <c r="S15764" s="1"/>
    </row>
    <row r="15765" spans="19:19" ht="15.75">
      <c r="S15765" s="1"/>
    </row>
    <row r="15766" spans="19:19" ht="15.75">
      <c r="S15766" s="1"/>
    </row>
    <row r="15767" spans="19:19" ht="15.75">
      <c r="S15767" s="1"/>
    </row>
    <row r="15768" spans="19:19" ht="15.75">
      <c r="S15768" s="1"/>
    </row>
    <row r="15769" spans="19:19" ht="15.75">
      <c r="S15769" s="1"/>
    </row>
    <row r="15770" spans="19:19" ht="15.75">
      <c r="S15770" s="1"/>
    </row>
    <row r="15771" spans="19:19" ht="15.75">
      <c r="S15771" s="1"/>
    </row>
    <row r="15772" spans="19:19" ht="15.75">
      <c r="S15772" s="1"/>
    </row>
    <row r="15773" spans="19:19" ht="15.75">
      <c r="S15773" s="1"/>
    </row>
    <row r="15774" spans="19:19" ht="15.75">
      <c r="S15774" s="1"/>
    </row>
    <row r="15775" spans="19:19" ht="15.75">
      <c r="S15775" s="1"/>
    </row>
    <row r="15776" spans="19:19" ht="15.75">
      <c r="S15776" s="1"/>
    </row>
    <row r="15777" spans="19:19" ht="15.75">
      <c r="S15777" s="1"/>
    </row>
    <row r="15778" spans="19:19" ht="15.75">
      <c r="S15778" s="1"/>
    </row>
    <row r="15779" spans="19:19" ht="15.75">
      <c r="S15779" s="1"/>
    </row>
    <row r="15780" spans="19:19" ht="15.75">
      <c r="S15780" s="1"/>
    </row>
    <row r="15781" spans="19:19" ht="15.75">
      <c r="S15781" s="1"/>
    </row>
    <row r="15782" spans="19:19" ht="15.75">
      <c r="S15782" s="1"/>
    </row>
    <row r="15783" spans="19:19" ht="15.75">
      <c r="S15783" s="1"/>
    </row>
    <row r="15784" spans="19:19" ht="15.75">
      <c r="S15784" s="1"/>
    </row>
    <row r="15785" spans="19:19" ht="15.75">
      <c r="S15785" s="1"/>
    </row>
    <row r="15786" spans="19:19" ht="15.75">
      <c r="S15786" s="1"/>
    </row>
    <row r="15787" spans="19:19" ht="15.75">
      <c r="S15787" s="1"/>
    </row>
    <row r="15788" spans="19:19" ht="15.75">
      <c r="S15788" s="1"/>
    </row>
    <row r="15789" spans="19:19" ht="15.75">
      <c r="S15789" s="1"/>
    </row>
    <row r="15790" spans="19:19" ht="15.75">
      <c r="S15790" s="1"/>
    </row>
    <row r="15791" spans="19:19" ht="15.75">
      <c r="S15791" s="1"/>
    </row>
    <row r="15792" spans="19:19" ht="15.75">
      <c r="S15792" s="1"/>
    </row>
    <row r="15793" spans="19:19" ht="15.75">
      <c r="S15793" s="1"/>
    </row>
    <row r="15794" spans="19:19" ht="15.75">
      <c r="S15794" s="1"/>
    </row>
    <row r="15795" spans="19:19" ht="15.75">
      <c r="S15795" s="1"/>
    </row>
    <row r="15796" spans="19:19" ht="15.75">
      <c r="S15796" s="1"/>
    </row>
    <row r="15797" spans="19:19" ht="15.75">
      <c r="S15797" s="1"/>
    </row>
    <row r="15798" spans="19:19" ht="15.75">
      <c r="S15798" s="1"/>
    </row>
    <row r="15799" spans="19:19" ht="15.75">
      <c r="S15799" s="1"/>
    </row>
    <row r="15800" spans="19:19" ht="15.75">
      <c r="S15800" s="1"/>
    </row>
    <row r="15801" spans="19:19" ht="15.75">
      <c r="S15801" s="1"/>
    </row>
    <row r="15802" spans="19:19" ht="15.75">
      <c r="S15802" s="1"/>
    </row>
    <row r="15803" spans="19:19" ht="15.75">
      <c r="S15803" s="1"/>
    </row>
    <row r="15804" spans="19:19" ht="15.75">
      <c r="S15804" s="1"/>
    </row>
    <row r="15805" spans="19:19" ht="15.75">
      <c r="S15805" s="1"/>
    </row>
    <row r="15806" spans="19:19" ht="15.75">
      <c r="S15806" s="1"/>
    </row>
    <row r="15807" spans="19:19" ht="15.75">
      <c r="S15807" s="1"/>
    </row>
    <row r="15808" spans="19:19" ht="15.75">
      <c r="S15808" s="1"/>
    </row>
    <row r="15809" spans="19:19" ht="15.75">
      <c r="S15809" s="1"/>
    </row>
    <row r="15810" spans="19:19" ht="15.75">
      <c r="S15810" s="1"/>
    </row>
    <row r="15811" spans="19:19" ht="15.75">
      <c r="S15811" s="1"/>
    </row>
    <row r="15812" spans="19:19" ht="15.75">
      <c r="S15812" s="1"/>
    </row>
    <row r="15813" spans="19:19" ht="15.75">
      <c r="S15813" s="1"/>
    </row>
    <row r="15814" spans="19:19" ht="15.75">
      <c r="S15814" s="1"/>
    </row>
    <row r="15815" spans="19:19" ht="15.75">
      <c r="S15815" s="1"/>
    </row>
    <row r="15816" spans="19:19" ht="15.75">
      <c r="S15816" s="1"/>
    </row>
    <row r="15817" spans="19:19" ht="15.75">
      <c r="S15817" s="1"/>
    </row>
    <row r="15818" spans="19:19" ht="15.75">
      <c r="S15818" s="1"/>
    </row>
    <row r="15819" spans="19:19" ht="15.75">
      <c r="S15819" s="1"/>
    </row>
    <row r="15820" spans="19:19" ht="15.75">
      <c r="S15820" s="1"/>
    </row>
    <row r="15821" spans="19:19" ht="15.75">
      <c r="S15821" s="1"/>
    </row>
    <row r="15822" spans="19:19" ht="15.75">
      <c r="S15822" s="1"/>
    </row>
    <row r="15823" spans="19:19" ht="15.75">
      <c r="S15823" s="1"/>
    </row>
    <row r="15824" spans="19:19" ht="15.75">
      <c r="S15824" s="1"/>
    </row>
    <row r="15825" spans="19:19" ht="15.75">
      <c r="S15825" s="1"/>
    </row>
    <row r="15826" spans="19:19" ht="15.75">
      <c r="S15826" s="1"/>
    </row>
    <row r="15827" spans="19:19" ht="15.75">
      <c r="S15827" s="1"/>
    </row>
    <row r="15828" spans="19:19" ht="15.75">
      <c r="S15828" s="1"/>
    </row>
    <row r="15829" spans="19:19" ht="15.75">
      <c r="S15829" s="1"/>
    </row>
    <row r="15830" spans="19:19" ht="15.75">
      <c r="S15830" s="1"/>
    </row>
    <row r="15831" spans="19:19" ht="15.75">
      <c r="S15831" s="1"/>
    </row>
    <row r="15832" spans="19:19" ht="15.75">
      <c r="S15832" s="1"/>
    </row>
    <row r="15833" spans="19:19" ht="15.75">
      <c r="S15833" s="1"/>
    </row>
    <row r="15834" spans="19:19" ht="15.75">
      <c r="S15834" s="1"/>
    </row>
    <row r="15835" spans="19:19" ht="15.75">
      <c r="S15835" s="1"/>
    </row>
    <row r="15836" spans="19:19" ht="15.75">
      <c r="S15836" s="1"/>
    </row>
    <row r="15837" spans="19:19" ht="15.75">
      <c r="S15837" s="1"/>
    </row>
    <row r="15838" spans="19:19" ht="15.75">
      <c r="S15838" s="1"/>
    </row>
    <row r="15839" spans="19:19" ht="15.75">
      <c r="S15839" s="1"/>
    </row>
    <row r="15840" spans="19:19" ht="15.75">
      <c r="S15840" s="1"/>
    </row>
    <row r="15841" spans="19:19" ht="15.75">
      <c r="S15841" s="1"/>
    </row>
    <row r="15842" spans="19:19" ht="15.75">
      <c r="S15842" s="1"/>
    </row>
    <row r="15843" spans="19:19" ht="15.75">
      <c r="S15843" s="1"/>
    </row>
    <row r="15844" spans="19:19" ht="15.75">
      <c r="S15844" s="1"/>
    </row>
    <row r="15845" spans="19:19" ht="15.75">
      <c r="S15845" s="1"/>
    </row>
    <row r="15846" spans="19:19" ht="15.75">
      <c r="S15846" s="1"/>
    </row>
    <row r="15847" spans="19:19" ht="15.75">
      <c r="S15847" s="1"/>
    </row>
    <row r="15848" spans="19:19" ht="15.75">
      <c r="S15848" s="1"/>
    </row>
    <row r="15849" spans="19:19" ht="15.75">
      <c r="S15849" s="1"/>
    </row>
    <row r="15850" spans="19:19" ht="15.75">
      <c r="S15850" s="1"/>
    </row>
    <row r="15851" spans="19:19" ht="15.75">
      <c r="S15851" s="1"/>
    </row>
    <row r="15852" spans="19:19" ht="15.75">
      <c r="S15852" s="1"/>
    </row>
    <row r="15853" spans="19:19" ht="15.75">
      <c r="S15853" s="1"/>
    </row>
    <row r="15854" spans="19:19" ht="15.75">
      <c r="S15854" s="1"/>
    </row>
    <row r="15855" spans="19:19" ht="15.75">
      <c r="S15855" s="1"/>
    </row>
    <row r="15856" spans="19:19" ht="15.75">
      <c r="S15856" s="1"/>
    </row>
    <row r="15857" spans="19:19" ht="15.75">
      <c r="S15857" s="1"/>
    </row>
    <row r="15858" spans="19:19" ht="15.75">
      <c r="S15858" s="1"/>
    </row>
    <row r="15859" spans="19:19" ht="15.75">
      <c r="S15859" s="1"/>
    </row>
    <row r="15860" spans="19:19" ht="15.75">
      <c r="S15860" s="1"/>
    </row>
    <row r="15861" spans="19:19" ht="15.75">
      <c r="S15861" s="1"/>
    </row>
    <row r="15862" spans="19:19" ht="15.75">
      <c r="S15862" s="1"/>
    </row>
    <row r="15863" spans="19:19" ht="15.75">
      <c r="S15863" s="1"/>
    </row>
    <row r="15864" spans="19:19" ht="15.75">
      <c r="S15864" s="1"/>
    </row>
    <row r="15865" spans="19:19" ht="15.75">
      <c r="S15865" s="1"/>
    </row>
    <row r="15866" spans="19:19" ht="15.75">
      <c r="S15866" s="1"/>
    </row>
    <row r="15867" spans="19:19" ht="15.75">
      <c r="S15867" s="1"/>
    </row>
    <row r="15868" spans="19:19" ht="15.75">
      <c r="S15868" s="1"/>
    </row>
    <row r="15869" spans="19:19" ht="15.75">
      <c r="S15869" s="1"/>
    </row>
    <row r="15870" spans="19:19" ht="15.75">
      <c r="S15870" s="1"/>
    </row>
    <row r="15871" spans="19:19" ht="15.75">
      <c r="S15871" s="1"/>
    </row>
    <row r="15872" spans="19:19" ht="15.75">
      <c r="S15872" s="1"/>
    </row>
    <row r="15873" spans="19:19" ht="15.75">
      <c r="S15873" s="1"/>
    </row>
    <row r="15874" spans="19:19" ht="15.75">
      <c r="S15874" s="1"/>
    </row>
    <row r="15875" spans="19:19" ht="15.75">
      <c r="S15875" s="1"/>
    </row>
    <row r="15876" spans="19:19" ht="15.75">
      <c r="S15876" s="1"/>
    </row>
    <row r="15877" spans="19:19" ht="15.75">
      <c r="S15877" s="1"/>
    </row>
    <row r="15878" spans="19:19" ht="15.75">
      <c r="S15878" s="1"/>
    </row>
    <row r="15879" spans="19:19" ht="15.75">
      <c r="S15879" s="1"/>
    </row>
    <row r="15880" spans="19:19" ht="15.75">
      <c r="S15880" s="1"/>
    </row>
    <row r="15881" spans="19:19" ht="15.75">
      <c r="S15881" s="1"/>
    </row>
    <row r="15882" spans="19:19" ht="15.75">
      <c r="S15882" s="1"/>
    </row>
    <row r="15883" spans="19:19" ht="15.75">
      <c r="S15883" s="1"/>
    </row>
    <row r="15884" spans="19:19" ht="15.75">
      <c r="S15884" s="1"/>
    </row>
    <row r="15885" spans="19:19" ht="15.75">
      <c r="S15885" s="1"/>
    </row>
    <row r="15886" spans="19:19" ht="15.75">
      <c r="S15886" s="1"/>
    </row>
    <row r="15887" spans="19:19" ht="15.75">
      <c r="S15887" s="1"/>
    </row>
    <row r="15888" spans="19:19" ht="15.75">
      <c r="S15888" s="1"/>
    </row>
    <row r="15889" spans="19:19" ht="15.75">
      <c r="S15889" s="1"/>
    </row>
    <row r="15890" spans="19:19" ht="15.75">
      <c r="S15890" s="1"/>
    </row>
    <row r="15891" spans="19:19" ht="15.75">
      <c r="S15891" s="1"/>
    </row>
    <row r="15892" spans="19:19" ht="15.75">
      <c r="S15892" s="1"/>
    </row>
    <row r="15893" spans="19:19" ht="15.75">
      <c r="S15893" s="1"/>
    </row>
    <row r="15894" spans="19:19" ht="15.75">
      <c r="S15894" s="1"/>
    </row>
    <row r="15895" spans="19:19" ht="15.75">
      <c r="S15895" s="1"/>
    </row>
    <row r="15896" spans="19:19" ht="15.75">
      <c r="S15896" s="1"/>
    </row>
    <row r="15897" spans="19:19" ht="15.75">
      <c r="S15897" s="1"/>
    </row>
    <row r="15898" spans="19:19" ht="15.75">
      <c r="S15898" s="1"/>
    </row>
    <row r="15899" spans="19:19" ht="15.75">
      <c r="S15899" s="1"/>
    </row>
    <row r="15900" spans="19:19" ht="15.75">
      <c r="S15900" s="1"/>
    </row>
    <row r="15901" spans="19:19" ht="15.75">
      <c r="S15901" s="1"/>
    </row>
    <row r="15902" spans="19:19" ht="15.75">
      <c r="S15902" s="1"/>
    </row>
    <row r="15903" spans="19:19" ht="15.75">
      <c r="S15903" s="1"/>
    </row>
    <row r="15904" spans="19:19" ht="15.75">
      <c r="S15904" s="1"/>
    </row>
    <row r="15905" spans="19:19" ht="15.75">
      <c r="S15905" s="1"/>
    </row>
    <row r="15906" spans="19:19" ht="15.75">
      <c r="S15906" s="1"/>
    </row>
    <row r="15907" spans="19:19" ht="15.75">
      <c r="S15907" s="1"/>
    </row>
    <row r="15908" spans="19:19" ht="15.75">
      <c r="S15908" s="1"/>
    </row>
    <row r="15909" spans="19:19" ht="15.75">
      <c r="S15909" s="1"/>
    </row>
    <row r="15910" spans="19:19" ht="15.75">
      <c r="S15910" s="1"/>
    </row>
    <row r="15911" spans="19:19" ht="15.75">
      <c r="S15911" s="1"/>
    </row>
    <row r="15912" spans="19:19" ht="15.75">
      <c r="S15912" s="1"/>
    </row>
    <row r="15913" spans="19:19" ht="15.75">
      <c r="S15913" s="1"/>
    </row>
    <row r="15914" spans="19:19" ht="15.75">
      <c r="S15914" s="1"/>
    </row>
    <row r="15915" spans="19:19" ht="15.75">
      <c r="S15915" s="1"/>
    </row>
    <row r="15916" spans="19:19" ht="15.75">
      <c r="S15916" s="1"/>
    </row>
    <row r="15917" spans="19:19" ht="15.75">
      <c r="S15917" s="1"/>
    </row>
    <row r="15918" spans="19:19" ht="15.75">
      <c r="S15918" s="1"/>
    </row>
    <row r="15919" spans="19:19" ht="15.75">
      <c r="S15919" s="1"/>
    </row>
    <row r="15920" spans="19:19" ht="15.75">
      <c r="S15920" s="1"/>
    </row>
    <row r="15921" spans="19:19" ht="15.75">
      <c r="S15921" s="1"/>
    </row>
    <row r="15922" spans="19:19" ht="15.75">
      <c r="S15922" s="1"/>
    </row>
    <row r="15923" spans="19:19" ht="15.75">
      <c r="S15923" s="1"/>
    </row>
    <row r="15924" spans="19:19" ht="15.75">
      <c r="S15924" s="1"/>
    </row>
    <row r="15925" spans="19:19" ht="15.75">
      <c r="S15925" s="1"/>
    </row>
    <row r="15926" spans="19:19" ht="15.75">
      <c r="S15926" s="1"/>
    </row>
    <row r="15927" spans="19:19" ht="15.75">
      <c r="S15927" s="1"/>
    </row>
    <row r="15928" spans="19:19" ht="15.75">
      <c r="S15928" s="1"/>
    </row>
    <row r="15929" spans="19:19" ht="15.75">
      <c r="S15929" s="1"/>
    </row>
    <row r="15930" spans="19:19" ht="15.75">
      <c r="S15930" s="1"/>
    </row>
    <row r="15931" spans="19:19" ht="15.75">
      <c r="S15931" s="1"/>
    </row>
    <row r="15932" spans="19:19" ht="15.75">
      <c r="S15932" s="1"/>
    </row>
    <row r="15933" spans="19:19" ht="15.75">
      <c r="S15933" s="1"/>
    </row>
    <row r="15934" spans="19:19" ht="15.75">
      <c r="S15934" s="1"/>
    </row>
    <row r="15935" spans="19:19" ht="15.75">
      <c r="S15935" s="1"/>
    </row>
    <row r="15936" spans="19:19" ht="15.75">
      <c r="S15936" s="1"/>
    </row>
    <row r="15937" spans="19:19" ht="15.75">
      <c r="S15937" s="1"/>
    </row>
    <row r="15938" spans="19:19" ht="15.75">
      <c r="S15938" s="1"/>
    </row>
    <row r="15939" spans="19:19" ht="15.75">
      <c r="S15939" s="1"/>
    </row>
    <row r="15940" spans="19:19" ht="15.75">
      <c r="S15940" s="1"/>
    </row>
    <row r="15941" spans="19:19" ht="15.75">
      <c r="S15941" s="1"/>
    </row>
    <row r="15942" spans="19:19" ht="15.75">
      <c r="S15942" s="1"/>
    </row>
    <row r="15943" spans="19:19" ht="15.75">
      <c r="S15943" s="1"/>
    </row>
    <row r="15944" spans="19:19" ht="15.75">
      <c r="S15944" s="1"/>
    </row>
    <row r="15945" spans="19:19" ht="15.75">
      <c r="S15945" s="1"/>
    </row>
    <row r="15946" spans="19:19" ht="15.75">
      <c r="S15946" s="1"/>
    </row>
    <row r="15947" spans="19:19" ht="15.75">
      <c r="S15947" s="1"/>
    </row>
    <row r="15948" spans="19:19" ht="15.75">
      <c r="S15948" s="1"/>
    </row>
    <row r="15949" spans="19:19" ht="15.75">
      <c r="S15949" s="1"/>
    </row>
    <row r="15950" spans="19:19" ht="15.75">
      <c r="S15950" s="1"/>
    </row>
    <row r="15951" spans="19:19" ht="15.75">
      <c r="S15951" s="1"/>
    </row>
    <row r="15952" spans="19:19" ht="15.75">
      <c r="S15952" s="1"/>
    </row>
    <row r="15953" spans="19:19" ht="15.75">
      <c r="S15953" s="1"/>
    </row>
    <row r="15954" spans="19:19" ht="15.75">
      <c r="S15954" s="1"/>
    </row>
    <row r="15955" spans="19:19" ht="15.75">
      <c r="S15955" s="1"/>
    </row>
    <row r="15956" spans="19:19" ht="15.75">
      <c r="S15956" s="1"/>
    </row>
    <row r="15957" spans="19:19" ht="15.75">
      <c r="S15957" s="1"/>
    </row>
    <row r="15958" spans="19:19" ht="15.75">
      <c r="S15958" s="1"/>
    </row>
    <row r="15959" spans="19:19" ht="15.75">
      <c r="S15959" s="1"/>
    </row>
    <row r="15960" spans="19:19" ht="15.75">
      <c r="S15960" s="1"/>
    </row>
    <row r="15961" spans="19:19" ht="15.75">
      <c r="S15961" s="1"/>
    </row>
    <row r="15962" spans="19:19" ht="15.75">
      <c r="S15962" s="1"/>
    </row>
    <row r="15963" spans="19:19" ht="15.75">
      <c r="S15963" s="1"/>
    </row>
    <row r="15964" spans="19:19" ht="15.75">
      <c r="S15964" s="1"/>
    </row>
    <row r="15965" spans="19:19" ht="15.75">
      <c r="S15965" s="1"/>
    </row>
    <row r="15966" spans="19:19" ht="15.75">
      <c r="S15966" s="1"/>
    </row>
    <row r="15967" spans="19:19" ht="15.75">
      <c r="S15967" s="1"/>
    </row>
    <row r="15968" spans="19:19" ht="15.75">
      <c r="S15968" s="1"/>
    </row>
    <row r="15969" spans="19:19" ht="15.75">
      <c r="S15969" s="1"/>
    </row>
    <row r="15970" spans="19:19" ht="15.75">
      <c r="S15970" s="1"/>
    </row>
    <row r="15971" spans="19:19" ht="15.75">
      <c r="S15971" s="1"/>
    </row>
    <row r="15972" spans="19:19" ht="15.75">
      <c r="S15972" s="1"/>
    </row>
    <row r="15973" spans="19:19" ht="15.75">
      <c r="S15973" s="1"/>
    </row>
    <row r="15974" spans="19:19" ht="15.75">
      <c r="S15974" s="1"/>
    </row>
    <row r="15975" spans="19:19" ht="15.75">
      <c r="S15975" s="1"/>
    </row>
    <row r="15976" spans="19:19" ht="15.75">
      <c r="S15976" s="1"/>
    </row>
    <row r="15977" spans="19:19" ht="15.75">
      <c r="S15977" s="1"/>
    </row>
    <row r="15978" spans="19:19" ht="15.75">
      <c r="S15978" s="1"/>
    </row>
    <row r="15979" spans="19:19" ht="15.75">
      <c r="S15979" s="1"/>
    </row>
    <row r="15980" spans="19:19" ht="15.75">
      <c r="S15980" s="1"/>
    </row>
    <row r="15981" spans="19:19" ht="15.75">
      <c r="S15981" s="1"/>
    </row>
    <row r="15982" spans="19:19" ht="15.75">
      <c r="S15982" s="1"/>
    </row>
    <row r="15983" spans="19:19" ht="15.75">
      <c r="S15983" s="1"/>
    </row>
    <row r="15984" spans="19:19" ht="15.75">
      <c r="S15984" s="1"/>
    </row>
    <row r="15985" spans="19:19" ht="15.75">
      <c r="S15985" s="1"/>
    </row>
    <row r="15986" spans="19:19" ht="15.75">
      <c r="S15986" s="1"/>
    </row>
    <row r="15987" spans="19:19" ht="15.75">
      <c r="S15987" s="1"/>
    </row>
    <row r="15988" spans="19:19" ht="15.75">
      <c r="S15988" s="1"/>
    </row>
    <row r="15989" spans="19:19" ht="15.75">
      <c r="S15989" s="1"/>
    </row>
    <row r="15990" spans="19:19" ht="15.75">
      <c r="S15990" s="1"/>
    </row>
    <row r="15991" spans="19:19" ht="15.75">
      <c r="S15991" s="1"/>
    </row>
    <row r="15992" spans="19:19" ht="15.75">
      <c r="S15992" s="1"/>
    </row>
    <row r="15993" spans="19:19" ht="15.75">
      <c r="S15993" s="1"/>
    </row>
    <row r="15994" spans="19:19" ht="15.75">
      <c r="S15994" s="1"/>
    </row>
    <row r="15995" spans="19:19" ht="15.75">
      <c r="S15995" s="1"/>
    </row>
    <row r="15996" spans="19:19" ht="15.75">
      <c r="S15996" s="1"/>
    </row>
    <row r="15997" spans="19:19" ht="15.75">
      <c r="S15997" s="1"/>
    </row>
    <row r="15998" spans="19:19" ht="15.75">
      <c r="S15998" s="1"/>
    </row>
    <row r="15999" spans="19:19" ht="15.75">
      <c r="S15999" s="1"/>
    </row>
    <row r="16000" spans="19:19" ht="15.75">
      <c r="S16000" s="1"/>
    </row>
    <row r="16001" spans="19:19" ht="15.75">
      <c r="S16001" s="1"/>
    </row>
    <row r="16002" spans="19:19" ht="15.75">
      <c r="S16002" s="1"/>
    </row>
    <row r="16003" spans="19:19" ht="15.75">
      <c r="S16003" s="1"/>
    </row>
    <row r="16004" spans="19:19" ht="15.75">
      <c r="S16004" s="1"/>
    </row>
    <row r="16005" spans="19:19" ht="15.75">
      <c r="S16005" s="1"/>
    </row>
    <row r="16006" spans="19:19" ht="15.75">
      <c r="S16006" s="1"/>
    </row>
    <row r="16007" spans="19:19" ht="15.75">
      <c r="S16007" s="1"/>
    </row>
    <row r="16008" spans="19:19" ht="15.75">
      <c r="S16008" s="1"/>
    </row>
    <row r="16009" spans="19:19" ht="15.75">
      <c r="S16009" s="1"/>
    </row>
    <row r="16010" spans="19:19" ht="15.75">
      <c r="S16010" s="1"/>
    </row>
    <row r="16011" spans="19:19" ht="15.75">
      <c r="S16011" s="1"/>
    </row>
    <row r="16012" spans="19:19" ht="15.75">
      <c r="S16012" s="1"/>
    </row>
    <row r="16013" spans="19:19" ht="15.75">
      <c r="S16013" s="1"/>
    </row>
    <row r="16014" spans="19:19" ht="15.75">
      <c r="S16014" s="1"/>
    </row>
    <row r="16015" spans="19:19" ht="15.75">
      <c r="S16015" s="1"/>
    </row>
    <row r="16016" spans="19:19" ht="15.75">
      <c r="S16016" s="1"/>
    </row>
    <row r="16017" spans="19:19" ht="15.75">
      <c r="S16017" s="1"/>
    </row>
    <row r="16018" spans="19:19" ht="15.75">
      <c r="S16018" s="1"/>
    </row>
    <row r="16019" spans="19:19" ht="15.75">
      <c r="S16019" s="1"/>
    </row>
    <row r="16020" spans="19:19" ht="15.75">
      <c r="S16020" s="1"/>
    </row>
    <row r="16021" spans="19:19" ht="15.75">
      <c r="S16021" s="1"/>
    </row>
    <row r="16022" spans="19:19" ht="15.75">
      <c r="S16022" s="1"/>
    </row>
    <row r="16023" spans="19:19" ht="15.75">
      <c r="S16023" s="1"/>
    </row>
    <row r="16024" spans="19:19" ht="15.75">
      <c r="S16024" s="1"/>
    </row>
    <row r="16025" spans="19:19" ht="15.75">
      <c r="S16025" s="1"/>
    </row>
    <row r="16026" spans="19:19" ht="15.75">
      <c r="S16026" s="1"/>
    </row>
    <row r="16027" spans="19:19" ht="15.75">
      <c r="S16027" s="1"/>
    </row>
    <row r="16028" spans="19:19" ht="15.75">
      <c r="S16028" s="1"/>
    </row>
    <row r="16029" spans="19:19" ht="15.75">
      <c r="S16029" s="1"/>
    </row>
    <row r="16030" spans="19:19" ht="15.75">
      <c r="S16030" s="1"/>
    </row>
    <row r="16031" spans="19:19" ht="15.75">
      <c r="S16031" s="1"/>
    </row>
    <row r="16032" spans="19:19" ht="15.75">
      <c r="S16032" s="1"/>
    </row>
    <row r="16033" spans="19:19" ht="15.75">
      <c r="S16033" s="1"/>
    </row>
    <row r="16034" spans="19:19" ht="15.75">
      <c r="S16034" s="1"/>
    </row>
    <row r="16035" spans="19:19" ht="15.75">
      <c r="S16035" s="1"/>
    </row>
    <row r="16036" spans="19:19" ht="15.75">
      <c r="S16036" s="1"/>
    </row>
    <row r="16037" spans="19:19" ht="15.75">
      <c r="S16037" s="1"/>
    </row>
    <row r="16038" spans="19:19" ht="15.75">
      <c r="S16038" s="1"/>
    </row>
    <row r="16039" spans="19:19" ht="15.75">
      <c r="S16039" s="1"/>
    </row>
    <row r="16040" spans="19:19" ht="15.75">
      <c r="S16040" s="1"/>
    </row>
    <row r="16041" spans="19:19" ht="15.75">
      <c r="S16041" s="1"/>
    </row>
    <row r="16042" spans="19:19" ht="15.75">
      <c r="S16042" s="1"/>
    </row>
    <row r="16043" spans="19:19" ht="15.75">
      <c r="S16043" s="1"/>
    </row>
    <row r="16044" spans="19:19" ht="15.75">
      <c r="S16044" s="1"/>
    </row>
    <row r="16045" spans="19:19" ht="15.75">
      <c r="S16045" s="1"/>
    </row>
    <row r="16046" spans="19:19" ht="15.75">
      <c r="S16046" s="1"/>
    </row>
    <row r="16047" spans="19:19" ht="15.75">
      <c r="S16047" s="1"/>
    </row>
    <row r="16048" spans="19:19" ht="15.75">
      <c r="S16048" s="1"/>
    </row>
    <row r="16049" spans="19:19" ht="15.75">
      <c r="S16049" s="1"/>
    </row>
    <row r="16050" spans="19:19" ht="15.75">
      <c r="S16050" s="1"/>
    </row>
    <row r="16051" spans="19:19" ht="15.75">
      <c r="S16051" s="1"/>
    </row>
    <row r="16052" spans="19:19" ht="15.75">
      <c r="S16052" s="1"/>
    </row>
    <row r="16053" spans="19:19" ht="15.75">
      <c r="S16053" s="1"/>
    </row>
    <row r="16054" spans="19:19" ht="15.75">
      <c r="S16054" s="1"/>
    </row>
    <row r="16055" spans="19:19" ht="15.75">
      <c r="S16055" s="1"/>
    </row>
    <row r="16056" spans="19:19" ht="15.75">
      <c r="S16056" s="1"/>
    </row>
    <row r="16057" spans="19:19" ht="15.75">
      <c r="S16057" s="1"/>
    </row>
    <row r="16058" spans="19:19" ht="15.75">
      <c r="S16058" s="1"/>
    </row>
    <row r="16059" spans="19:19" ht="15.75">
      <c r="S16059" s="1"/>
    </row>
    <row r="16060" spans="19:19" ht="15.75">
      <c r="S16060" s="1"/>
    </row>
    <row r="16061" spans="19:19" ht="15.75">
      <c r="S16061" s="1"/>
    </row>
    <row r="16062" spans="19:19" ht="15.75">
      <c r="S16062" s="1"/>
    </row>
    <row r="16063" spans="19:19" ht="15.75">
      <c r="S16063" s="1"/>
    </row>
    <row r="16064" spans="19:19" ht="15.75">
      <c r="S16064" s="1"/>
    </row>
    <row r="16065" spans="19:19" ht="15.75">
      <c r="S16065" s="1"/>
    </row>
    <row r="16066" spans="19:19" ht="15.75">
      <c r="S16066" s="1"/>
    </row>
    <row r="16067" spans="19:19" ht="15.75">
      <c r="S16067" s="1"/>
    </row>
    <row r="16068" spans="19:19" ht="15.75">
      <c r="S16068" s="1"/>
    </row>
    <row r="16069" spans="19:19" ht="15.75">
      <c r="S16069" s="1"/>
    </row>
    <row r="16070" spans="19:19" ht="15.75">
      <c r="S16070" s="1"/>
    </row>
    <row r="16071" spans="19:19" ht="15.75">
      <c r="S16071" s="1"/>
    </row>
    <row r="16072" spans="19:19" ht="15.75">
      <c r="S16072" s="1"/>
    </row>
    <row r="16073" spans="19:19" ht="15.75">
      <c r="S16073" s="1"/>
    </row>
    <row r="16074" spans="19:19" ht="15.75">
      <c r="S16074" s="1"/>
    </row>
    <row r="16075" spans="19:19" ht="15.75">
      <c r="S16075" s="1"/>
    </row>
    <row r="16076" spans="19:19" ht="15.75">
      <c r="S16076" s="1"/>
    </row>
    <row r="16077" spans="19:19" ht="15.75">
      <c r="S16077" s="1"/>
    </row>
    <row r="16078" spans="19:19" ht="15.75">
      <c r="S16078" s="1"/>
    </row>
    <row r="16079" spans="19:19" ht="15.75">
      <c r="S16079" s="1"/>
    </row>
    <row r="16080" spans="19:19" ht="15.75">
      <c r="S16080" s="1"/>
    </row>
    <row r="16081" spans="19:19" ht="15.75">
      <c r="S16081" s="1"/>
    </row>
    <row r="16082" spans="19:19" ht="15.75">
      <c r="S16082" s="1"/>
    </row>
    <row r="16083" spans="19:19" ht="15.75">
      <c r="S16083" s="1"/>
    </row>
    <row r="16084" spans="19:19" ht="15.75">
      <c r="S16084" s="1"/>
    </row>
    <row r="16085" spans="19:19" ht="15.75">
      <c r="S16085" s="1"/>
    </row>
    <row r="16086" spans="19:19" ht="15.75">
      <c r="S16086" s="1"/>
    </row>
    <row r="16087" spans="19:19" ht="15.75">
      <c r="S16087" s="1"/>
    </row>
    <row r="16088" spans="19:19" ht="15.75">
      <c r="S16088" s="1"/>
    </row>
    <row r="16089" spans="19:19" ht="15.75">
      <c r="S16089" s="1"/>
    </row>
    <row r="16090" spans="19:19" ht="15.75">
      <c r="S16090" s="1"/>
    </row>
    <row r="16091" spans="19:19" ht="15.75">
      <c r="S16091" s="1"/>
    </row>
    <row r="16092" spans="19:19" ht="15.75">
      <c r="S16092" s="1"/>
    </row>
    <row r="16093" spans="19:19" ht="15.75">
      <c r="S16093" s="1"/>
    </row>
    <row r="16094" spans="19:19" ht="15.75">
      <c r="S16094" s="1"/>
    </row>
    <row r="16095" spans="19:19" ht="15.75">
      <c r="S16095" s="1"/>
    </row>
    <row r="16096" spans="19:19" ht="15.75">
      <c r="S16096" s="1"/>
    </row>
    <row r="16097" spans="19:19" ht="15.75">
      <c r="S16097" s="1"/>
    </row>
    <row r="16098" spans="19:19" ht="15.75">
      <c r="S16098" s="1"/>
    </row>
    <row r="16099" spans="19:19" ht="15.75">
      <c r="S16099" s="1"/>
    </row>
    <row r="16100" spans="19:19" ht="15.75">
      <c r="S16100" s="1"/>
    </row>
    <row r="16101" spans="19:19" ht="15.75">
      <c r="S16101" s="1"/>
    </row>
    <row r="16102" spans="19:19" ht="15.75">
      <c r="S16102" s="1"/>
    </row>
    <row r="16103" spans="19:19" ht="15.75">
      <c r="S16103" s="1"/>
    </row>
    <row r="16104" spans="19:19" ht="15.75">
      <c r="S16104" s="1"/>
    </row>
    <row r="16105" spans="19:19" ht="15.75">
      <c r="S16105" s="1"/>
    </row>
    <row r="16106" spans="19:19" ht="15.75">
      <c r="S16106" s="1"/>
    </row>
    <row r="16107" spans="19:19" ht="15.75">
      <c r="S16107" s="1"/>
    </row>
    <row r="16108" spans="19:19" ht="15.75">
      <c r="S16108" s="1"/>
    </row>
    <row r="16109" spans="19:19" ht="15.75">
      <c r="S16109" s="1"/>
    </row>
    <row r="16110" spans="19:19" ht="15.75">
      <c r="S16110" s="1"/>
    </row>
    <row r="16111" spans="19:19" ht="15.75">
      <c r="S16111" s="1"/>
    </row>
    <row r="16112" spans="19:19" ht="15.75">
      <c r="S16112" s="1"/>
    </row>
    <row r="16113" spans="19:19" ht="15.75">
      <c r="S16113" s="1"/>
    </row>
    <row r="16114" spans="19:19" ht="15.75">
      <c r="S16114" s="1"/>
    </row>
    <row r="16115" spans="19:19" ht="15.75">
      <c r="S16115" s="1"/>
    </row>
    <row r="16116" spans="19:19" ht="15.75">
      <c r="S16116" s="1"/>
    </row>
    <row r="16117" spans="19:19" ht="15.75">
      <c r="S16117" s="1"/>
    </row>
    <row r="16118" spans="19:19" ht="15.75">
      <c r="S16118" s="1"/>
    </row>
    <row r="16119" spans="19:19" ht="15.75">
      <c r="S16119" s="1"/>
    </row>
    <row r="16120" spans="19:19" ht="15.75">
      <c r="S16120" s="1"/>
    </row>
    <row r="16121" spans="19:19" ht="15.75">
      <c r="S16121" s="1"/>
    </row>
    <row r="16122" spans="19:19" ht="15.75">
      <c r="S16122" s="1"/>
    </row>
    <row r="16123" spans="19:19" ht="15.75">
      <c r="S16123" s="1"/>
    </row>
    <row r="16124" spans="19:19" ht="15.75">
      <c r="S16124" s="1"/>
    </row>
    <row r="16125" spans="19:19" ht="15.75">
      <c r="S16125" s="1"/>
    </row>
    <row r="16126" spans="19:19" ht="15.75">
      <c r="S16126" s="1"/>
    </row>
    <row r="16127" spans="19:19" ht="15.75">
      <c r="S16127" s="1"/>
    </row>
    <row r="16128" spans="19:19" ht="15.75">
      <c r="S16128" s="1"/>
    </row>
    <row r="16129" spans="19:19" ht="15.75">
      <c r="S16129" s="1"/>
    </row>
    <row r="16130" spans="19:19" ht="15.75">
      <c r="S16130" s="1"/>
    </row>
    <row r="16131" spans="19:19" ht="15.75">
      <c r="S16131" s="1"/>
    </row>
    <row r="16132" spans="19:19" ht="15.75">
      <c r="S16132" s="1"/>
    </row>
    <row r="16133" spans="19:19" ht="15.75">
      <c r="S16133" s="1"/>
    </row>
    <row r="16134" spans="19:19" ht="15.75">
      <c r="S16134" s="1"/>
    </row>
    <row r="16135" spans="19:19" ht="15.75">
      <c r="S16135" s="1"/>
    </row>
    <row r="16136" spans="19:19" ht="15.75">
      <c r="S16136" s="1"/>
    </row>
    <row r="16137" spans="19:19" ht="15.75">
      <c r="S16137" s="1"/>
    </row>
    <row r="16138" spans="19:19" ht="15.75">
      <c r="S16138" s="1"/>
    </row>
    <row r="16139" spans="19:19" ht="15.75">
      <c r="S16139" s="1"/>
    </row>
    <row r="16140" spans="19:19" ht="15.75">
      <c r="S16140" s="1"/>
    </row>
    <row r="16141" spans="19:19" ht="15.75">
      <c r="S16141" s="1"/>
    </row>
    <row r="16142" spans="19:19" ht="15.75">
      <c r="S16142" s="1"/>
    </row>
    <row r="16143" spans="19:19" ht="15.75">
      <c r="S16143" s="1"/>
    </row>
    <row r="16144" spans="19:19" ht="15.75">
      <c r="S16144" s="1"/>
    </row>
    <row r="16145" spans="19:19" ht="15.75">
      <c r="S16145" s="1"/>
    </row>
    <row r="16146" spans="19:19" ht="15.75">
      <c r="S16146" s="1"/>
    </row>
    <row r="16147" spans="19:19" ht="15.75">
      <c r="S16147" s="1"/>
    </row>
    <row r="16148" spans="19:19" ht="15.75">
      <c r="S16148" s="1"/>
    </row>
    <row r="16149" spans="19:19" ht="15.75">
      <c r="S16149" s="1"/>
    </row>
    <row r="16150" spans="19:19" ht="15.75">
      <c r="S16150" s="1"/>
    </row>
    <row r="16151" spans="19:19" ht="15.75">
      <c r="S16151" s="1"/>
    </row>
    <row r="16152" spans="19:19" ht="15.75">
      <c r="S16152" s="1"/>
    </row>
    <row r="16153" spans="19:19" ht="15.75">
      <c r="S16153" s="1"/>
    </row>
    <row r="16154" spans="19:19" ht="15.75">
      <c r="S16154" s="1"/>
    </row>
    <row r="16155" spans="19:19" ht="15.75">
      <c r="S16155" s="1"/>
    </row>
    <row r="16156" spans="19:19" ht="15.75">
      <c r="S16156" s="1"/>
    </row>
    <row r="16157" spans="19:19" ht="15.75">
      <c r="S16157" s="1"/>
    </row>
    <row r="16158" spans="19:19" ht="15.75">
      <c r="S16158" s="1"/>
    </row>
    <row r="16159" spans="19:19" ht="15.75">
      <c r="S16159" s="1"/>
    </row>
    <row r="16160" spans="19:19" ht="15.75">
      <c r="S16160" s="1"/>
    </row>
    <row r="16161" spans="19:19" ht="15.75">
      <c r="S16161" s="1"/>
    </row>
    <row r="16162" spans="19:19" ht="15.75">
      <c r="S16162" s="1"/>
    </row>
    <row r="16163" spans="19:19" ht="15.75">
      <c r="S16163" s="1"/>
    </row>
    <row r="16164" spans="19:19" ht="15.75">
      <c r="S16164" s="1"/>
    </row>
    <row r="16165" spans="19:19" ht="15.75">
      <c r="S16165" s="1"/>
    </row>
    <row r="16166" spans="19:19" ht="15.75">
      <c r="S16166" s="1"/>
    </row>
    <row r="16167" spans="19:19" ht="15.75">
      <c r="S16167" s="1"/>
    </row>
    <row r="16168" spans="19:19" ht="15.75">
      <c r="S16168" s="1"/>
    </row>
    <row r="16169" spans="19:19" ht="15.75">
      <c r="S16169" s="1"/>
    </row>
    <row r="16170" spans="19:19" ht="15.75">
      <c r="S16170" s="1"/>
    </row>
    <row r="16171" spans="19:19" ht="15.75">
      <c r="S16171" s="1"/>
    </row>
    <row r="16172" spans="19:19" ht="15.75">
      <c r="S16172" s="1"/>
    </row>
    <row r="16173" spans="19:19" ht="15.75">
      <c r="S16173" s="1"/>
    </row>
    <row r="16174" spans="19:19" ht="15.75">
      <c r="S16174" s="1"/>
    </row>
    <row r="16175" spans="19:19" ht="15.75">
      <c r="S16175" s="1"/>
    </row>
    <row r="16176" spans="19:19" ht="15.75">
      <c r="S16176" s="1"/>
    </row>
    <row r="16177" spans="19:19" ht="15.75">
      <c r="S16177" s="1"/>
    </row>
    <row r="16178" spans="19:19" ht="15.75">
      <c r="S16178" s="1"/>
    </row>
    <row r="16179" spans="19:19" ht="15.75">
      <c r="S16179" s="1"/>
    </row>
    <row r="16180" spans="19:19" ht="15.75">
      <c r="S16180" s="1"/>
    </row>
    <row r="16181" spans="19:19" ht="15.75">
      <c r="S16181" s="1"/>
    </row>
    <row r="16182" spans="19:19" ht="15.75">
      <c r="S16182" s="1"/>
    </row>
    <row r="16183" spans="19:19" ht="15.75">
      <c r="S16183" s="1"/>
    </row>
    <row r="16184" spans="19:19" ht="15.75">
      <c r="S16184" s="1"/>
    </row>
    <row r="16185" spans="19:19" ht="15.75">
      <c r="S16185" s="1"/>
    </row>
    <row r="16186" spans="19:19" ht="15.75">
      <c r="S16186" s="1"/>
    </row>
    <row r="16187" spans="19:19" ht="15.75">
      <c r="S16187" s="1"/>
    </row>
    <row r="16188" spans="19:19" ht="15.75">
      <c r="S16188" s="1"/>
    </row>
    <row r="16189" spans="19:19" ht="15.75">
      <c r="S16189" s="1"/>
    </row>
    <row r="16190" spans="19:19" ht="15.75">
      <c r="S16190" s="1"/>
    </row>
    <row r="16191" spans="19:19" ht="15.75">
      <c r="S16191" s="1"/>
    </row>
    <row r="16192" spans="19:19" ht="15.75">
      <c r="S16192" s="1"/>
    </row>
    <row r="16193" spans="19:19" ht="15.75">
      <c r="S16193" s="1"/>
    </row>
    <row r="16194" spans="19:19" ht="15.75">
      <c r="S16194" s="1"/>
    </row>
    <row r="16195" spans="19:19" ht="15.75">
      <c r="S16195" s="1"/>
    </row>
    <row r="16196" spans="19:19" ht="15.75">
      <c r="S16196" s="1"/>
    </row>
    <row r="16197" spans="19:19" ht="15.75">
      <c r="S16197" s="1"/>
    </row>
    <row r="16198" spans="19:19" ht="15.75">
      <c r="S16198" s="1"/>
    </row>
    <row r="16199" spans="19:19" ht="15.75">
      <c r="S16199" s="1"/>
    </row>
    <row r="16200" spans="19:19" ht="15.75">
      <c r="S16200" s="1"/>
    </row>
    <row r="16201" spans="19:19" ht="15.75">
      <c r="S16201" s="1"/>
    </row>
    <row r="16202" spans="19:19" ht="15.75">
      <c r="S16202" s="1"/>
    </row>
    <row r="16203" spans="19:19" ht="15.75">
      <c r="S16203" s="1"/>
    </row>
    <row r="16204" spans="19:19" ht="15.75">
      <c r="S16204" s="1"/>
    </row>
    <row r="16205" spans="19:19" ht="15.75">
      <c r="S16205" s="1"/>
    </row>
    <row r="16206" spans="19:19" ht="15.75">
      <c r="S16206" s="1"/>
    </row>
    <row r="16207" spans="19:19" ht="15.75">
      <c r="S16207" s="1"/>
    </row>
    <row r="16208" spans="19:19" ht="15.75">
      <c r="S16208" s="1"/>
    </row>
    <row r="16209" spans="19:19" ht="15.75">
      <c r="S16209" s="1"/>
    </row>
    <row r="16210" spans="19:19" ht="15.75">
      <c r="S16210" s="1"/>
    </row>
    <row r="16211" spans="19:19" ht="15.75">
      <c r="S16211" s="1"/>
    </row>
    <row r="16212" spans="19:19" ht="15.75">
      <c r="S16212" s="1"/>
    </row>
    <row r="16213" spans="19:19" ht="15.75">
      <c r="S16213" s="1"/>
    </row>
    <row r="16214" spans="19:19" ht="15.75">
      <c r="S16214" s="1"/>
    </row>
    <row r="16215" spans="19:19" ht="15.75">
      <c r="S16215" s="1"/>
    </row>
    <row r="16216" spans="19:19" ht="15.75">
      <c r="S16216" s="1"/>
    </row>
    <row r="16217" spans="19:19" ht="15.75">
      <c r="S16217" s="1"/>
    </row>
    <row r="16218" spans="19:19" ht="15.75">
      <c r="S16218" s="1"/>
    </row>
    <row r="16219" spans="19:19" ht="15.75">
      <c r="S16219" s="1"/>
    </row>
    <row r="16220" spans="19:19" ht="15.75">
      <c r="S16220" s="1"/>
    </row>
    <row r="16221" spans="19:19" ht="15.75">
      <c r="S16221" s="1"/>
    </row>
    <row r="16222" spans="19:19" ht="15.75">
      <c r="S16222" s="1"/>
    </row>
    <row r="16223" spans="19:19" ht="15.75">
      <c r="S16223" s="1"/>
    </row>
    <row r="16224" spans="19:19" ht="15.75">
      <c r="S16224" s="1"/>
    </row>
    <row r="16225" spans="19:19" ht="15.75">
      <c r="S16225" s="1"/>
    </row>
    <row r="16226" spans="19:19" ht="15.75">
      <c r="S16226" s="1"/>
    </row>
    <row r="16227" spans="19:19" ht="15.75">
      <c r="S16227" s="1"/>
    </row>
    <row r="16228" spans="19:19" ht="15.75">
      <c r="S16228" s="1"/>
    </row>
    <row r="16229" spans="19:19" ht="15.75">
      <c r="S16229" s="1"/>
    </row>
    <row r="16230" spans="19:19" ht="15.75">
      <c r="S16230" s="1"/>
    </row>
    <row r="16231" spans="19:19" ht="15.75">
      <c r="S16231" s="1"/>
    </row>
    <row r="16232" spans="19:19" ht="15.75">
      <c r="S16232" s="1"/>
    </row>
    <row r="16233" spans="19:19" ht="15.75">
      <c r="S16233" s="1"/>
    </row>
    <row r="16234" spans="19:19" ht="15.75">
      <c r="S16234" s="1"/>
    </row>
    <row r="16235" spans="19:19" ht="15.75">
      <c r="S16235" s="1"/>
    </row>
    <row r="16236" spans="19:19" ht="15.75">
      <c r="S16236" s="1"/>
    </row>
    <row r="16237" spans="19:19" ht="15.75">
      <c r="S16237" s="1"/>
    </row>
    <row r="16238" spans="19:19" ht="15.75">
      <c r="S16238" s="1"/>
    </row>
    <row r="16239" spans="19:19" ht="15.75">
      <c r="S16239" s="1"/>
    </row>
    <row r="16240" spans="19:19" ht="15.75">
      <c r="S16240" s="1"/>
    </row>
    <row r="16241" spans="19:19" ht="15.75">
      <c r="S16241" s="1"/>
    </row>
    <row r="16242" spans="19:19" ht="15.75">
      <c r="S16242" s="1"/>
    </row>
    <row r="16243" spans="19:19" ht="15.75">
      <c r="S16243" s="1"/>
    </row>
    <row r="16244" spans="19:19" ht="15.75">
      <c r="S16244" s="1"/>
    </row>
    <row r="16245" spans="19:19" ht="15.75">
      <c r="S16245" s="1"/>
    </row>
    <row r="16246" spans="19:19" ht="15.75">
      <c r="S16246" s="1"/>
    </row>
    <row r="16247" spans="19:19" ht="15.75">
      <c r="S16247" s="1"/>
    </row>
    <row r="16248" spans="19:19" ht="15.75">
      <c r="S16248" s="1"/>
    </row>
    <row r="16249" spans="19:19" ht="15.75">
      <c r="S16249" s="1"/>
    </row>
    <row r="16250" spans="19:19" ht="15.75">
      <c r="S16250" s="1"/>
    </row>
    <row r="16251" spans="19:19" ht="15.75">
      <c r="S16251" s="1"/>
    </row>
    <row r="16252" spans="19:19" ht="15.75">
      <c r="S16252" s="1"/>
    </row>
    <row r="16253" spans="19:19" ht="15.75">
      <c r="S16253" s="1"/>
    </row>
    <row r="16254" spans="19:19" ht="15.75">
      <c r="S16254" s="1"/>
    </row>
    <row r="16255" spans="19:19" ht="15.75">
      <c r="S16255" s="1"/>
    </row>
    <row r="16256" spans="19:19" ht="15.75">
      <c r="S16256" s="1"/>
    </row>
    <row r="16257" spans="19:19" ht="15.75">
      <c r="S16257" s="1"/>
    </row>
    <row r="16258" spans="19:19" ht="15.75">
      <c r="S16258" s="1"/>
    </row>
    <row r="16259" spans="19:19" ht="15.75">
      <c r="S16259" s="1"/>
    </row>
    <row r="16260" spans="19:19" ht="15.75">
      <c r="S16260" s="1"/>
    </row>
    <row r="16261" spans="19:19" ht="15.75">
      <c r="S16261" s="1"/>
    </row>
    <row r="16262" spans="19:19" ht="15.75">
      <c r="S16262" s="1"/>
    </row>
    <row r="16263" spans="19:19" ht="15.75">
      <c r="S16263" s="1"/>
    </row>
    <row r="16264" spans="19:19" ht="15.75">
      <c r="S16264" s="1"/>
    </row>
    <row r="16265" spans="19:19" ht="15.75">
      <c r="S16265" s="1"/>
    </row>
    <row r="16266" spans="19:19" ht="15.75">
      <c r="S16266" s="1"/>
    </row>
    <row r="16267" spans="19:19" ht="15.75">
      <c r="S16267" s="1"/>
    </row>
    <row r="16268" spans="19:19" ht="15.75">
      <c r="S16268" s="1"/>
    </row>
    <row r="16269" spans="19:19" ht="15.75">
      <c r="S16269" s="1"/>
    </row>
    <row r="16270" spans="19:19" ht="15.75">
      <c r="S16270" s="1"/>
    </row>
    <row r="16271" spans="19:19" ht="15.75">
      <c r="S16271" s="1"/>
    </row>
    <row r="16272" spans="19:19" ht="15.75">
      <c r="S16272" s="1"/>
    </row>
    <row r="16273" spans="19:19" ht="15.75">
      <c r="S16273" s="1"/>
    </row>
    <row r="16274" spans="19:19" ht="15.75">
      <c r="S16274" s="1"/>
    </row>
    <row r="16275" spans="19:19" ht="15.75">
      <c r="S16275" s="1"/>
    </row>
    <row r="16276" spans="19:19" ht="15.75">
      <c r="S16276" s="1"/>
    </row>
    <row r="16277" spans="19:19" ht="15.75">
      <c r="S16277" s="1"/>
    </row>
    <row r="16278" spans="19:19" ht="15.75">
      <c r="S16278" s="1"/>
    </row>
    <row r="16279" spans="19:19" ht="15.75">
      <c r="S16279" s="1"/>
    </row>
    <row r="16280" spans="19:19" ht="15.75">
      <c r="S16280" s="1"/>
    </row>
    <row r="16281" spans="19:19" ht="15.75">
      <c r="S16281" s="1"/>
    </row>
    <row r="16282" spans="19:19" ht="15.75">
      <c r="S16282" s="1"/>
    </row>
    <row r="16283" spans="19:19" ht="15.75">
      <c r="S16283" s="1"/>
    </row>
    <row r="16284" spans="19:19" ht="15.75">
      <c r="S16284" s="1"/>
    </row>
    <row r="16285" spans="19:19" ht="15.75">
      <c r="S16285" s="1"/>
    </row>
    <row r="16286" spans="19:19" ht="15.75">
      <c r="S16286" s="1"/>
    </row>
    <row r="16287" spans="19:19" ht="15.75">
      <c r="S16287" s="1"/>
    </row>
    <row r="16288" spans="19:19" ht="15.75">
      <c r="S16288" s="1"/>
    </row>
    <row r="16289" spans="19:19" ht="15.75">
      <c r="S16289" s="1"/>
    </row>
    <row r="16290" spans="19:19" ht="15.75">
      <c r="S16290" s="1"/>
    </row>
    <row r="16291" spans="19:19" ht="15.75">
      <c r="S16291" s="1"/>
    </row>
    <row r="16292" spans="19:19" ht="15.75">
      <c r="S16292" s="1"/>
    </row>
    <row r="16293" spans="19:19" ht="15.75">
      <c r="S16293" s="1"/>
    </row>
    <row r="16294" spans="19:19" ht="15.75">
      <c r="S16294" s="1"/>
    </row>
    <row r="16295" spans="19:19" ht="15.75">
      <c r="S16295" s="1"/>
    </row>
    <row r="16296" spans="19:19" ht="15.75">
      <c r="S16296" s="1"/>
    </row>
    <row r="16297" spans="19:19" ht="15.75">
      <c r="S16297" s="1"/>
    </row>
    <row r="16298" spans="19:19" ht="15.75">
      <c r="S16298" s="1"/>
    </row>
    <row r="16299" spans="19:19" ht="15.75">
      <c r="S16299" s="1"/>
    </row>
    <row r="16300" spans="19:19" ht="15.75">
      <c r="S16300" s="1"/>
    </row>
    <row r="16301" spans="19:19" ht="15.75">
      <c r="S16301" s="1"/>
    </row>
    <row r="16302" spans="19:19" ht="15.75">
      <c r="S16302" s="1"/>
    </row>
    <row r="16303" spans="19:19" ht="15.75">
      <c r="S16303" s="1"/>
    </row>
    <row r="16304" spans="19:19" ht="15.75">
      <c r="S16304" s="1"/>
    </row>
    <row r="16305" spans="19:19" ht="15.75">
      <c r="S16305" s="1"/>
    </row>
    <row r="16306" spans="19:19" ht="15.75">
      <c r="S16306" s="1"/>
    </row>
    <row r="16307" spans="19:19" ht="15.75">
      <c r="S16307" s="1"/>
    </row>
    <row r="16308" spans="19:19" ht="15.75">
      <c r="S16308" s="1"/>
    </row>
    <row r="16309" spans="19:19" ht="15.75">
      <c r="S16309" s="1"/>
    </row>
    <row r="16310" spans="19:19" ht="15.75">
      <c r="S16310" s="1"/>
    </row>
    <row r="16311" spans="19:19" ht="15.75">
      <c r="S16311" s="1"/>
    </row>
    <row r="16312" spans="19:19" ht="15.75">
      <c r="S16312" s="1"/>
    </row>
    <row r="16313" spans="19:19" ht="15.75">
      <c r="S16313" s="1"/>
    </row>
    <row r="16314" spans="19:19" ht="15.75">
      <c r="S16314" s="1"/>
    </row>
    <row r="16315" spans="19:19" ht="15.75">
      <c r="S16315" s="1"/>
    </row>
    <row r="16316" spans="19:19" ht="15.75">
      <c r="S16316" s="1"/>
    </row>
    <row r="16317" spans="19:19" ht="15.75">
      <c r="S16317" s="1"/>
    </row>
    <row r="16318" spans="19:19" ht="15.75">
      <c r="S16318" s="1"/>
    </row>
    <row r="16319" spans="19:19" ht="15.75">
      <c r="S16319" s="1"/>
    </row>
    <row r="16320" spans="19:19" ht="15.75">
      <c r="S16320" s="1"/>
    </row>
    <row r="16321" spans="19:19" ht="15.75">
      <c r="S16321" s="1"/>
    </row>
    <row r="16322" spans="19:19" ht="15.75">
      <c r="S16322" s="1"/>
    </row>
    <row r="16323" spans="19:19" ht="15.75">
      <c r="S16323" s="1"/>
    </row>
    <row r="16324" spans="19:19" ht="15.75">
      <c r="S16324" s="1"/>
    </row>
    <row r="16325" spans="19:19" ht="15.75">
      <c r="S16325" s="1"/>
    </row>
    <row r="16326" spans="19:19" ht="15.75">
      <c r="S16326" s="1"/>
    </row>
    <row r="16327" spans="19:19" ht="15.75">
      <c r="S16327" s="1"/>
    </row>
    <row r="16328" spans="19:19" ht="15.75">
      <c r="S16328" s="1"/>
    </row>
    <row r="16329" spans="19:19" ht="15.75">
      <c r="S16329" s="1"/>
    </row>
    <row r="16330" spans="19:19" ht="15.75">
      <c r="S16330" s="1"/>
    </row>
    <row r="16331" spans="19:19" ht="15.75">
      <c r="S16331" s="1"/>
    </row>
    <row r="16332" spans="19:19" ht="15.75">
      <c r="S16332" s="1"/>
    </row>
    <row r="16333" spans="19:19" ht="15.75">
      <c r="S16333" s="1"/>
    </row>
    <row r="16334" spans="19:19" ht="15.75">
      <c r="S16334" s="1"/>
    </row>
    <row r="16335" spans="19:19" ht="15.75">
      <c r="S16335" s="1"/>
    </row>
    <row r="16336" spans="19:19" ht="15.75">
      <c r="S16336" s="1"/>
    </row>
    <row r="16337" spans="19:19" ht="15.75">
      <c r="S16337" s="1"/>
    </row>
    <row r="16338" spans="19:19" ht="15.75">
      <c r="S16338" s="1"/>
    </row>
    <row r="16339" spans="19:19" ht="15.75">
      <c r="S16339" s="1"/>
    </row>
    <row r="16340" spans="19:19" ht="15.75">
      <c r="S16340" s="1"/>
    </row>
    <row r="16341" spans="19:19" ht="15.75">
      <c r="S16341" s="1"/>
    </row>
    <row r="16342" spans="19:19" ht="15.75">
      <c r="S16342" s="1"/>
    </row>
    <row r="16343" spans="19:19" ht="15.75">
      <c r="S16343" s="1"/>
    </row>
    <row r="16344" spans="19:19" ht="15.75">
      <c r="S16344" s="1"/>
    </row>
    <row r="16345" spans="19:19" ht="15.75">
      <c r="S16345" s="1"/>
    </row>
    <row r="16346" spans="19:19" ht="15.75">
      <c r="S16346" s="1"/>
    </row>
    <row r="16347" spans="19:19" ht="15.75">
      <c r="S16347" s="1"/>
    </row>
    <row r="16348" spans="19:19" ht="15.75">
      <c r="S16348" s="1"/>
    </row>
    <row r="16349" spans="19:19" ht="15.75">
      <c r="S16349" s="1"/>
    </row>
    <row r="16350" spans="19:19" ht="15.75">
      <c r="S16350" s="1"/>
    </row>
    <row r="16351" spans="19:19" ht="15.75">
      <c r="S16351" s="1"/>
    </row>
    <row r="16352" spans="19:19" ht="15.75">
      <c r="S16352" s="1"/>
    </row>
    <row r="16353" spans="19:19" ht="15.75">
      <c r="S16353" s="1"/>
    </row>
    <row r="16354" spans="19:19" ht="15.75">
      <c r="S16354" s="1"/>
    </row>
    <row r="16355" spans="19:19" ht="15.75">
      <c r="S16355" s="1"/>
    </row>
    <row r="16356" spans="19:19" ht="15.75">
      <c r="S16356" s="1"/>
    </row>
    <row r="16357" spans="19:19" ht="15.75">
      <c r="S16357" s="1"/>
    </row>
    <row r="16358" spans="19:19" ht="15.75">
      <c r="S16358" s="1"/>
    </row>
    <row r="16359" spans="19:19" ht="15.75">
      <c r="S16359" s="1"/>
    </row>
    <row r="16360" spans="19:19" ht="15.75">
      <c r="S16360" s="1"/>
    </row>
    <row r="16361" spans="19:19" ht="15.75">
      <c r="S16361" s="1"/>
    </row>
    <row r="16362" spans="19:19" ht="15.75">
      <c r="S16362" s="1"/>
    </row>
    <row r="16363" spans="19:19" ht="15.75">
      <c r="S16363" s="1"/>
    </row>
    <row r="16364" spans="19:19" ht="15.75">
      <c r="S16364" s="1"/>
    </row>
    <row r="16365" spans="19:19" ht="15.75">
      <c r="S16365" s="1"/>
    </row>
    <row r="16366" spans="19:19" ht="15.75">
      <c r="S16366" s="1"/>
    </row>
    <row r="16367" spans="19:19" ht="15.75">
      <c r="S16367" s="1"/>
    </row>
    <row r="16368" spans="19:19" ht="15.75">
      <c r="S16368" s="1"/>
    </row>
    <row r="16369" spans="19:19" ht="15.75">
      <c r="S16369" s="1"/>
    </row>
    <row r="16370" spans="19:19" ht="15.75">
      <c r="S16370" s="1"/>
    </row>
    <row r="16371" spans="19:19" ht="15.75">
      <c r="S16371" s="1"/>
    </row>
    <row r="16372" spans="19:19" ht="15.75">
      <c r="S16372" s="1"/>
    </row>
    <row r="16373" spans="19:19" ht="15.75">
      <c r="S16373" s="1"/>
    </row>
    <row r="16374" spans="19:19" ht="15.75">
      <c r="S16374" s="1"/>
    </row>
    <row r="16375" spans="19:19" ht="15.75">
      <c r="S16375" s="1"/>
    </row>
    <row r="16376" spans="19:19" ht="15.75">
      <c r="S16376" s="1"/>
    </row>
    <row r="16377" spans="19:19" ht="15.75">
      <c r="S16377" s="1"/>
    </row>
    <row r="16378" spans="19:19" ht="15.75">
      <c r="S16378" s="1"/>
    </row>
    <row r="16379" spans="19:19" ht="15.75">
      <c r="S16379" s="1"/>
    </row>
    <row r="16380" spans="19:19" ht="15.75">
      <c r="S16380" s="1"/>
    </row>
    <row r="16381" spans="19:19" ht="15.75">
      <c r="S16381" s="1"/>
    </row>
    <row r="16382" spans="19:19" ht="15.75">
      <c r="S16382" s="1"/>
    </row>
    <row r="16383" spans="19:19" ht="15.75">
      <c r="S16383" s="1"/>
    </row>
    <row r="16384" spans="19:19" ht="15.75">
      <c r="S16384" s="1"/>
    </row>
    <row r="16385" spans="19:19" ht="15.75">
      <c r="S16385" s="1"/>
    </row>
    <row r="16386" spans="19:19" ht="15.75">
      <c r="S16386" s="1"/>
    </row>
    <row r="16387" spans="19:19" ht="15.75">
      <c r="S16387" s="1"/>
    </row>
    <row r="16388" spans="19:19" ht="15.75">
      <c r="S16388" s="1"/>
    </row>
    <row r="16389" spans="19:19" ht="15.75">
      <c r="S16389" s="1"/>
    </row>
    <row r="16390" spans="19:19" ht="15.75">
      <c r="S16390" s="1"/>
    </row>
    <row r="16391" spans="19:19" ht="15.75">
      <c r="S16391" s="1"/>
    </row>
    <row r="16392" spans="19:19" ht="15.75">
      <c r="S16392" s="1"/>
    </row>
    <row r="16393" spans="19:19" ht="15.75">
      <c r="S16393" s="1"/>
    </row>
    <row r="16394" spans="19:19" ht="15.75">
      <c r="S16394" s="1"/>
    </row>
    <row r="16395" spans="19:19" ht="15.75">
      <c r="S16395" s="1"/>
    </row>
    <row r="16396" spans="19:19" ht="15.75">
      <c r="S16396" s="1"/>
    </row>
    <row r="16397" spans="19:19" ht="15.75">
      <c r="S16397" s="1"/>
    </row>
    <row r="16398" spans="19:19" ht="15.75">
      <c r="S16398" s="1"/>
    </row>
    <row r="16399" spans="19:19" ht="15.75">
      <c r="S16399" s="1"/>
    </row>
    <row r="16400" spans="19:19" ht="15.75">
      <c r="S16400" s="1"/>
    </row>
    <row r="16401" spans="19:19" ht="15.75">
      <c r="S16401" s="1"/>
    </row>
    <row r="16402" spans="19:19" ht="15.75">
      <c r="S16402" s="1"/>
    </row>
    <row r="16403" spans="19:19" ht="15.75">
      <c r="S16403" s="1"/>
    </row>
    <row r="16404" spans="19:19" ht="15.75">
      <c r="S16404" s="1"/>
    </row>
    <row r="16405" spans="19:19" ht="15.75">
      <c r="S16405" s="1"/>
    </row>
    <row r="16406" spans="19:19" ht="15.75">
      <c r="S16406" s="1"/>
    </row>
    <row r="16407" spans="19:19" ht="15.75">
      <c r="S16407" s="1"/>
    </row>
    <row r="16408" spans="19:19" ht="15.75">
      <c r="S16408" s="1"/>
    </row>
    <row r="16409" spans="19:19" ht="15.75">
      <c r="S16409" s="1"/>
    </row>
    <row r="16410" spans="19:19" ht="15.75">
      <c r="S16410" s="1"/>
    </row>
    <row r="16411" spans="19:19" ht="15.75">
      <c r="S16411" s="1"/>
    </row>
    <row r="16412" spans="19:19" ht="15.75">
      <c r="S16412" s="1"/>
    </row>
    <row r="16413" spans="19:19" ht="15.75">
      <c r="S16413" s="1"/>
    </row>
    <row r="16414" spans="19:19" ht="15.75">
      <c r="S16414" s="1"/>
    </row>
    <row r="16415" spans="19:19" ht="15.75">
      <c r="S16415" s="1"/>
    </row>
    <row r="16416" spans="19:19" ht="15.75">
      <c r="S16416" s="1"/>
    </row>
    <row r="16417" spans="19:19" ht="15.75">
      <c r="S16417" s="1"/>
    </row>
    <row r="16418" spans="19:19" ht="15.75">
      <c r="S16418" s="1"/>
    </row>
    <row r="16419" spans="19:19" ht="15.75">
      <c r="S16419" s="1"/>
    </row>
    <row r="16420" spans="19:19" ht="15.75">
      <c r="S16420" s="1"/>
    </row>
    <row r="16421" spans="19:19" ht="15.75">
      <c r="S16421" s="1"/>
    </row>
    <row r="16422" spans="19:19" ht="15.75">
      <c r="S16422" s="1"/>
    </row>
    <row r="16423" spans="19:19" ht="15.75">
      <c r="S16423" s="1"/>
    </row>
    <row r="16424" spans="19:19" ht="15.75">
      <c r="S16424" s="1"/>
    </row>
    <row r="16425" spans="19:19" ht="15.75">
      <c r="S16425" s="1"/>
    </row>
    <row r="16426" spans="19:19" ht="15.75">
      <c r="S16426" s="1"/>
    </row>
    <row r="16427" spans="19:19" ht="15.75">
      <c r="S16427" s="1"/>
    </row>
    <row r="16428" spans="19:19" ht="15.75">
      <c r="S16428" s="1"/>
    </row>
    <row r="16429" spans="19:19" ht="15.75">
      <c r="S16429" s="1"/>
    </row>
    <row r="16430" spans="19:19" ht="15.75">
      <c r="S16430" s="1"/>
    </row>
    <row r="16431" spans="19:19" ht="15.75">
      <c r="S16431" s="1"/>
    </row>
    <row r="16432" spans="19:19" ht="15.75">
      <c r="S16432" s="1"/>
    </row>
    <row r="16433" spans="19:19" ht="15.75">
      <c r="S16433" s="1"/>
    </row>
    <row r="16434" spans="19:19" ht="15.75">
      <c r="S16434" s="1"/>
    </row>
    <row r="16435" spans="19:19" ht="15.75">
      <c r="S16435" s="1"/>
    </row>
    <row r="16436" spans="19:19" ht="15.75">
      <c r="S16436" s="1"/>
    </row>
    <row r="16437" spans="19:19" ht="15.75">
      <c r="S16437" s="1"/>
    </row>
    <row r="16438" spans="19:19" ht="15.75">
      <c r="S16438" s="1"/>
    </row>
    <row r="16439" spans="19:19" ht="15.75">
      <c r="S16439" s="1"/>
    </row>
    <row r="16440" spans="19:19" ht="15.75">
      <c r="S16440" s="1"/>
    </row>
    <row r="16441" spans="19:19" ht="15.75">
      <c r="S16441" s="1"/>
    </row>
    <row r="16442" spans="19:19" ht="15.75">
      <c r="S16442" s="1"/>
    </row>
    <row r="16443" spans="19:19" ht="15.75">
      <c r="S16443" s="1"/>
    </row>
    <row r="16444" spans="19:19" ht="15.75">
      <c r="S16444" s="1"/>
    </row>
    <row r="16445" spans="19:19" ht="15.75">
      <c r="S16445" s="1"/>
    </row>
    <row r="16446" spans="19:19" ht="15.75">
      <c r="S16446" s="1"/>
    </row>
    <row r="16447" spans="19:19" ht="15.75">
      <c r="S16447" s="1"/>
    </row>
    <row r="16448" spans="19:19" ht="15.75">
      <c r="S16448" s="1"/>
    </row>
    <row r="16449" spans="19:19" ht="15.75">
      <c r="S16449" s="1"/>
    </row>
    <row r="16450" spans="19:19" ht="15.75">
      <c r="S16450" s="1"/>
    </row>
    <row r="16451" spans="19:19" ht="15.75">
      <c r="S16451" s="1"/>
    </row>
    <row r="16452" spans="19:19" ht="15.75">
      <c r="S16452" s="1"/>
    </row>
    <row r="16453" spans="19:19" ht="15.75">
      <c r="S16453" s="1"/>
    </row>
    <row r="16454" spans="19:19" ht="15.75">
      <c r="S16454" s="1"/>
    </row>
    <row r="16455" spans="19:19" ht="15.75">
      <c r="S16455" s="1"/>
    </row>
    <row r="16456" spans="19:19" ht="15.75">
      <c r="S16456" s="1"/>
    </row>
    <row r="16457" spans="19:19" ht="15.75">
      <c r="S16457" s="1"/>
    </row>
    <row r="16458" spans="19:19" ht="15.75">
      <c r="S16458" s="1"/>
    </row>
    <row r="16459" spans="19:19" ht="15.75">
      <c r="S16459" s="1"/>
    </row>
    <row r="16460" spans="19:19" ht="15.75">
      <c r="S16460" s="1"/>
    </row>
    <row r="16461" spans="19:19" ht="15.75">
      <c r="S16461" s="1"/>
    </row>
    <row r="16462" spans="19:19" ht="15.75">
      <c r="S16462" s="1"/>
    </row>
    <row r="16463" spans="19:19" ht="15.75">
      <c r="S16463" s="1"/>
    </row>
    <row r="16464" spans="19:19" ht="15.75">
      <c r="S16464" s="1"/>
    </row>
    <row r="16465" spans="19:19" ht="15.75">
      <c r="S16465" s="1"/>
    </row>
    <row r="16466" spans="19:19" ht="15.75">
      <c r="S16466" s="1"/>
    </row>
    <row r="16467" spans="19:19" ht="15.75">
      <c r="S16467" s="1"/>
    </row>
    <row r="16468" spans="19:19" ht="15.75">
      <c r="S16468" s="1"/>
    </row>
    <row r="16469" spans="19:19" ht="15.75">
      <c r="S16469" s="1"/>
    </row>
    <row r="16470" spans="19:19" ht="15.75">
      <c r="S16470" s="1"/>
    </row>
    <row r="16471" spans="19:19" ht="15.75">
      <c r="S16471" s="1"/>
    </row>
    <row r="16472" spans="19:19" ht="15.75">
      <c r="S16472" s="1"/>
    </row>
    <row r="16473" spans="19:19" ht="15.75">
      <c r="S16473" s="1"/>
    </row>
    <row r="16474" spans="19:19" ht="15.75">
      <c r="S16474" s="1"/>
    </row>
    <row r="16475" spans="19:19" ht="15.75">
      <c r="S16475" s="1"/>
    </row>
    <row r="16476" spans="19:19" ht="15.75">
      <c r="S16476" s="1"/>
    </row>
    <row r="16477" spans="19:19" ht="15.75">
      <c r="S16477" s="1"/>
    </row>
    <row r="16478" spans="19:19" ht="15.75">
      <c r="S16478" s="1"/>
    </row>
    <row r="16479" spans="19:19" ht="15.75">
      <c r="S16479" s="1"/>
    </row>
    <row r="16480" spans="19:19" ht="15.75">
      <c r="S16480" s="1"/>
    </row>
    <row r="16481" spans="19:19" ht="15.75">
      <c r="S16481" s="1"/>
    </row>
    <row r="16482" spans="19:19" ht="15.75">
      <c r="S16482" s="1"/>
    </row>
    <row r="16483" spans="19:19" ht="15.75">
      <c r="S16483" s="1"/>
    </row>
    <row r="16484" spans="19:19" ht="15.75">
      <c r="S16484" s="1"/>
    </row>
    <row r="16485" spans="19:19" ht="15.75">
      <c r="S16485" s="1"/>
    </row>
    <row r="16486" spans="19:19" ht="15.75">
      <c r="S16486" s="1"/>
    </row>
    <row r="16487" spans="19:19" ht="15.75">
      <c r="S16487" s="1"/>
    </row>
    <row r="16488" spans="19:19" ht="15.75">
      <c r="S16488" s="1"/>
    </row>
    <row r="16489" spans="19:19" ht="15.75">
      <c r="S16489" s="1"/>
    </row>
    <row r="16490" spans="19:19" ht="15.75">
      <c r="S16490" s="1"/>
    </row>
    <row r="16491" spans="19:19" ht="15.75">
      <c r="S16491" s="1"/>
    </row>
    <row r="16492" spans="19:19" ht="15.75">
      <c r="S16492" s="1"/>
    </row>
    <row r="16493" spans="19:19" ht="15.75">
      <c r="S16493" s="1"/>
    </row>
    <row r="16494" spans="19:19" ht="15.75">
      <c r="S16494" s="1"/>
    </row>
    <row r="16495" spans="19:19" ht="15.75">
      <c r="S16495" s="1"/>
    </row>
    <row r="16496" spans="19:19" ht="15.75">
      <c r="S16496" s="1"/>
    </row>
    <row r="16497" spans="19:19" ht="15.75">
      <c r="S16497" s="1"/>
    </row>
    <row r="16498" spans="19:19" ht="15.75">
      <c r="S16498" s="1"/>
    </row>
    <row r="16499" spans="19:19" ht="15.75">
      <c r="S16499" s="1"/>
    </row>
    <row r="16500" spans="19:19" ht="15.75">
      <c r="S16500" s="1"/>
    </row>
    <row r="16501" spans="19:19" ht="15.75">
      <c r="S16501" s="1"/>
    </row>
    <row r="16502" spans="19:19" ht="15.75">
      <c r="S16502" s="1"/>
    </row>
    <row r="16503" spans="19:19" ht="15.75">
      <c r="S16503" s="1"/>
    </row>
    <row r="16504" spans="19:19" ht="15.75">
      <c r="S16504" s="1"/>
    </row>
    <row r="16505" spans="19:19" ht="15.75">
      <c r="S16505" s="1"/>
    </row>
    <row r="16506" spans="19:19" ht="15.75">
      <c r="S16506" s="1"/>
    </row>
    <row r="16507" spans="19:19" ht="15.75">
      <c r="S16507" s="1"/>
    </row>
    <row r="16508" spans="19:19" ht="15.75">
      <c r="S16508" s="1"/>
    </row>
    <row r="16509" spans="19:19" ht="15.75">
      <c r="S16509" s="1"/>
    </row>
    <row r="16510" spans="19:19" ht="15.75">
      <c r="S16510" s="1"/>
    </row>
    <row r="16511" spans="19:19" ht="15.75">
      <c r="S16511" s="1"/>
    </row>
    <row r="16512" spans="19:19" ht="15.75">
      <c r="S16512" s="1"/>
    </row>
    <row r="16513" spans="19:19" ht="15.75">
      <c r="S16513" s="1"/>
    </row>
    <row r="16514" spans="19:19" ht="15.75">
      <c r="S16514" s="1"/>
    </row>
    <row r="16515" spans="19:19" ht="15.75">
      <c r="S16515" s="1"/>
    </row>
    <row r="16516" spans="19:19" ht="15.75">
      <c r="S16516" s="1"/>
    </row>
    <row r="16517" spans="19:19" ht="15.75">
      <c r="S16517" s="1"/>
    </row>
    <row r="16518" spans="19:19" ht="15.75">
      <c r="S16518" s="1"/>
    </row>
    <row r="16519" spans="19:19" ht="15.75">
      <c r="S16519" s="1"/>
    </row>
    <row r="16520" spans="19:19" ht="15.75">
      <c r="S16520" s="1"/>
    </row>
    <row r="16521" spans="19:19" ht="15.75">
      <c r="S16521" s="1"/>
    </row>
    <row r="16522" spans="19:19" ht="15.75">
      <c r="S16522" s="1"/>
    </row>
    <row r="16523" spans="19:19" ht="15.75">
      <c r="S16523" s="1"/>
    </row>
    <row r="16524" spans="19:19" ht="15.75">
      <c r="S16524" s="1"/>
    </row>
    <row r="16525" spans="19:19" ht="15.75">
      <c r="S16525" s="1"/>
    </row>
    <row r="16526" spans="19:19" ht="15.75">
      <c r="S16526" s="1"/>
    </row>
    <row r="16527" spans="19:19" ht="15.75">
      <c r="S16527" s="1"/>
    </row>
    <row r="16528" spans="19:19" ht="15.75">
      <c r="S16528" s="1"/>
    </row>
    <row r="16529" spans="19:19" ht="15.75">
      <c r="S16529" s="1"/>
    </row>
    <row r="16530" spans="19:19" ht="15.75">
      <c r="S16530" s="1"/>
    </row>
    <row r="16531" spans="19:19" ht="15.75">
      <c r="S16531" s="1"/>
    </row>
    <row r="16532" spans="19:19" ht="15.75">
      <c r="S16532" s="1"/>
    </row>
    <row r="16533" spans="19:19" ht="15.75">
      <c r="S16533" s="1"/>
    </row>
    <row r="16534" spans="19:19" ht="15.75">
      <c r="S16534" s="1"/>
    </row>
    <row r="16535" spans="19:19" ht="15.75">
      <c r="S16535" s="1"/>
    </row>
    <row r="16536" spans="19:19" ht="15.75">
      <c r="S16536" s="1"/>
    </row>
    <row r="16537" spans="19:19" ht="15.75">
      <c r="S16537" s="1"/>
    </row>
    <row r="16538" spans="19:19" ht="15.75">
      <c r="S16538" s="1"/>
    </row>
    <row r="16539" spans="19:19" ht="15.75">
      <c r="S16539" s="1"/>
    </row>
    <row r="16540" spans="19:19" ht="15.75">
      <c r="S16540" s="1"/>
    </row>
    <row r="16541" spans="19:19" ht="15.75">
      <c r="S16541" s="1"/>
    </row>
    <row r="16542" spans="19:19" ht="15.75">
      <c r="S16542" s="1"/>
    </row>
    <row r="16543" spans="19:19" ht="15.75">
      <c r="S16543" s="1"/>
    </row>
    <row r="16544" spans="19:19" ht="15.75">
      <c r="S16544" s="1"/>
    </row>
    <row r="16545" spans="19:19" ht="15.75">
      <c r="S16545" s="1"/>
    </row>
    <row r="16546" spans="19:19" ht="15.75">
      <c r="S16546" s="1"/>
    </row>
    <row r="16547" spans="19:19" ht="15.75">
      <c r="S16547" s="1"/>
    </row>
    <row r="16548" spans="19:19" ht="15.75">
      <c r="S16548" s="1"/>
    </row>
    <row r="16549" spans="19:19" ht="15.75">
      <c r="S16549" s="1"/>
    </row>
    <row r="16550" spans="19:19" ht="15.75">
      <c r="S16550" s="1"/>
    </row>
    <row r="16551" spans="19:19" ht="15.75">
      <c r="S16551" s="1"/>
    </row>
    <row r="16552" spans="19:19" ht="15.75">
      <c r="S16552" s="1"/>
    </row>
    <row r="16553" spans="19:19" ht="15.75">
      <c r="S16553" s="1"/>
    </row>
    <row r="16554" spans="19:19" ht="15.75">
      <c r="S16554" s="1"/>
    </row>
    <row r="16555" spans="19:19" ht="15.75">
      <c r="S16555" s="1"/>
    </row>
    <row r="16556" spans="19:19" ht="15.75">
      <c r="S16556" s="1"/>
    </row>
    <row r="16557" spans="19:19" ht="15.75">
      <c r="S16557" s="1"/>
    </row>
    <row r="16558" spans="19:19" ht="15.75">
      <c r="S16558" s="1"/>
    </row>
    <row r="16559" spans="19:19" ht="15.75">
      <c r="S16559" s="1"/>
    </row>
    <row r="16560" spans="19:19" ht="15.75">
      <c r="S16560" s="1"/>
    </row>
    <row r="16561" spans="19:19" ht="15.75">
      <c r="S16561" s="1"/>
    </row>
    <row r="16562" spans="19:19" ht="15.75">
      <c r="S16562" s="1"/>
    </row>
    <row r="16563" spans="19:19" ht="15.75">
      <c r="S16563" s="1"/>
    </row>
    <row r="16564" spans="19:19" ht="15.75">
      <c r="S16564" s="1"/>
    </row>
    <row r="16565" spans="19:19" ht="15.75">
      <c r="S16565" s="1"/>
    </row>
    <row r="16566" spans="19:19" ht="15.75">
      <c r="S16566" s="1"/>
    </row>
    <row r="16567" spans="19:19" ht="15.75">
      <c r="S16567" s="1"/>
    </row>
    <row r="16568" spans="19:19" ht="15.75">
      <c r="S16568" s="1"/>
    </row>
    <row r="16569" spans="19:19" ht="15.75">
      <c r="S16569" s="1"/>
    </row>
    <row r="16570" spans="19:19" ht="15.75">
      <c r="S16570" s="1"/>
    </row>
    <row r="16571" spans="19:19" ht="15.75">
      <c r="S16571" s="1"/>
    </row>
    <row r="16572" spans="19:19" ht="15.75">
      <c r="S16572" s="1"/>
    </row>
    <row r="16573" spans="19:19" ht="15.75">
      <c r="S16573" s="1"/>
    </row>
    <row r="16574" spans="19:19" ht="15.75">
      <c r="S16574" s="1"/>
    </row>
    <row r="16575" spans="19:19" ht="15.75">
      <c r="S16575" s="1"/>
    </row>
    <row r="16576" spans="19:19" ht="15.75">
      <c r="S16576" s="1"/>
    </row>
    <row r="16577" spans="19:19" ht="15.75">
      <c r="S16577" s="1"/>
    </row>
    <row r="16578" spans="19:19" ht="15.75">
      <c r="S16578" s="1"/>
    </row>
    <row r="16579" spans="19:19" ht="15.75">
      <c r="S16579" s="1"/>
    </row>
    <row r="16580" spans="19:19" ht="15.75">
      <c r="S16580" s="1"/>
    </row>
    <row r="16581" spans="19:19" ht="15.75">
      <c r="S16581" s="1"/>
    </row>
    <row r="16582" spans="19:19" ht="15.75">
      <c r="S16582" s="1"/>
    </row>
    <row r="16583" spans="19:19" ht="15.75">
      <c r="S16583" s="1"/>
    </row>
    <row r="16584" spans="19:19" ht="15.75">
      <c r="S16584" s="1"/>
    </row>
    <row r="16585" spans="19:19" ht="15.75">
      <c r="S16585" s="1"/>
    </row>
    <row r="16586" spans="19:19" ht="15.75">
      <c r="S16586" s="1"/>
    </row>
    <row r="16587" spans="19:19" ht="15.75">
      <c r="S16587" s="1"/>
    </row>
    <row r="16588" spans="19:19" ht="15.75">
      <c r="S16588" s="1"/>
    </row>
    <row r="16589" spans="19:19" ht="15.75">
      <c r="S16589" s="1"/>
    </row>
    <row r="16590" spans="19:19" ht="15.75">
      <c r="S16590" s="1"/>
    </row>
    <row r="16591" spans="19:19" ht="15.75">
      <c r="S16591" s="1"/>
    </row>
    <row r="16592" spans="19:19" ht="15.75">
      <c r="S16592" s="1"/>
    </row>
    <row r="16593" spans="19:19" ht="15.75">
      <c r="S16593" s="1"/>
    </row>
    <row r="16594" spans="19:19" ht="15.75">
      <c r="S16594" s="1"/>
    </row>
    <row r="16595" spans="19:19" ht="15.75">
      <c r="S16595" s="1"/>
    </row>
    <row r="16596" spans="19:19" ht="15.75">
      <c r="S16596" s="1"/>
    </row>
    <row r="16597" spans="19:19" ht="15.75">
      <c r="S16597" s="1"/>
    </row>
    <row r="16598" spans="19:19" ht="15.75">
      <c r="S16598" s="1"/>
    </row>
    <row r="16599" spans="19:19" ht="15.75">
      <c r="S16599" s="1"/>
    </row>
    <row r="16600" spans="19:19" ht="15.75">
      <c r="S16600" s="1"/>
    </row>
    <row r="16601" spans="19:19" ht="15.75">
      <c r="S16601" s="1"/>
    </row>
    <row r="16602" spans="19:19" ht="15.75">
      <c r="S16602" s="1"/>
    </row>
    <row r="16603" spans="19:19" ht="15.75">
      <c r="S16603" s="1"/>
    </row>
    <row r="16604" spans="19:19" ht="15.75">
      <c r="S16604" s="1"/>
    </row>
    <row r="16605" spans="19:19" ht="15.75">
      <c r="S16605" s="1"/>
    </row>
    <row r="16606" spans="19:19" ht="15.75">
      <c r="S16606" s="1"/>
    </row>
    <row r="16607" spans="19:19" ht="15.75">
      <c r="S16607" s="1"/>
    </row>
    <row r="16608" spans="19:19" ht="15.75">
      <c r="S16608" s="1"/>
    </row>
    <row r="16609" spans="19:19" ht="15.75">
      <c r="S16609" s="1"/>
    </row>
    <row r="16610" spans="19:19" ht="15.75">
      <c r="S16610" s="1"/>
    </row>
    <row r="16611" spans="19:19" ht="15.75">
      <c r="S16611" s="1"/>
    </row>
    <row r="16612" spans="19:19" ht="15.75">
      <c r="S16612" s="1"/>
    </row>
    <row r="16613" spans="19:19" ht="15.75">
      <c r="S16613" s="1"/>
    </row>
    <row r="16614" spans="19:19" ht="15.75">
      <c r="S16614" s="1"/>
    </row>
    <row r="16615" spans="19:19" ht="15.75">
      <c r="S16615" s="1"/>
    </row>
    <row r="16616" spans="19:19" ht="15.75">
      <c r="S16616" s="1"/>
    </row>
    <row r="16617" spans="19:19" ht="15.75">
      <c r="S16617" s="1"/>
    </row>
    <row r="16618" spans="19:19" ht="15.75">
      <c r="S16618" s="1"/>
    </row>
    <row r="16619" spans="19:19" ht="15.75">
      <c r="S16619" s="1"/>
    </row>
    <row r="16620" spans="19:19" ht="15.75">
      <c r="S16620" s="1"/>
    </row>
    <row r="16621" spans="19:19" ht="15.75">
      <c r="S16621" s="1"/>
    </row>
    <row r="16622" spans="19:19" ht="15.75">
      <c r="S16622" s="1"/>
    </row>
    <row r="16623" spans="19:19" ht="15.75">
      <c r="S16623" s="1"/>
    </row>
    <row r="16624" spans="19:19" ht="15.75">
      <c r="S16624" s="1"/>
    </row>
    <row r="16625" spans="19:19" ht="15.75">
      <c r="S16625" s="1"/>
    </row>
    <row r="16626" spans="19:19" ht="15.75">
      <c r="S16626" s="1"/>
    </row>
    <row r="16627" spans="19:19" ht="15.75">
      <c r="S16627" s="1"/>
    </row>
    <row r="16628" spans="19:19" ht="15.75">
      <c r="S16628" s="1"/>
    </row>
    <row r="16629" spans="19:19" ht="15.75">
      <c r="S16629" s="1"/>
    </row>
    <row r="16630" spans="19:19" ht="15.75">
      <c r="S16630" s="1"/>
    </row>
    <row r="16631" spans="19:19" ht="15.75">
      <c r="S16631" s="1"/>
    </row>
    <row r="16632" spans="19:19" ht="15.75">
      <c r="S16632" s="1"/>
    </row>
    <row r="16633" spans="19:19" ht="15.75">
      <c r="S16633" s="1"/>
    </row>
    <row r="16634" spans="19:19" ht="15.75">
      <c r="S16634" s="1"/>
    </row>
    <row r="16635" spans="19:19" ht="15.75">
      <c r="S16635" s="1"/>
    </row>
    <row r="16636" spans="19:19" ht="15.75">
      <c r="S16636" s="1"/>
    </row>
    <row r="16637" spans="19:19" ht="15.75">
      <c r="S16637" s="1"/>
    </row>
    <row r="16638" spans="19:19" ht="15.75">
      <c r="S16638" s="1"/>
    </row>
    <row r="16639" spans="19:19" ht="15.75">
      <c r="S16639" s="1"/>
    </row>
    <row r="16640" spans="19:19" ht="15.75">
      <c r="S16640" s="1"/>
    </row>
    <row r="16641" spans="19:19" ht="15.75">
      <c r="S16641" s="1"/>
    </row>
    <row r="16642" spans="19:19" ht="15.75">
      <c r="S16642" s="1"/>
    </row>
    <row r="16643" spans="19:19" ht="15.75">
      <c r="S16643" s="1"/>
    </row>
    <row r="16644" spans="19:19" ht="15.75">
      <c r="S16644" s="1"/>
    </row>
    <row r="16645" spans="19:19" ht="15.75">
      <c r="S16645" s="1"/>
    </row>
    <row r="16646" spans="19:19" ht="15.75">
      <c r="S16646" s="1"/>
    </row>
    <row r="16647" spans="19:19" ht="15.75">
      <c r="S16647" s="1"/>
    </row>
    <row r="16648" spans="19:19" ht="15.75">
      <c r="S16648" s="1"/>
    </row>
    <row r="16649" spans="19:19" ht="15.75">
      <c r="S16649" s="1"/>
    </row>
    <row r="16650" spans="19:19" ht="15.75">
      <c r="S16650" s="1"/>
    </row>
    <row r="16651" spans="19:19" ht="15.75">
      <c r="S16651" s="1"/>
    </row>
    <row r="16652" spans="19:19" ht="15.75">
      <c r="S16652" s="1"/>
    </row>
    <row r="16653" spans="19:19" ht="15.75">
      <c r="S16653" s="1"/>
    </row>
    <row r="16654" spans="19:19" ht="15.75">
      <c r="S16654" s="1"/>
    </row>
    <row r="16655" spans="19:19" ht="15.75">
      <c r="S16655" s="1"/>
    </row>
    <row r="16656" spans="19:19" ht="15.75">
      <c r="S16656" s="1"/>
    </row>
    <row r="16657" spans="19:19" ht="15.75">
      <c r="S16657" s="1"/>
    </row>
    <row r="16658" spans="19:19" ht="15.75">
      <c r="S16658" s="1"/>
    </row>
    <row r="16659" spans="19:19" ht="15.75">
      <c r="S16659" s="1"/>
    </row>
    <row r="16660" spans="19:19" ht="15.75">
      <c r="S16660" s="1"/>
    </row>
    <row r="16661" spans="19:19" ht="15.75">
      <c r="S16661" s="1"/>
    </row>
    <row r="16662" spans="19:19" ht="15.75">
      <c r="S16662" s="1"/>
    </row>
    <row r="16663" spans="19:19" ht="15.75">
      <c r="S16663" s="1"/>
    </row>
    <row r="16664" spans="19:19" ht="15.75">
      <c r="S16664" s="1"/>
    </row>
    <row r="16665" spans="19:19" ht="15.75">
      <c r="S16665" s="1"/>
    </row>
    <row r="16666" spans="19:19" ht="15.75">
      <c r="S16666" s="1"/>
    </row>
    <row r="16667" spans="19:19" ht="15.75">
      <c r="S16667" s="1"/>
    </row>
    <row r="16668" spans="19:19" ht="15.75">
      <c r="S16668" s="1"/>
    </row>
    <row r="16669" spans="19:19" ht="15.75">
      <c r="S16669" s="1"/>
    </row>
    <row r="16670" spans="19:19" ht="15.75">
      <c r="S16670" s="1"/>
    </row>
    <row r="16671" spans="19:19" ht="15.75">
      <c r="S16671" s="1"/>
    </row>
    <row r="16672" spans="19:19" ht="15.75">
      <c r="S16672" s="1"/>
    </row>
    <row r="16673" spans="19:19" ht="15.75">
      <c r="S16673" s="1"/>
    </row>
    <row r="16674" spans="19:19" ht="15.75">
      <c r="S16674" s="1"/>
    </row>
    <row r="16675" spans="19:19" ht="15.75">
      <c r="S16675" s="1"/>
    </row>
    <row r="16676" spans="19:19" ht="15.75">
      <c r="S16676" s="1"/>
    </row>
    <row r="16677" spans="19:19" ht="15.75">
      <c r="S16677" s="1"/>
    </row>
    <row r="16678" spans="19:19" ht="15.75">
      <c r="S16678" s="1"/>
    </row>
    <row r="16679" spans="19:19" ht="15.75">
      <c r="S16679" s="1"/>
    </row>
    <row r="16680" spans="19:19" ht="15.75">
      <c r="S16680" s="1"/>
    </row>
    <row r="16681" spans="19:19" ht="15.75">
      <c r="S16681" s="1"/>
    </row>
    <row r="16682" spans="19:19" ht="15.75">
      <c r="S16682" s="1"/>
    </row>
    <row r="16683" spans="19:19" ht="15.75">
      <c r="S16683" s="1"/>
    </row>
    <row r="16684" spans="19:19" ht="15.75">
      <c r="S16684" s="1"/>
    </row>
    <row r="16685" spans="19:19" ht="15.75">
      <c r="S16685" s="1"/>
    </row>
    <row r="16686" spans="19:19" ht="15.75">
      <c r="S16686" s="1"/>
    </row>
    <row r="16687" spans="19:19" ht="15.75">
      <c r="S16687" s="1"/>
    </row>
    <row r="16688" spans="19:19" ht="15.75">
      <c r="S16688" s="1"/>
    </row>
    <row r="16689" spans="19:19" ht="15.75">
      <c r="S16689" s="1"/>
    </row>
    <row r="16690" spans="19:19" ht="15.75">
      <c r="S16690" s="1"/>
    </row>
    <row r="16691" spans="19:19" ht="15.75">
      <c r="S16691" s="1"/>
    </row>
    <row r="16692" spans="19:19" ht="15.75">
      <c r="S16692" s="1"/>
    </row>
    <row r="16693" spans="19:19" ht="15.75">
      <c r="S16693" s="1"/>
    </row>
    <row r="16694" spans="19:19" ht="15.75">
      <c r="S16694" s="1"/>
    </row>
    <row r="16695" spans="19:19" ht="15.75">
      <c r="S16695" s="1"/>
    </row>
    <row r="16696" spans="19:19" ht="15.75">
      <c r="S16696" s="1"/>
    </row>
    <row r="16697" spans="19:19" ht="15.75">
      <c r="S16697" s="1"/>
    </row>
    <row r="16698" spans="19:19" ht="15.75">
      <c r="S16698" s="1"/>
    </row>
    <row r="16699" spans="19:19" ht="15.75">
      <c r="S16699" s="1"/>
    </row>
    <row r="16700" spans="19:19" ht="15.75">
      <c r="S16700" s="1"/>
    </row>
    <row r="16701" spans="19:19" ht="15.75">
      <c r="S16701" s="1"/>
    </row>
    <row r="16702" spans="19:19" ht="15.75">
      <c r="S16702" s="1"/>
    </row>
    <row r="16703" spans="19:19" ht="15.75">
      <c r="S16703" s="1"/>
    </row>
    <row r="16704" spans="19:19" ht="15.75">
      <c r="S16704" s="1"/>
    </row>
    <row r="16705" spans="19:19" ht="15.75">
      <c r="S16705" s="1"/>
    </row>
    <row r="16706" spans="19:19" ht="15.75">
      <c r="S16706" s="1"/>
    </row>
    <row r="16707" spans="19:19" ht="15.75">
      <c r="S16707" s="1"/>
    </row>
    <row r="16708" spans="19:19" ht="15.75">
      <c r="S16708" s="1"/>
    </row>
    <row r="16709" spans="19:19" ht="15.75">
      <c r="S16709" s="1"/>
    </row>
    <row r="16710" spans="19:19" ht="15.75">
      <c r="S16710" s="1"/>
    </row>
    <row r="16711" spans="19:19" ht="15.75">
      <c r="S16711" s="1"/>
    </row>
    <row r="16712" spans="19:19" ht="15.75">
      <c r="S16712" s="1"/>
    </row>
    <row r="16713" spans="19:19" ht="15.75">
      <c r="S16713" s="1"/>
    </row>
    <row r="16714" spans="19:19" ht="15.75">
      <c r="S16714" s="1"/>
    </row>
    <row r="16715" spans="19:19" ht="15.75">
      <c r="S16715" s="1"/>
    </row>
    <row r="16716" spans="19:19" ht="15.75">
      <c r="S16716" s="1"/>
    </row>
    <row r="16717" spans="19:19" ht="15.75">
      <c r="S16717" s="1"/>
    </row>
    <row r="16718" spans="19:19" ht="15.75">
      <c r="S16718" s="1"/>
    </row>
    <row r="16719" spans="19:19" ht="15.75">
      <c r="S16719" s="1"/>
    </row>
    <row r="16720" spans="19:19" ht="15.75">
      <c r="S16720" s="1"/>
    </row>
    <row r="16721" spans="19:19" ht="15.75">
      <c r="S16721" s="1"/>
    </row>
    <row r="16722" spans="19:19" ht="15.75">
      <c r="S16722" s="1"/>
    </row>
    <row r="16723" spans="19:19" ht="15.75">
      <c r="S16723" s="1"/>
    </row>
    <row r="16724" spans="19:19" ht="15.75">
      <c r="S16724" s="1"/>
    </row>
    <row r="16725" spans="19:19" ht="15.75">
      <c r="S16725" s="1"/>
    </row>
    <row r="16726" spans="19:19" ht="15.75">
      <c r="S16726" s="1"/>
    </row>
    <row r="16727" spans="19:19" ht="15.75">
      <c r="S16727" s="1"/>
    </row>
    <row r="16728" spans="19:19" ht="15.75">
      <c r="S16728" s="1"/>
    </row>
    <row r="16729" spans="19:19" ht="15.75">
      <c r="S16729" s="1"/>
    </row>
    <row r="16730" spans="19:19" ht="15.75">
      <c r="S16730" s="1"/>
    </row>
    <row r="16731" spans="19:19" ht="15.75">
      <c r="S16731" s="1"/>
    </row>
    <row r="16732" spans="19:19" ht="15.75">
      <c r="S16732" s="1"/>
    </row>
    <row r="16733" spans="19:19" ht="15.75">
      <c r="S16733" s="1"/>
    </row>
    <row r="16734" spans="19:19" ht="15.75">
      <c r="S16734" s="1"/>
    </row>
    <row r="16735" spans="19:19" ht="15.75">
      <c r="S16735" s="1"/>
    </row>
    <row r="16736" spans="19:19" ht="15.75">
      <c r="S16736" s="1"/>
    </row>
    <row r="16737" spans="19:19" ht="15.75">
      <c r="S16737" s="1"/>
    </row>
    <row r="16738" spans="19:19" ht="15.75">
      <c r="S16738" s="1"/>
    </row>
    <row r="16739" spans="19:19" ht="15.75">
      <c r="S16739" s="1"/>
    </row>
    <row r="16740" spans="19:19" ht="15.75">
      <c r="S16740" s="1"/>
    </row>
    <row r="16741" spans="19:19" ht="15.75">
      <c r="S16741" s="1"/>
    </row>
    <row r="16742" spans="19:19" ht="15.75">
      <c r="S16742" s="1"/>
    </row>
    <row r="16743" spans="19:19" ht="15.75">
      <c r="S16743" s="1"/>
    </row>
    <row r="16744" spans="19:19" ht="15.75">
      <c r="S16744" s="1"/>
    </row>
    <row r="16745" spans="19:19" ht="15.75">
      <c r="S16745" s="1"/>
    </row>
    <row r="16746" spans="19:19" ht="15.75">
      <c r="S16746" s="1"/>
    </row>
    <row r="16747" spans="19:19" ht="15.75">
      <c r="S16747" s="1"/>
    </row>
    <row r="16748" spans="19:19" ht="15.75">
      <c r="S16748" s="1"/>
    </row>
    <row r="16749" spans="19:19" ht="15.75">
      <c r="S16749" s="1"/>
    </row>
    <row r="16750" spans="19:19" ht="15.75">
      <c r="S16750" s="1"/>
    </row>
    <row r="16751" spans="19:19" ht="15.75">
      <c r="S16751" s="1"/>
    </row>
    <row r="16752" spans="19:19" ht="15.75">
      <c r="S16752" s="1"/>
    </row>
    <row r="16753" spans="19:19" ht="15.75">
      <c r="S16753" s="1"/>
    </row>
    <row r="16754" spans="19:19" ht="15.75">
      <c r="S16754" s="1"/>
    </row>
    <row r="16755" spans="19:19" ht="15.75">
      <c r="S16755" s="1"/>
    </row>
    <row r="16756" spans="19:19" ht="15.75">
      <c r="S16756" s="1"/>
    </row>
    <row r="16757" spans="19:19" ht="15.75">
      <c r="S16757" s="1"/>
    </row>
    <row r="16758" spans="19:19" ht="15.75">
      <c r="S16758" s="1"/>
    </row>
    <row r="16759" spans="19:19" ht="15.75">
      <c r="S16759" s="1"/>
    </row>
    <row r="16760" spans="19:19" ht="15.75">
      <c r="S16760" s="1"/>
    </row>
    <row r="16761" spans="19:19" ht="15.75">
      <c r="S16761" s="1"/>
    </row>
    <row r="16762" spans="19:19" ht="15.75">
      <c r="S16762" s="1"/>
    </row>
    <row r="16763" spans="19:19" ht="15.75">
      <c r="S16763" s="1"/>
    </row>
    <row r="16764" spans="19:19" ht="15.75">
      <c r="S16764" s="1"/>
    </row>
    <row r="16765" spans="19:19" ht="15.75">
      <c r="S16765" s="1"/>
    </row>
    <row r="16766" spans="19:19" ht="15.75">
      <c r="S16766" s="1"/>
    </row>
    <row r="16767" spans="19:19" ht="15.75">
      <c r="S16767" s="1"/>
    </row>
    <row r="16768" spans="19:19" ht="15.75">
      <c r="S16768" s="1"/>
    </row>
    <row r="16769" spans="19:19" ht="15.75">
      <c r="S16769" s="1"/>
    </row>
    <row r="16770" spans="19:19" ht="15.75">
      <c r="S16770" s="1"/>
    </row>
    <row r="16771" spans="19:19" ht="15.75">
      <c r="S16771" s="1"/>
    </row>
    <row r="16772" spans="19:19" ht="15.75">
      <c r="S16772" s="1"/>
    </row>
    <row r="16773" spans="19:19" ht="15.75">
      <c r="S16773" s="1"/>
    </row>
    <row r="16774" spans="19:19" ht="15.75">
      <c r="S16774" s="1"/>
    </row>
    <row r="16775" spans="19:19" ht="15.75">
      <c r="S16775" s="1"/>
    </row>
    <row r="16776" spans="19:19" ht="15.75">
      <c r="S16776" s="1"/>
    </row>
    <row r="16777" spans="19:19" ht="15.75">
      <c r="S16777" s="1"/>
    </row>
    <row r="16778" spans="19:19" ht="15.75">
      <c r="S16778" s="1"/>
    </row>
    <row r="16779" spans="19:19" ht="15.75">
      <c r="S16779" s="1"/>
    </row>
    <row r="16780" spans="19:19" ht="15.75">
      <c r="S16780" s="1"/>
    </row>
    <row r="16781" spans="19:19" ht="15.75">
      <c r="S16781" s="1"/>
    </row>
    <row r="16782" spans="19:19" ht="15.75">
      <c r="S16782" s="1"/>
    </row>
    <row r="16783" spans="19:19" ht="15.75">
      <c r="S16783" s="1"/>
    </row>
    <row r="16784" spans="19:19" ht="15.75">
      <c r="S16784" s="1"/>
    </row>
    <row r="16785" spans="19:19" ht="15.75">
      <c r="S16785" s="1"/>
    </row>
    <row r="16786" spans="19:19" ht="15.75">
      <c r="S16786" s="1"/>
    </row>
    <row r="16787" spans="19:19" ht="15.75">
      <c r="S16787" s="1"/>
    </row>
    <row r="16788" spans="19:19" ht="15.75">
      <c r="S16788" s="1"/>
    </row>
    <row r="16789" spans="19:19" ht="15.75">
      <c r="S16789" s="1"/>
    </row>
    <row r="16790" spans="19:19" ht="15.75">
      <c r="S16790" s="1"/>
    </row>
    <row r="16791" spans="19:19" ht="15.75">
      <c r="S16791" s="1"/>
    </row>
    <row r="16792" spans="19:19" ht="15.75">
      <c r="S16792" s="1"/>
    </row>
    <row r="16793" spans="19:19" ht="15.75">
      <c r="S16793" s="1"/>
    </row>
    <row r="16794" spans="19:19" ht="15.75">
      <c r="S16794" s="1"/>
    </row>
    <row r="16795" spans="19:19" ht="15.75">
      <c r="S16795" s="1"/>
    </row>
    <row r="16796" spans="19:19" ht="15.75">
      <c r="S16796" s="1"/>
    </row>
    <row r="16797" spans="19:19" ht="15.75">
      <c r="S16797" s="1"/>
    </row>
    <row r="16798" spans="19:19" ht="15.75">
      <c r="S16798" s="1"/>
    </row>
    <row r="16799" spans="19:19" ht="15.75">
      <c r="S16799" s="1"/>
    </row>
    <row r="16800" spans="19:19" ht="15.75">
      <c r="S16800" s="1"/>
    </row>
    <row r="16801" spans="19:19" ht="15.75">
      <c r="S16801" s="1"/>
    </row>
    <row r="16802" spans="19:19" ht="15.75">
      <c r="S16802" s="1"/>
    </row>
    <row r="16803" spans="19:19" ht="15.75">
      <c r="S16803" s="1"/>
    </row>
    <row r="16804" spans="19:19" ht="15.75">
      <c r="S16804" s="1"/>
    </row>
    <row r="16805" spans="19:19" ht="15.75">
      <c r="S16805" s="1"/>
    </row>
    <row r="16806" spans="19:19" ht="15.75">
      <c r="S16806" s="1"/>
    </row>
    <row r="16807" spans="19:19" ht="15.75">
      <c r="S16807" s="1"/>
    </row>
    <row r="16808" spans="19:19" ht="15.75">
      <c r="S16808" s="1"/>
    </row>
    <row r="16809" spans="19:19" ht="15.75">
      <c r="S16809" s="1"/>
    </row>
    <row r="16810" spans="19:19" ht="15.75">
      <c r="S16810" s="1"/>
    </row>
    <row r="16811" spans="19:19" ht="15.75">
      <c r="S16811" s="1"/>
    </row>
    <row r="16812" spans="19:19" ht="15.75">
      <c r="S16812" s="1"/>
    </row>
    <row r="16813" spans="19:19" ht="15.75">
      <c r="S16813" s="1"/>
    </row>
    <row r="16814" spans="19:19" ht="15.75">
      <c r="S16814" s="1"/>
    </row>
    <row r="16815" spans="19:19" ht="15.75">
      <c r="S16815" s="1"/>
    </row>
    <row r="16816" spans="19:19" ht="15.75">
      <c r="S16816" s="1"/>
    </row>
    <row r="16817" spans="19:19" ht="15.75">
      <c r="S16817" s="1"/>
    </row>
    <row r="16818" spans="19:19" ht="15.75">
      <c r="S16818" s="1"/>
    </row>
    <row r="16819" spans="19:19" ht="15.75">
      <c r="S16819" s="1"/>
    </row>
    <row r="16820" spans="19:19" ht="15.75">
      <c r="S16820" s="1"/>
    </row>
    <row r="16821" spans="19:19" ht="15.75">
      <c r="S16821" s="1"/>
    </row>
    <row r="16822" spans="19:19" ht="15.75">
      <c r="S16822" s="1"/>
    </row>
    <row r="16823" spans="19:19" ht="15.75">
      <c r="S16823" s="1"/>
    </row>
    <row r="16824" spans="19:19" ht="15.75">
      <c r="S16824" s="1"/>
    </row>
    <row r="16825" spans="19:19" ht="15.75">
      <c r="S16825" s="1"/>
    </row>
    <row r="16826" spans="19:19" ht="15.75">
      <c r="S16826" s="1"/>
    </row>
    <row r="16827" spans="19:19" ht="15.75">
      <c r="S16827" s="1"/>
    </row>
    <row r="16828" spans="19:19" ht="15.75">
      <c r="S16828" s="1"/>
    </row>
    <row r="16829" spans="19:19" ht="15.75">
      <c r="S16829" s="1"/>
    </row>
    <row r="16830" spans="19:19" ht="15.75">
      <c r="S16830" s="1"/>
    </row>
    <row r="16831" spans="19:19" ht="15.75">
      <c r="S16831" s="1"/>
    </row>
    <row r="16832" spans="19:19" ht="15.75">
      <c r="S16832" s="1"/>
    </row>
    <row r="16833" spans="19:19" ht="15.75">
      <c r="S16833" s="1"/>
    </row>
    <row r="16834" spans="19:19" ht="15.75">
      <c r="S16834" s="1"/>
    </row>
    <row r="16835" spans="19:19" ht="15.75">
      <c r="S16835" s="1"/>
    </row>
    <row r="16836" spans="19:19" ht="15.75">
      <c r="S16836" s="1"/>
    </row>
    <row r="16837" spans="19:19" ht="15.75">
      <c r="S16837" s="1"/>
    </row>
    <row r="16838" spans="19:19" ht="15.75">
      <c r="S16838" s="1"/>
    </row>
    <row r="16839" spans="19:19" ht="15.75">
      <c r="S16839" s="1"/>
    </row>
    <row r="16840" spans="19:19" ht="15.75">
      <c r="S16840" s="1"/>
    </row>
    <row r="16841" spans="19:19" ht="15.75">
      <c r="S16841" s="1"/>
    </row>
    <row r="16842" spans="19:19" ht="15.75">
      <c r="S16842" s="1"/>
    </row>
    <row r="16843" spans="19:19" ht="15.75">
      <c r="S16843" s="1"/>
    </row>
    <row r="16844" spans="19:19" ht="15.75">
      <c r="S16844" s="1"/>
    </row>
    <row r="16845" spans="19:19" ht="15.75">
      <c r="S16845" s="1"/>
    </row>
    <row r="16846" spans="19:19" ht="15.75">
      <c r="S16846" s="1"/>
    </row>
    <row r="16847" spans="19:19" ht="15.75">
      <c r="S16847" s="1"/>
    </row>
    <row r="16848" spans="19:19" ht="15.75">
      <c r="S16848" s="1"/>
    </row>
    <row r="16849" spans="19:19" ht="15.75">
      <c r="S16849" s="1"/>
    </row>
    <row r="16850" spans="19:19" ht="15.75">
      <c r="S16850" s="1"/>
    </row>
    <row r="16851" spans="19:19" ht="15.75">
      <c r="S16851" s="1"/>
    </row>
    <row r="16852" spans="19:19" ht="15.75">
      <c r="S16852" s="1"/>
    </row>
    <row r="16853" spans="19:19" ht="15.75">
      <c r="S16853" s="1"/>
    </row>
    <row r="16854" spans="19:19" ht="15.75">
      <c r="S16854" s="1"/>
    </row>
    <row r="16855" spans="19:19" ht="15.75">
      <c r="S16855" s="1"/>
    </row>
    <row r="16856" spans="19:19" ht="15.75">
      <c r="S16856" s="1"/>
    </row>
    <row r="16857" spans="19:19" ht="15.75">
      <c r="S16857" s="1"/>
    </row>
    <row r="16858" spans="19:19" ht="15.75">
      <c r="S16858" s="1"/>
    </row>
    <row r="16859" spans="19:19" ht="15.75">
      <c r="S16859" s="1"/>
    </row>
    <row r="16860" spans="19:19" ht="15.75">
      <c r="S16860" s="1"/>
    </row>
    <row r="16861" spans="19:19" ht="15.75">
      <c r="S16861" s="1"/>
    </row>
    <row r="16862" spans="19:19" ht="15.75">
      <c r="S16862" s="1"/>
    </row>
    <row r="16863" spans="19:19" ht="15.75">
      <c r="S16863" s="1"/>
    </row>
    <row r="16864" spans="19:19" ht="15.75">
      <c r="S16864" s="1"/>
    </row>
    <row r="16865" spans="19:19" ht="15.75">
      <c r="S16865" s="1"/>
    </row>
    <row r="16866" spans="19:19" ht="15.75">
      <c r="S16866" s="1"/>
    </row>
    <row r="16867" spans="19:19" ht="15.75">
      <c r="S16867" s="1"/>
    </row>
    <row r="16868" spans="19:19" ht="15.75">
      <c r="S16868" s="1"/>
    </row>
    <row r="16869" spans="19:19" ht="15.75">
      <c r="S16869" s="1"/>
    </row>
    <row r="16870" spans="19:19" ht="15.75">
      <c r="S16870" s="1"/>
    </row>
    <row r="16871" spans="19:19" ht="15.75">
      <c r="S16871" s="1"/>
    </row>
    <row r="16872" spans="19:19" ht="15.75">
      <c r="S16872" s="1"/>
    </row>
    <row r="16873" spans="19:19" ht="15.75">
      <c r="S16873" s="1"/>
    </row>
    <row r="16874" spans="19:19" ht="15.75">
      <c r="S16874" s="1"/>
    </row>
    <row r="16875" spans="19:19" ht="15.75">
      <c r="S16875" s="1"/>
    </row>
    <row r="16876" spans="19:19" ht="15.75">
      <c r="S16876" s="1"/>
    </row>
    <row r="16877" spans="19:19" ht="15.75">
      <c r="S16877" s="1"/>
    </row>
    <row r="16878" spans="19:19" ht="15.75">
      <c r="S16878" s="1"/>
    </row>
    <row r="16879" spans="19:19" ht="15.75">
      <c r="S16879" s="1"/>
    </row>
    <row r="16880" spans="19:19" ht="15.75">
      <c r="S16880" s="1"/>
    </row>
    <row r="16881" spans="19:19" ht="15.75">
      <c r="S16881" s="1"/>
    </row>
    <row r="16882" spans="19:19" ht="15.75">
      <c r="S16882" s="1"/>
    </row>
    <row r="16883" spans="19:19" ht="15.75">
      <c r="S16883" s="1"/>
    </row>
    <row r="16884" spans="19:19" ht="15.75">
      <c r="S16884" s="1"/>
    </row>
    <row r="16885" spans="19:19" ht="15.75">
      <c r="S16885" s="1"/>
    </row>
    <row r="16886" spans="19:19" ht="15.75">
      <c r="S16886" s="1"/>
    </row>
    <row r="16887" spans="19:19" ht="15.75">
      <c r="S16887" s="1"/>
    </row>
    <row r="16888" spans="19:19" ht="15.75">
      <c r="S16888" s="1"/>
    </row>
    <row r="16889" spans="19:19" ht="15.75">
      <c r="S16889" s="1"/>
    </row>
    <row r="16890" spans="19:19" ht="15.75">
      <c r="S16890" s="1"/>
    </row>
    <row r="16891" spans="19:19" ht="15.75">
      <c r="S16891" s="1"/>
    </row>
    <row r="16892" spans="19:19" ht="15.75">
      <c r="S16892" s="1"/>
    </row>
    <row r="16893" spans="19:19" ht="15.75">
      <c r="S16893" s="1"/>
    </row>
    <row r="16894" spans="19:19" ht="15.75">
      <c r="S16894" s="1"/>
    </row>
    <row r="16895" spans="19:19" ht="15.75">
      <c r="S16895" s="1"/>
    </row>
    <row r="16896" spans="19:19" ht="15.75">
      <c r="S16896" s="1"/>
    </row>
    <row r="16897" spans="19:19" ht="15.75">
      <c r="S16897" s="1"/>
    </row>
    <row r="16898" spans="19:19" ht="15.75">
      <c r="S16898" s="1"/>
    </row>
    <row r="16899" spans="19:19" ht="15.75">
      <c r="S16899" s="1"/>
    </row>
    <row r="16900" spans="19:19" ht="15.75">
      <c r="S16900" s="1"/>
    </row>
    <row r="16901" spans="19:19" ht="15.75">
      <c r="S16901" s="1"/>
    </row>
    <row r="16902" spans="19:19" ht="15.75">
      <c r="S16902" s="1"/>
    </row>
    <row r="16903" spans="19:19" ht="15.75">
      <c r="S16903" s="1"/>
    </row>
    <row r="16904" spans="19:19" ht="15.75">
      <c r="S16904" s="1"/>
    </row>
    <row r="16905" spans="19:19" ht="15.75">
      <c r="S16905" s="1"/>
    </row>
    <row r="16906" spans="19:19" ht="15.75">
      <c r="S16906" s="1"/>
    </row>
    <row r="16907" spans="19:19" ht="15.75">
      <c r="S16907" s="1"/>
    </row>
    <row r="16908" spans="19:19" ht="15.75">
      <c r="S16908" s="1"/>
    </row>
    <row r="16909" spans="19:19" ht="15.75">
      <c r="S16909" s="1"/>
    </row>
    <row r="16910" spans="19:19" ht="15.75">
      <c r="S16910" s="1"/>
    </row>
    <row r="16911" spans="19:19" ht="15.75">
      <c r="S16911" s="1"/>
    </row>
    <row r="16912" spans="19:19" ht="15.75">
      <c r="S16912" s="1"/>
    </row>
    <row r="16913" spans="19:19" ht="15.75">
      <c r="S16913" s="1"/>
    </row>
    <row r="16914" spans="19:19" ht="15.75">
      <c r="S16914" s="1"/>
    </row>
    <row r="16915" spans="19:19" ht="15.75">
      <c r="S16915" s="1"/>
    </row>
    <row r="16916" spans="19:19" ht="15.75">
      <c r="S16916" s="1"/>
    </row>
    <row r="16917" spans="19:19" ht="15.75">
      <c r="S16917" s="1"/>
    </row>
    <row r="16918" spans="19:19" ht="15.75">
      <c r="S16918" s="1"/>
    </row>
    <row r="16919" spans="19:19" ht="15.75">
      <c r="S16919" s="1"/>
    </row>
    <row r="16920" spans="19:19" ht="15.75">
      <c r="S16920" s="1"/>
    </row>
    <row r="16921" spans="19:19" ht="15.75">
      <c r="S16921" s="1"/>
    </row>
    <row r="16922" spans="19:19" ht="15.75">
      <c r="S16922" s="1"/>
    </row>
    <row r="16923" spans="19:19" ht="15.75">
      <c r="S16923" s="1"/>
    </row>
    <row r="16924" spans="19:19" ht="15.75">
      <c r="S16924" s="1"/>
    </row>
    <row r="16925" spans="19:19" ht="15.75">
      <c r="S16925" s="1"/>
    </row>
    <row r="16926" spans="19:19" ht="15.75">
      <c r="S16926" s="1"/>
    </row>
    <row r="16927" spans="19:19" ht="15.75">
      <c r="S16927" s="1"/>
    </row>
    <row r="16928" spans="19:19" ht="15.75">
      <c r="S16928" s="1"/>
    </row>
    <row r="16929" spans="19:19" ht="15.75">
      <c r="S16929" s="1"/>
    </row>
    <row r="16930" spans="19:19" ht="15.75">
      <c r="S16930" s="1"/>
    </row>
    <row r="16931" spans="19:19" ht="15.75">
      <c r="S16931" s="1"/>
    </row>
    <row r="16932" spans="19:19" ht="15.75">
      <c r="S16932" s="1"/>
    </row>
    <row r="16933" spans="19:19" ht="15.75">
      <c r="S16933" s="1"/>
    </row>
    <row r="16934" spans="19:19" ht="15.75">
      <c r="S16934" s="1"/>
    </row>
    <row r="16935" spans="19:19" ht="15.75">
      <c r="S16935" s="1"/>
    </row>
    <row r="16936" spans="19:19" ht="15.75">
      <c r="S16936" s="1"/>
    </row>
    <row r="16937" spans="19:19" ht="15.75">
      <c r="S16937" s="1"/>
    </row>
    <row r="16938" spans="19:19" ht="15.75">
      <c r="S16938" s="1"/>
    </row>
    <row r="16939" spans="19:19" ht="15.75">
      <c r="S16939" s="1"/>
    </row>
    <row r="16940" spans="19:19" ht="15.75">
      <c r="S16940" s="1"/>
    </row>
    <row r="16941" spans="19:19" ht="15.75">
      <c r="S16941" s="1"/>
    </row>
    <row r="16942" spans="19:19" ht="15.75">
      <c r="S16942" s="1"/>
    </row>
    <row r="16943" spans="19:19" ht="15.75">
      <c r="S16943" s="1"/>
    </row>
    <row r="16944" spans="19:19" ht="15.75">
      <c r="S16944" s="1"/>
    </row>
    <row r="16945" spans="19:19" ht="15.75">
      <c r="S16945" s="1"/>
    </row>
    <row r="16946" spans="19:19" ht="15.75">
      <c r="S16946" s="1"/>
    </row>
    <row r="16947" spans="19:19" ht="15.75">
      <c r="S16947" s="1"/>
    </row>
    <row r="16948" spans="19:19" ht="15.75">
      <c r="S16948" s="1"/>
    </row>
    <row r="16949" spans="19:19" ht="15.75">
      <c r="S16949" s="1"/>
    </row>
    <row r="16950" spans="19:19" ht="15.75">
      <c r="S16950" s="1"/>
    </row>
    <row r="16951" spans="19:19" ht="15.75">
      <c r="S16951" s="1"/>
    </row>
    <row r="16952" spans="19:19" ht="15.75">
      <c r="S16952" s="1"/>
    </row>
    <row r="16953" spans="19:19" ht="15.75">
      <c r="S16953" s="1"/>
    </row>
    <row r="16954" spans="19:19" ht="15.75">
      <c r="S16954" s="1"/>
    </row>
    <row r="16955" spans="19:19" ht="15.75">
      <c r="S16955" s="1"/>
    </row>
    <row r="16956" spans="19:19" ht="15.75">
      <c r="S16956" s="1"/>
    </row>
    <row r="16957" spans="19:19" ht="15.75">
      <c r="S16957" s="1"/>
    </row>
    <row r="16958" spans="19:19" ht="15.75">
      <c r="S16958" s="1"/>
    </row>
    <row r="16959" spans="19:19" ht="15.75">
      <c r="S16959" s="1"/>
    </row>
    <row r="16960" spans="19:19" ht="15.75">
      <c r="S16960" s="1"/>
    </row>
    <row r="16961" spans="19:19" ht="15.75">
      <c r="S16961" s="1"/>
    </row>
    <row r="16962" spans="19:19" ht="15.75">
      <c r="S16962" s="1"/>
    </row>
    <row r="16963" spans="19:19" ht="15.75">
      <c r="S16963" s="1"/>
    </row>
    <row r="16964" spans="19:19" ht="15.75">
      <c r="S16964" s="1"/>
    </row>
    <row r="16965" spans="19:19" ht="15.75">
      <c r="S16965" s="1"/>
    </row>
    <row r="16966" spans="19:19" ht="15.75">
      <c r="S16966" s="1"/>
    </row>
    <row r="16967" spans="19:19" ht="15.75">
      <c r="S16967" s="1"/>
    </row>
    <row r="16968" spans="19:19" ht="15.75">
      <c r="S16968" s="1"/>
    </row>
    <row r="16969" spans="19:19" ht="15.75">
      <c r="S16969" s="1"/>
    </row>
    <row r="16970" spans="19:19" ht="15.75">
      <c r="S16970" s="1"/>
    </row>
    <row r="16971" spans="19:19" ht="15.75">
      <c r="S16971" s="1"/>
    </row>
    <row r="16972" spans="19:19" ht="15.75">
      <c r="S16972" s="1"/>
    </row>
    <row r="16973" spans="19:19" ht="15.75">
      <c r="S16973" s="1"/>
    </row>
    <row r="16974" spans="19:19" ht="15.75">
      <c r="S16974" s="1"/>
    </row>
    <row r="16975" spans="19:19" ht="15.75">
      <c r="S16975" s="1"/>
    </row>
    <row r="16976" spans="19:19" ht="15.75">
      <c r="S16976" s="1"/>
    </row>
    <row r="16977" spans="19:19" ht="15.75">
      <c r="S16977" s="1"/>
    </row>
    <row r="16978" spans="19:19" ht="15.75">
      <c r="S16978" s="1"/>
    </row>
    <row r="16979" spans="19:19" ht="15.75">
      <c r="S16979" s="1"/>
    </row>
    <row r="16980" spans="19:19" ht="15.75">
      <c r="S16980" s="1"/>
    </row>
    <row r="16981" spans="19:19" ht="15.75">
      <c r="S16981" s="1"/>
    </row>
    <row r="16982" spans="19:19" ht="15.75">
      <c r="S16982" s="1"/>
    </row>
    <row r="16983" spans="19:19" ht="15.75">
      <c r="S16983" s="1"/>
    </row>
    <row r="16984" spans="19:19" ht="15.75">
      <c r="S16984" s="1"/>
    </row>
    <row r="16985" spans="19:19" ht="15.75">
      <c r="S16985" s="1"/>
    </row>
    <row r="16986" spans="19:19" ht="15.75">
      <c r="S16986" s="1"/>
    </row>
    <row r="16987" spans="19:19" ht="15.75">
      <c r="S16987" s="1"/>
    </row>
    <row r="16988" spans="19:19" ht="15.75">
      <c r="S16988" s="1"/>
    </row>
    <row r="16989" spans="19:19" ht="15.75">
      <c r="S16989" s="1"/>
    </row>
    <row r="16990" spans="19:19" ht="15.75">
      <c r="S16990" s="1"/>
    </row>
    <row r="16991" spans="19:19" ht="15.75">
      <c r="S16991" s="1"/>
    </row>
    <row r="16992" spans="19:19" ht="15.75">
      <c r="S16992" s="1"/>
    </row>
    <row r="16993" spans="19:19" ht="15.75">
      <c r="S16993" s="1"/>
    </row>
    <row r="16994" spans="19:19" ht="15.75">
      <c r="S16994" s="1"/>
    </row>
    <row r="16995" spans="19:19" ht="15.75">
      <c r="S16995" s="1"/>
    </row>
    <row r="16996" spans="19:19" ht="15.75">
      <c r="S16996" s="1"/>
    </row>
    <row r="16997" spans="19:19" ht="15.75">
      <c r="S16997" s="1"/>
    </row>
    <row r="16998" spans="19:19" ht="15.75">
      <c r="S16998" s="1"/>
    </row>
    <row r="16999" spans="19:19" ht="15.75">
      <c r="S16999" s="1"/>
    </row>
    <row r="17000" spans="19:19" ht="15.75">
      <c r="S17000" s="1"/>
    </row>
    <row r="17001" spans="19:19" ht="15.75">
      <c r="S17001" s="1"/>
    </row>
    <row r="17002" spans="19:19" ht="15.75">
      <c r="S17002" s="1"/>
    </row>
    <row r="17003" spans="19:19" ht="15.75">
      <c r="S17003" s="1"/>
    </row>
    <row r="17004" spans="19:19" ht="15.75">
      <c r="S17004" s="1"/>
    </row>
    <row r="17005" spans="19:19" ht="15.75">
      <c r="S17005" s="1"/>
    </row>
    <row r="17006" spans="19:19" ht="15.75">
      <c r="S17006" s="1"/>
    </row>
    <row r="17007" spans="19:19" ht="15.75">
      <c r="S17007" s="1"/>
    </row>
    <row r="17008" spans="19:19" ht="15.75">
      <c r="S17008" s="1"/>
    </row>
    <row r="17009" spans="19:19" ht="15.75">
      <c r="S17009" s="1"/>
    </row>
    <row r="17010" spans="19:19" ht="15.75">
      <c r="S17010" s="1"/>
    </row>
    <row r="17011" spans="19:19" ht="15.75">
      <c r="S17011" s="1"/>
    </row>
    <row r="17012" spans="19:19" ht="15.75">
      <c r="S17012" s="1"/>
    </row>
    <row r="17013" spans="19:19" ht="15.75">
      <c r="S17013" s="1"/>
    </row>
    <row r="17014" spans="19:19" ht="15.75">
      <c r="S17014" s="1"/>
    </row>
    <row r="17015" spans="19:19" ht="15.75">
      <c r="S17015" s="1"/>
    </row>
    <row r="17016" spans="19:19" ht="15.75">
      <c r="S17016" s="1"/>
    </row>
    <row r="17017" spans="19:19" ht="15.75">
      <c r="S17017" s="1"/>
    </row>
    <row r="17018" spans="19:19" ht="15.75">
      <c r="S17018" s="1"/>
    </row>
    <row r="17019" spans="19:19" ht="15.75">
      <c r="S17019" s="1"/>
    </row>
    <row r="17020" spans="19:19" ht="15.75">
      <c r="S17020" s="1"/>
    </row>
    <row r="17021" spans="19:19" ht="15.75">
      <c r="S17021" s="1"/>
    </row>
    <row r="17022" spans="19:19" ht="15.75">
      <c r="S17022" s="1"/>
    </row>
    <row r="17023" spans="19:19" ht="15.75">
      <c r="S17023" s="1"/>
    </row>
    <row r="17024" spans="19:19" ht="15.75">
      <c r="S17024" s="1"/>
    </row>
    <row r="17025" spans="19:19" ht="15.75">
      <c r="S17025" s="1"/>
    </row>
    <row r="17026" spans="19:19" ht="15.75">
      <c r="S17026" s="1"/>
    </row>
    <row r="17027" spans="19:19" ht="15.75">
      <c r="S17027" s="1"/>
    </row>
    <row r="17028" spans="19:19" ht="15.75">
      <c r="S17028" s="1"/>
    </row>
    <row r="17029" spans="19:19" ht="15.75">
      <c r="S17029" s="1"/>
    </row>
    <row r="17030" spans="19:19" ht="15.75">
      <c r="S17030" s="1"/>
    </row>
    <row r="17031" spans="19:19" ht="15.75">
      <c r="S17031" s="1"/>
    </row>
    <row r="17032" spans="19:19" ht="15.75">
      <c r="S17032" s="1"/>
    </row>
    <row r="17033" spans="19:19" ht="15.75">
      <c r="S17033" s="1"/>
    </row>
    <row r="17034" spans="19:19" ht="15.75">
      <c r="S17034" s="1"/>
    </row>
    <row r="17035" spans="19:19" ht="15.75">
      <c r="S17035" s="1"/>
    </row>
    <row r="17036" spans="19:19" ht="15.75">
      <c r="S17036" s="1"/>
    </row>
    <row r="17037" spans="19:19" ht="15.75">
      <c r="S17037" s="1"/>
    </row>
    <row r="17038" spans="19:19" ht="15.75">
      <c r="S17038" s="1"/>
    </row>
    <row r="17039" spans="19:19" ht="15.75">
      <c r="S17039" s="1"/>
    </row>
    <row r="17040" spans="19:19" ht="15.75">
      <c r="S17040" s="1"/>
    </row>
    <row r="17041" spans="19:19" ht="15.75">
      <c r="S17041" s="1"/>
    </row>
    <row r="17042" spans="19:19" ht="15.75">
      <c r="S17042" s="1"/>
    </row>
    <row r="17043" spans="19:19" ht="15.75">
      <c r="S17043" s="1"/>
    </row>
    <row r="17044" spans="19:19" ht="15.75">
      <c r="S17044" s="1"/>
    </row>
    <row r="17045" spans="19:19" ht="15.75">
      <c r="S17045" s="1"/>
    </row>
    <row r="17046" spans="19:19" ht="15.75">
      <c r="S17046" s="1"/>
    </row>
    <row r="17047" spans="19:19" ht="15.75">
      <c r="S17047" s="1"/>
    </row>
    <row r="17048" spans="19:19" ht="15.75">
      <c r="S17048" s="1"/>
    </row>
    <row r="17049" spans="19:19" ht="15.75">
      <c r="S17049" s="1"/>
    </row>
    <row r="17050" spans="19:19" ht="15.75">
      <c r="S17050" s="1"/>
    </row>
    <row r="17051" spans="19:19" ht="15.75">
      <c r="S17051" s="1"/>
    </row>
    <row r="17052" spans="19:19" ht="15.75">
      <c r="S17052" s="1"/>
    </row>
    <row r="17053" spans="19:19" ht="15.75">
      <c r="S17053" s="1"/>
    </row>
    <row r="17054" spans="19:19" ht="15.75">
      <c r="S17054" s="1"/>
    </row>
    <row r="17055" spans="19:19" ht="15.75">
      <c r="S17055" s="1"/>
    </row>
    <row r="17056" spans="19:19" ht="15.75">
      <c r="S17056" s="1"/>
    </row>
    <row r="17057" spans="19:19" ht="15.75">
      <c r="S17057" s="1"/>
    </row>
    <row r="17058" spans="19:19" ht="15.75">
      <c r="S17058" s="1"/>
    </row>
    <row r="17059" spans="19:19" ht="15.75">
      <c r="S17059" s="1"/>
    </row>
    <row r="17060" spans="19:19" ht="15.75">
      <c r="S17060" s="1"/>
    </row>
    <row r="17061" spans="19:19" ht="15.75">
      <c r="S17061" s="1"/>
    </row>
    <row r="17062" spans="19:19" ht="15.75">
      <c r="S17062" s="1"/>
    </row>
    <row r="17063" spans="19:19" ht="15.75">
      <c r="S17063" s="1"/>
    </row>
    <row r="17064" spans="19:19" ht="15.75">
      <c r="S17064" s="1"/>
    </row>
    <row r="17065" spans="19:19" ht="15.75">
      <c r="S17065" s="1"/>
    </row>
    <row r="17066" spans="19:19" ht="15.75">
      <c r="S17066" s="1"/>
    </row>
    <row r="17067" spans="19:19" ht="15.75">
      <c r="S17067" s="1"/>
    </row>
    <row r="17068" spans="19:19" ht="15.75">
      <c r="S17068" s="1"/>
    </row>
    <row r="17069" spans="19:19" ht="15.75">
      <c r="S17069" s="1"/>
    </row>
    <row r="17070" spans="19:19" ht="15.75">
      <c r="S17070" s="1"/>
    </row>
    <row r="17071" spans="19:19" ht="15.75">
      <c r="S17071" s="1"/>
    </row>
    <row r="17072" spans="19:19" ht="15.75">
      <c r="S17072" s="1"/>
    </row>
    <row r="17073" spans="19:19" ht="15.75">
      <c r="S17073" s="1"/>
    </row>
    <row r="17074" spans="19:19" ht="15.75">
      <c r="S17074" s="1"/>
    </row>
    <row r="17075" spans="19:19" ht="15.75">
      <c r="S17075" s="1"/>
    </row>
    <row r="17076" spans="19:19" ht="15.75">
      <c r="S17076" s="1"/>
    </row>
    <row r="17077" spans="19:19" ht="15.75">
      <c r="S17077" s="1"/>
    </row>
    <row r="17078" spans="19:19" ht="15.75">
      <c r="S17078" s="1"/>
    </row>
    <row r="17079" spans="19:19" ht="15.75">
      <c r="S17079" s="1"/>
    </row>
    <row r="17080" spans="19:19" ht="15.75">
      <c r="S17080" s="1"/>
    </row>
    <row r="17081" spans="19:19" ht="15.75">
      <c r="S17081" s="1"/>
    </row>
    <row r="17082" spans="19:19" ht="15.75">
      <c r="S17082" s="1"/>
    </row>
    <row r="17083" spans="19:19" ht="15.75">
      <c r="S17083" s="1"/>
    </row>
    <row r="17084" spans="19:19" ht="15.75">
      <c r="S17084" s="1"/>
    </row>
    <row r="17085" spans="19:19" ht="15.75">
      <c r="S17085" s="1"/>
    </row>
    <row r="17086" spans="19:19" ht="15.75">
      <c r="S17086" s="1"/>
    </row>
    <row r="17087" spans="19:19" ht="15.75">
      <c r="S17087" s="1"/>
    </row>
    <row r="17088" spans="19:19" ht="15.75">
      <c r="S17088" s="1"/>
    </row>
    <row r="17089" spans="19:19" ht="15.75">
      <c r="S17089" s="1"/>
    </row>
    <row r="17090" spans="19:19" ht="15.75">
      <c r="S17090" s="1"/>
    </row>
    <row r="17091" spans="19:19" ht="15.75">
      <c r="S17091" s="1"/>
    </row>
    <row r="17092" spans="19:19" ht="15.75">
      <c r="S17092" s="1"/>
    </row>
    <row r="17093" spans="19:19" ht="15.75">
      <c r="S17093" s="1"/>
    </row>
    <row r="17094" spans="19:19" ht="15.75">
      <c r="S17094" s="1"/>
    </row>
    <row r="17095" spans="19:19" ht="15.75">
      <c r="S17095" s="1"/>
    </row>
    <row r="17096" spans="19:19" ht="15.75">
      <c r="S17096" s="1"/>
    </row>
    <row r="17097" spans="19:19" ht="15.75">
      <c r="S17097" s="1"/>
    </row>
    <row r="17098" spans="19:19" ht="15.75">
      <c r="S17098" s="1"/>
    </row>
    <row r="17099" spans="19:19" ht="15.75">
      <c r="S17099" s="1"/>
    </row>
    <row r="17100" spans="19:19" ht="15.75">
      <c r="S17100" s="1"/>
    </row>
    <row r="17101" spans="19:19" ht="15.75">
      <c r="S17101" s="1"/>
    </row>
    <row r="17102" spans="19:19" ht="15.75">
      <c r="S17102" s="1"/>
    </row>
    <row r="17103" spans="19:19" ht="15.75">
      <c r="S17103" s="1"/>
    </row>
    <row r="17104" spans="19:19" ht="15.75">
      <c r="S17104" s="1"/>
    </row>
    <row r="17105" spans="19:19" ht="15.75">
      <c r="S17105" s="1"/>
    </row>
    <row r="17106" spans="19:19" ht="15.75">
      <c r="S17106" s="1"/>
    </row>
    <row r="17107" spans="19:19" ht="15.75">
      <c r="S17107" s="1"/>
    </row>
    <row r="17108" spans="19:19" ht="15.75">
      <c r="S17108" s="1"/>
    </row>
    <row r="17109" spans="19:19" ht="15.75">
      <c r="S17109" s="1"/>
    </row>
    <row r="17110" spans="19:19" ht="15.75">
      <c r="S17110" s="1"/>
    </row>
    <row r="17111" spans="19:19" ht="15.75">
      <c r="S17111" s="1"/>
    </row>
    <row r="17112" spans="19:19" ht="15.75">
      <c r="S17112" s="1"/>
    </row>
    <row r="17113" spans="19:19" ht="15.75">
      <c r="S17113" s="1"/>
    </row>
    <row r="17114" spans="19:19" ht="15.75">
      <c r="S17114" s="1"/>
    </row>
    <row r="17115" spans="19:19" ht="15.75">
      <c r="S17115" s="1"/>
    </row>
    <row r="17116" spans="19:19" ht="15.75">
      <c r="S17116" s="1"/>
    </row>
    <row r="17117" spans="19:19" ht="15.75">
      <c r="S17117" s="1"/>
    </row>
    <row r="17118" spans="19:19" ht="15.75">
      <c r="S17118" s="1"/>
    </row>
    <row r="17119" spans="19:19" ht="15.75">
      <c r="S17119" s="1"/>
    </row>
    <row r="17120" spans="19:19" ht="15.75">
      <c r="S17120" s="1"/>
    </row>
    <row r="17121" spans="19:19" ht="15.75">
      <c r="S17121" s="1"/>
    </row>
    <row r="17122" spans="19:19" ht="15.75">
      <c r="S17122" s="1"/>
    </row>
    <row r="17123" spans="19:19" ht="15.75">
      <c r="S17123" s="1"/>
    </row>
    <row r="17124" spans="19:19" ht="15.75">
      <c r="S17124" s="1"/>
    </row>
    <row r="17125" spans="19:19" ht="15.75">
      <c r="S17125" s="1"/>
    </row>
    <row r="17126" spans="19:19" ht="15.75">
      <c r="S17126" s="1"/>
    </row>
    <row r="17127" spans="19:19" ht="15.75">
      <c r="S17127" s="1"/>
    </row>
    <row r="17128" spans="19:19" ht="15.75">
      <c r="S17128" s="1"/>
    </row>
    <row r="17129" spans="19:19" ht="15.75">
      <c r="S17129" s="1"/>
    </row>
    <row r="17130" spans="19:19" ht="15.75">
      <c r="S17130" s="1"/>
    </row>
    <row r="17131" spans="19:19" ht="15.75">
      <c r="S17131" s="1"/>
    </row>
    <row r="17132" spans="19:19" ht="15.75">
      <c r="S17132" s="1"/>
    </row>
    <row r="17133" spans="19:19" ht="15.75">
      <c r="S17133" s="1"/>
    </row>
    <row r="17134" spans="19:19" ht="15.75">
      <c r="S17134" s="1"/>
    </row>
    <row r="17135" spans="19:19" ht="15.75">
      <c r="S17135" s="1"/>
    </row>
    <row r="17136" spans="19:19" ht="15.75">
      <c r="S17136" s="1"/>
    </row>
    <row r="17137" spans="19:19" ht="15.75">
      <c r="S17137" s="1"/>
    </row>
    <row r="17138" spans="19:19" ht="15.75">
      <c r="S17138" s="1"/>
    </row>
    <row r="17139" spans="19:19" ht="15.75">
      <c r="S17139" s="1"/>
    </row>
    <row r="17140" spans="19:19" ht="15.75">
      <c r="S17140" s="1"/>
    </row>
    <row r="17141" spans="19:19" ht="15.75">
      <c r="S17141" s="1"/>
    </row>
    <row r="17142" spans="19:19" ht="15.75">
      <c r="S17142" s="1"/>
    </row>
    <row r="17143" spans="19:19" ht="15.75">
      <c r="S17143" s="1"/>
    </row>
    <row r="17144" spans="19:19" ht="15.75">
      <c r="S17144" s="1"/>
    </row>
    <row r="17145" spans="19:19" ht="15.75">
      <c r="S17145" s="1"/>
    </row>
    <row r="17146" spans="19:19" ht="15.75">
      <c r="S17146" s="1"/>
    </row>
    <row r="17147" spans="19:19" ht="15.75">
      <c r="S17147" s="1"/>
    </row>
    <row r="17148" spans="19:19" ht="15.75">
      <c r="S17148" s="1"/>
    </row>
    <row r="17149" spans="19:19" ht="15.75">
      <c r="S17149" s="1"/>
    </row>
    <row r="17150" spans="19:19" ht="15.75">
      <c r="S17150" s="1"/>
    </row>
    <row r="17151" spans="19:19" ht="15.75">
      <c r="S17151" s="1"/>
    </row>
    <row r="17152" spans="19:19" ht="15.75">
      <c r="S17152" s="1"/>
    </row>
    <row r="17153" spans="19:19" ht="15.75">
      <c r="S17153" s="1"/>
    </row>
    <row r="17154" spans="19:19" ht="15.75">
      <c r="S17154" s="1"/>
    </row>
    <row r="17155" spans="19:19" ht="15.75">
      <c r="S17155" s="1"/>
    </row>
    <row r="17156" spans="19:19" ht="15.75">
      <c r="S17156" s="1"/>
    </row>
    <row r="17157" spans="19:19" ht="15.75">
      <c r="S17157" s="1"/>
    </row>
    <row r="17158" spans="19:19" ht="15.75">
      <c r="S17158" s="1"/>
    </row>
    <row r="17159" spans="19:19" ht="15.75">
      <c r="S17159" s="1"/>
    </row>
    <row r="17160" spans="19:19" ht="15.75">
      <c r="S17160" s="1"/>
    </row>
    <row r="17161" spans="19:19" ht="15.75">
      <c r="S17161" s="1"/>
    </row>
    <row r="17162" spans="19:19" ht="15.75">
      <c r="S17162" s="1"/>
    </row>
    <row r="17163" spans="19:19" ht="15.75">
      <c r="S17163" s="1"/>
    </row>
    <row r="17164" spans="19:19" ht="15.75">
      <c r="S17164" s="1"/>
    </row>
    <row r="17165" spans="19:19" ht="15.75">
      <c r="S17165" s="1"/>
    </row>
    <row r="17166" spans="19:19" ht="15.75">
      <c r="S17166" s="1"/>
    </row>
    <row r="17167" spans="19:19" ht="15.75">
      <c r="S17167" s="1"/>
    </row>
    <row r="17168" spans="19:19" ht="15.75">
      <c r="S17168" s="1"/>
    </row>
    <row r="17169" spans="19:19" ht="15.75">
      <c r="S17169" s="1"/>
    </row>
    <row r="17170" spans="19:19" ht="15.75">
      <c r="S17170" s="1"/>
    </row>
    <row r="17171" spans="19:19" ht="15.75">
      <c r="S17171" s="1"/>
    </row>
    <row r="17172" spans="19:19" ht="15.75">
      <c r="S17172" s="1"/>
    </row>
    <row r="17173" spans="19:19" ht="15.75">
      <c r="S17173" s="1"/>
    </row>
    <row r="17174" spans="19:19" ht="15.75">
      <c r="S17174" s="1"/>
    </row>
    <row r="17175" spans="19:19" ht="15.75">
      <c r="S17175" s="1"/>
    </row>
    <row r="17176" spans="19:19" ht="15.75">
      <c r="S17176" s="1"/>
    </row>
    <row r="17177" spans="19:19" ht="15.75">
      <c r="S17177" s="1"/>
    </row>
    <row r="17178" spans="19:19" ht="15.75">
      <c r="S17178" s="1"/>
    </row>
    <row r="17179" spans="19:19" ht="15.75">
      <c r="S17179" s="1"/>
    </row>
    <row r="17180" spans="19:19" ht="15.75">
      <c r="S17180" s="1"/>
    </row>
    <row r="17181" spans="19:19" ht="15.75">
      <c r="S17181" s="1"/>
    </row>
    <row r="17182" spans="19:19" ht="15.75">
      <c r="S17182" s="1"/>
    </row>
    <row r="17183" spans="19:19" ht="15.75">
      <c r="S17183" s="1"/>
    </row>
    <row r="17184" spans="19:19" ht="15.75">
      <c r="S17184" s="1"/>
    </row>
    <row r="17185" spans="19:19" ht="15.75">
      <c r="S17185" s="1"/>
    </row>
    <row r="17186" spans="19:19" ht="15.75">
      <c r="S17186" s="1"/>
    </row>
    <row r="17187" spans="19:19" ht="15.75">
      <c r="S17187" s="1"/>
    </row>
    <row r="17188" spans="19:19" ht="15.75">
      <c r="S17188" s="1"/>
    </row>
    <row r="17189" spans="19:19" ht="15.75">
      <c r="S17189" s="1"/>
    </row>
    <row r="17190" spans="19:19" ht="15.75">
      <c r="S17190" s="1"/>
    </row>
    <row r="17191" spans="19:19" ht="15.75">
      <c r="S17191" s="1"/>
    </row>
    <row r="17192" spans="19:19" ht="15.75">
      <c r="S17192" s="1"/>
    </row>
    <row r="17193" spans="19:19" ht="15.75">
      <c r="S17193" s="1"/>
    </row>
    <row r="17194" spans="19:19" ht="15.75">
      <c r="S17194" s="1"/>
    </row>
    <row r="17195" spans="19:19" ht="15.75">
      <c r="S17195" s="1"/>
    </row>
    <row r="17196" spans="19:19" ht="15.75">
      <c r="S17196" s="1"/>
    </row>
    <row r="17197" spans="19:19" ht="15.75">
      <c r="S17197" s="1"/>
    </row>
    <row r="17198" spans="19:19" ht="15.75">
      <c r="S17198" s="1"/>
    </row>
    <row r="17199" spans="19:19" ht="15.75">
      <c r="S17199" s="1"/>
    </row>
    <row r="17200" spans="19:19" ht="15.75">
      <c r="S17200" s="1"/>
    </row>
    <row r="17201" spans="19:19" ht="15.75">
      <c r="S17201" s="1"/>
    </row>
    <row r="17202" spans="19:19" ht="15.75">
      <c r="S17202" s="1"/>
    </row>
    <row r="17203" spans="19:19" ht="15.75">
      <c r="S17203" s="1"/>
    </row>
    <row r="17204" spans="19:19" ht="15.75">
      <c r="S17204" s="1"/>
    </row>
    <row r="17205" spans="19:19" ht="15.75">
      <c r="S17205" s="1"/>
    </row>
    <row r="17206" spans="19:19" ht="15.75">
      <c r="S17206" s="1"/>
    </row>
    <row r="17207" spans="19:19" ht="15.75">
      <c r="S17207" s="1"/>
    </row>
    <row r="17208" spans="19:19" ht="15.75">
      <c r="S17208" s="1"/>
    </row>
    <row r="17209" spans="19:19" ht="15.75">
      <c r="S17209" s="1"/>
    </row>
    <row r="17210" spans="19:19" ht="15.75">
      <c r="S17210" s="1"/>
    </row>
    <row r="17211" spans="19:19" ht="15.75">
      <c r="S17211" s="1"/>
    </row>
    <row r="17212" spans="19:19" ht="15.75">
      <c r="S17212" s="1"/>
    </row>
    <row r="17213" spans="19:19" ht="15.75">
      <c r="S17213" s="1"/>
    </row>
    <row r="17214" spans="19:19" ht="15.75">
      <c r="S17214" s="1"/>
    </row>
    <row r="17215" spans="19:19" ht="15.75">
      <c r="S17215" s="1"/>
    </row>
    <row r="17216" spans="19:19" ht="15.75">
      <c r="S17216" s="1"/>
    </row>
    <row r="17217" spans="19:19" ht="15.75">
      <c r="S17217" s="1"/>
    </row>
    <row r="17218" spans="19:19" ht="15.75">
      <c r="S17218" s="1"/>
    </row>
    <row r="17219" spans="19:19" ht="15.75">
      <c r="S17219" s="1"/>
    </row>
    <row r="17220" spans="19:19" ht="15.75">
      <c r="S17220" s="1"/>
    </row>
    <row r="17221" spans="19:19" ht="15.75">
      <c r="S17221" s="1"/>
    </row>
    <row r="17222" spans="19:19" ht="15.75">
      <c r="S17222" s="1"/>
    </row>
    <row r="17223" spans="19:19" ht="15.75">
      <c r="S17223" s="1"/>
    </row>
    <row r="17224" spans="19:19" ht="15.75">
      <c r="S17224" s="1"/>
    </row>
    <row r="17225" spans="19:19" ht="15.75">
      <c r="S17225" s="1"/>
    </row>
    <row r="17226" spans="19:19" ht="15.75">
      <c r="S17226" s="1"/>
    </row>
    <row r="17227" spans="19:19" ht="15.75">
      <c r="S17227" s="1"/>
    </row>
    <row r="17228" spans="19:19" ht="15.75">
      <c r="S17228" s="1"/>
    </row>
    <row r="17229" spans="19:19" ht="15.75">
      <c r="S17229" s="1"/>
    </row>
    <row r="17230" spans="19:19" ht="15.75">
      <c r="S17230" s="1"/>
    </row>
    <row r="17231" spans="19:19" ht="15.75">
      <c r="S17231" s="1"/>
    </row>
    <row r="17232" spans="19:19" ht="15.75">
      <c r="S17232" s="1"/>
    </row>
    <row r="17233" spans="19:19" ht="15.75">
      <c r="S17233" s="1"/>
    </row>
    <row r="17234" spans="19:19" ht="15.75">
      <c r="S17234" s="1"/>
    </row>
    <row r="17235" spans="19:19" ht="15.75">
      <c r="S17235" s="1"/>
    </row>
    <row r="17236" spans="19:19" ht="15.75">
      <c r="S17236" s="1"/>
    </row>
    <row r="17237" spans="19:19" ht="15.75">
      <c r="S17237" s="1"/>
    </row>
    <row r="17238" spans="19:19" ht="15.75">
      <c r="S17238" s="1"/>
    </row>
    <row r="17239" spans="19:19" ht="15.75">
      <c r="S17239" s="1"/>
    </row>
    <row r="17240" spans="19:19" ht="15.75">
      <c r="S17240" s="1"/>
    </row>
    <row r="17241" spans="19:19" ht="15.75">
      <c r="S17241" s="1"/>
    </row>
    <row r="17242" spans="19:19" ht="15.75">
      <c r="S17242" s="1"/>
    </row>
    <row r="17243" spans="19:19" ht="15.75">
      <c r="S17243" s="1"/>
    </row>
    <row r="17244" spans="19:19" ht="15.75">
      <c r="S17244" s="1"/>
    </row>
    <row r="17245" spans="19:19" ht="15.75">
      <c r="S17245" s="1"/>
    </row>
    <row r="17246" spans="19:19" ht="15.75">
      <c r="S17246" s="1"/>
    </row>
    <row r="17247" spans="19:19" ht="15.75">
      <c r="S17247" s="1"/>
    </row>
    <row r="17248" spans="19:19" ht="15.75">
      <c r="S17248" s="1"/>
    </row>
    <row r="17249" spans="19:19" ht="15.75">
      <c r="S17249" s="1"/>
    </row>
    <row r="17250" spans="19:19" ht="15.75">
      <c r="S17250" s="1"/>
    </row>
    <row r="17251" spans="19:19" ht="15.75">
      <c r="S17251" s="1"/>
    </row>
    <row r="17252" spans="19:19" ht="15.75">
      <c r="S17252" s="1"/>
    </row>
    <row r="17253" spans="19:19" ht="15.75">
      <c r="S17253" s="1"/>
    </row>
    <row r="17254" spans="19:19" ht="15.75">
      <c r="S17254" s="1"/>
    </row>
    <row r="17255" spans="19:19" ht="15.75">
      <c r="S17255" s="1"/>
    </row>
    <row r="17256" spans="19:19" ht="15.75">
      <c r="S17256" s="1"/>
    </row>
    <row r="17257" spans="19:19" ht="15.75">
      <c r="S17257" s="1"/>
    </row>
    <row r="17258" spans="19:19" ht="15.75">
      <c r="S17258" s="1"/>
    </row>
    <row r="17259" spans="19:19" ht="15.75">
      <c r="S17259" s="1"/>
    </row>
    <row r="17260" spans="19:19" ht="15.75">
      <c r="S17260" s="1"/>
    </row>
    <row r="17261" spans="19:19" ht="15.75">
      <c r="S17261" s="1"/>
    </row>
    <row r="17262" spans="19:19" ht="15.75">
      <c r="S17262" s="1"/>
    </row>
    <row r="17263" spans="19:19" ht="15.75">
      <c r="S17263" s="1"/>
    </row>
    <row r="17264" spans="19:19" ht="15.75">
      <c r="S17264" s="1"/>
    </row>
    <row r="17265" spans="19:19" ht="15.75">
      <c r="S17265" s="1"/>
    </row>
    <row r="17266" spans="19:19" ht="15.75">
      <c r="S17266" s="1"/>
    </row>
    <row r="17267" spans="19:19" ht="15.75">
      <c r="S17267" s="1"/>
    </row>
    <row r="17268" spans="19:19" ht="15.75">
      <c r="S17268" s="1"/>
    </row>
    <row r="17269" spans="19:19" ht="15.75">
      <c r="S17269" s="1"/>
    </row>
    <row r="17270" spans="19:19" ht="15.75">
      <c r="S17270" s="1"/>
    </row>
    <row r="17271" spans="19:19" ht="15.75">
      <c r="S17271" s="1"/>
    </row>
    <row r="17272" spans="19:19" ht="15.75">
      <c r="S17272" s="1"/>
    </row>
    <row r="17273" spans="19:19" ht="15.75">
      <c r="S17273" s="1"/>
    </row>
    <row r="17274" spans="19:19" ht="15.75">
      <c r="S17274" s="1"/>
    </row>
    <row r="17275" spans="19:19" ht="15.75">
      <c r="S17275" s="1"/>
    </row>
    <row r="17276" spans="19:19" ht="15.75">
      <c r="S17276" s="1"/>
    </row>
    <row r="17277" spans="19:19" ht="15.75">
      <c r="S17277" s="1"/>
    </row>
    <row r="17278" spans="19:19" ht="15.75">
      <c r="S17278" s="1"/>
    </row>
    <row r="17279" spans="19:19" ht="15.75">
      <c r="S17279" s="1"/>
    </row>
    <row r="17280" spans="19:19" ht="15.75">
      <c r="S17280" s="1"/>
    </row>
    <row r="17281" spans="19:19" ht="15.75">
      <c r="S17281" s="1"/>
    </row>
    <row r="17282" spans="19:19" ht="15.75">
      <c r="S17282" s="1"/>
    </row>
    <row r="17283" spans="19:19" ht="15.75">
      <c r="S17283" s="1"/>
    </row>
    <row r="17284" spans="19:19" ht="15.75">
      <c r="S17284" s="1"/>
    </row>
    <row r="17285" spans="19:19" ht="15.75">
      <c r="S17285" s="1"/>
    </row>
    <row r="17286" spans="19:19" ht="15.75">
      <c r="S17286" s="1"/>
    </row>
    <row r="17287" spans="19:19" ht="15.75">
      <c r="S17287" s="1"/>
    </row>
    <row r="17288" spans="19:19" ht="15.75">
      <c r="S17288" s="1"/>
    </row>
    <row r="17289" spans="19:19" ht="15.75">
      <c r="S17289" s="1"/>
    </row>
    <row r="17290" spans="19:19" ht="15.75">
      <c r="S17290" s="1"/>
    </row>
    <row r="17291" spans="19:19" ht="15.75">
      <c r="S17291" s="1"/>
    </row>
    <row r="17292" spans="19:19" ht="15.75">
      <c r="S17292" s="1"/>
    </row>
    <row r="17293" spans="19:19" ht="15.75">
      <c r="S17293" s="1"/>
    </row>
    <row r="17294" spans="19:19" ht="15.75">
      <c r="S17294" s="1"/>
    </row>
    <row r="17295" spans="19:19" ht="15.75">
      <c r="S17295" s="1"/>
    </row>
    <row r="17296" spans="19:19" ht="15.75">
      <c r="S17296" s="1"/>
    </row>
    <row r="17297" spans="19:19" ht="15.75">
      <c r="S17297" s="1"/>
    </row>
    <row r="17298" spans="19:19" ht="15.75">
      <c r="S17298" s="1"/>
    </row>
    <row r="17299" spans="19:19" ht="15.75">
      <c r="S17299" s="1"/>
    </row>
    <row r="17300" spans="19:19" ht="15.75">
      <c r="S17300" s="1"/>
    </row>
    <row r="17301" spans="19:19" ht="15.75">
      <c r="S17301" s="1"/>
    </row>
    <row r="17302" spans="19:19" ht="15.75">
      <c r="S17302" s="1"/>
    </row>
    <row r="17303" spans="19:19" ht="15.75">
      <c r="S17303" s="1"/>
    </row>
    <row r="17304" spans="19:19" ht="15.75">
      <c r="S17304" s="1"/>
    </row>
    <row r="17305" spans="19:19" ht="15.75">
      <c r="S17305" s="1"/>
    </row>
    <row r="17306" spans="19:19" ht="15.75">
      <c r="S17306" s="1"/>
    </row>
    <row r="17307" spans="19:19" ht="15.75">
      <c r="S17307" s="1"/>
    </row>
    <row r="17308" spans="19:19" ht="15.75">
      <c r="S17308" s="1"/>
    </row>
    <row r="17309" spans="19:19" ht="15.75">
      <c r="S17309" s="1"/>
    </row>
    <row r="17310" spans="19:19" ht="15.75">
      <c r="S17310" s="1"/>
    </row>
    <row r="17311" spans="19:19" ht="15.75">
      <c r="S17311" s="1"/>
    </row>
    <row r="17312" spans="19:19" ht="15.75">
      <c r="S17312" s="1"/>
    </row>
    <row r="17313" spans="19:19" ht="15.75">
      <c r="S17313" s="1"/>
    </row>
    <row r="17314" spans="19:19" ht="15.75">
      <c r="S17314" s="1"/>
    </row>
    <row r="17315" spans="19:19" ht="15.75">
      <c r="S17315" s="1"/>
    </row>
    <row r="17316" spans="19:19" ht="15.75">
      <c r="S17316" s="1"/>
    </row>
    <row r="17317" spans="19:19" ht="15.75">
      <c r="S17317" s="1"/>
    </row>
    <row r="17318" spans="19:19" ht="15.75">
      <c r="S17318" s="1"/>
    </row>
    <row r="17319" spans="19:19" ht="15.75">
      <c r="S17319" s="1"/>
    </row>
    <row r="17320" spans="19:19" ht="15.75">
      <c r="S17320" s="1"/>
    </row>
    <row r="17321" spans="19:19" ht="15.75">
      <c r="S17321" s="1"/>
    </row>
    <row r="17322" spans="19:19" ht="15.75">
      <c r="S17322" s="1"/>
    </row>
    <row r="17323" spans="19:19" ht="15.75">
      <c r="S17323" s="1"/>
    </row>
    <row r="17324" spans="19:19" ht="15.75">
      <c r="S17324" s="1"/>
    </row>
    <row r="17325" spans="19:19" ht="15.75">
      <c r="S17325" s="1"/>
    </row>
    <row r="17326" spans="19:19" ht="15.75">
      <c r="S17326" s="1"/>
    </row>
    <row r="17327" spans="19:19" ht="15.75">
      <c r="S17327" s="1"/>
    </row>
    <row r="17328" spans="19:19" ht="15.75">
      <c r="S17328" s="1"/>
    </row>
    <row r="17329" spans="19:19" ht="15.75">
      <c r="S17329" s="1"/>
    </row>
    <row r="17330" spans="19:19" ht="15.75">
      <c r="S17330" s="1"/>
    </row>
    <row r="17331" spans="19:19" ht="15.75">
      <c r="S17331" s="1"/>
    </row>
    <row r="17332" spans="19:19" ht="15.75">
      <c r="S17332" s="1"/>
    </row>
    <row r="17333" spans="19:19" ht="15.75">
      <c r="S17333" s="1"/>
    </row>
    <row r="17334" spans="19:19" ht="15.75">
      <c r="S17334" s="1"/>
    </row>
    <row r="17335" spans="19:19" ht="15.75">
      <c r="S17335" s="1"/>
    </row>
    <row r="17336" spans="19:19" ht="15.75">
      <c r="S17336" s="1"/>
    </row>
    <row r="17337" spans="19:19" ht="15.75">
      <c r="S17337" s="1"/>
    </row>
    <row r="17338" spans="19:19" ht="15.75">
      <c r="S17338" s="1"/>
    </row>
    <row r="17339" spans="19:19" ht="15.75">
      <c r="S17339" s="1"/>
    </row>
    <row r="17340" spans="19:19" ht="15.75">
      <c r="S17340" s="1"/>
    </row>
    <row r="17341" spans="19:19" ht="15.75">
      <c r="S17341" s="1"/>
    </row>
    <row r="17342" spans="19:19" ht="15.75">
      <c r="S17342" s="1"/>
    </row>
    <row r="17343" spans="19:19" ht="15.75">
      <c r="S17343" s="1"/>
    </row>
    <row r="17344" spans="19:19" ht="15.75">
      <c r="S17344" s="1"/>
    </row>
    <row r="17345" spans="19:19" ht="15.75">
      <c r="S17345" s="1"/>
    </row>
    <row r="17346" spans="19:19" ht="15.75">
      <c r="S17346" s="1"/>
    </row>
    <row r="17347" spans="19:19" ht="15.75">
      <c r="S17347" s="1"/>
    </row>
    <row r="17348" spans="19:19" ht="15.75">
      <c r="S17348" s="1"/>
    </row>
    <row r="17349" spans="19:19" ht="15.75">
      <c r="S17349" s="1"/>
    </row>
    <row r="17350" spans="19:19" ht="15.75">
      <c r="S17350" s="1"/>
    </row>
    <row r="17351" spans="19:19" ht="15.75">
      <c r="S17351" s="1"/>
    </row>
    <row r="17352" spans="19:19" ht="15.75">
      <c r="S17352" s="1"/>
    </row>
    <row r="17353" spans="19:19" ht="15.75">
      <c r="S17353" s="1"/>
    </row>
    <row r="17354" spans="19:19" ht="15.75">
      <c r="S17354" s="1"/>
    </row>
    <row r="17355" spans="19:19" ht="15.75">
      <c r="S17355" s="1"/>
    </row>
    <row r="17356" spans="19:19" ht="15.75">
      <c r="S17356" s="1"/>
    </row>
    <row r="17357" spans="19:19" ht="15.75">
      <c r="S17357" s="1"/>
    </row>
    <row r="17358" spans="19:19" ht="15.75">
      <c r="S17358" s="1"/>
    </row>
    <row r="17359" spans="19:19" ht="15.75">
      <c r="S17359" s="1"/>
    </row>
    <row r="17360" spans="19:19" ht="15.75">
      <c r="S17360" s="1"/>
    </row>
    <row r="17361" spans="19:19" ht="15.75">
      <c r="S17361" s="1"/>
    </row>
    <row r="17362" spans="19:19" ht="15.75">
      <c r="S17362" s="1"/>
    </row>
    <row r="17363" spans="19:19" ht="15.75">
      <c r="S17363" s="1"/>
    </row>
    <row r="17364" spans="19:19" ht="15.75">
      <c r="S17364" s="1"/>
    </row>
    <row r="17365" spans="19:19" ht="15.75">
      <c r="S17365" s="1"/>
    </row>
    <row r="17366" spans="19:19" ht="15.75">
      <c r="S17366" s="1"/>
    </row>
    <row r="17367" spans="19:19" ht="15.75">
      <c r="S17367" s="1"/>
    </row>
    <row r="17368" spans="19:19" ht="15.75">
      <c r="S17368" s="1"/>
    </row>
    <row r="17369" spans="19:19" ht="15.75">
      <c r="S17369" s="1"/>
    </row>
    <row r="17370" spans="19:19" ht="15.75">
      <c r="S17370" s="1"/>
    </row>
    <row r="17371" spans="19:19" ht="15.75">
      <c r="S17371" s="1"/>
    </row>
    <row r="17372" spans="19:19" ht="15.75">
      <c r="S17372" s="1"/>
    </row>
    <row r="17373" spans="19:19" ht="15.75">
      <c r="S17373" s="1"/>
    </row>
    <row r="17374" spans="19:19" ht="15.75">
      <c r="S17374" s="1"/>
    </row>
    <row r="17375" spans="19:19" ht="15.75">
      <c r="S17375" s="1"/>
    </row>
    <row r="17376" spans="19:19" ht="15.75">
      <c r="S17376" s="1"/>
    </row>
    <row r="17377" spans="19:19" ht="15.75">
      <c r="S17377" s="1"/>
    </row>
    <row r="17378" spans="19:19" ht="15.75">
      <c r="S17378" s="1"/>
    </row>
    <row r="17379" spans="19:19" ht="15.75">
      <c r="S17379" s="1"/>
    </row>
    <row r="17380" spans="19:19" ht="15.75">
      <c r="S17380" s="1"/>
    </row>
    <row r="17381" spans="19:19" ht="15.75">
      <c r="S17381" s="1"/>
    </row>
    <row r="17382" spans="19:19" ht="15.75">
      <c r="S17382" s="1"/>
    </row>
    <row r="17383" spans="19:19" ht="15.75">
      <c r="S17383" s="1"/>
    </row>
    <row r="17384" spans="19:19" ht="15.75">
      <c r="S17384" s="1"/>
    </row>
    <row r="17385" spans="19:19" ht="15.75">
      <c r="S17385" s="1"/>
    </row>
    <row r="17386" spans="19:19" ht="15.75">
      <c r="S17386" s="1"/>
    </row>
    <row r="17387" spans="19:19" ht="15.75">
      <c r="S17387" s="1"/>
    </row>
    <row r="17388" spans="19:19" ht="15.75">
      <c r="S17388" s="1"/>
    </row>
    <row r="17389" spans="19:19" ht="15.75">
      <c r="S17389" s="1"/>
    </row>
    <row r="17390" spans="19:19" ht="15.75">
      <c r="S17390" s="1"/>
    </row>
    <row r="17391" spans="19:19" ht="15.75">
      <c r="S17391" s="1"/>
    </row>
    <row r="17392" spans="19:19" ht="15.75">
      <c r="S17392" s="1"/>
    </row>
    <row r="17393" spans="19:19" ht="15.75">
      <c r="S17393" s="1"/>
    </row>
    <row r="17394" spans="19:19" ht="15.75">
      <c r="S17394" s="1"/>
    </row>
    <row r="17395" spans="19:19" ht="15.75">
      <c r="S17395" s="1"/>
    </row>
    <row r="17396" spans="19:19" ht="15.75">
      <c r="S17396" s="1"/>
    </row>
    <row r="17397" spans="19:19" ht="15.75">
      <c r="S17397" s="1"/>
    </row>
    <row r="17398" spans="19:19" ht="15.75">
      <c r="S17398" s="1"/>
    </row>
    <row r="17399" spans="19:19" ht="15.75">
      <c r="S17399" s="1"/>
    </row>
    <row r="17400" spans="19:19" ht="15.75">
      <c r="S17400" s="1"/>
    </row>
    <row r="17401" spans="19:19" ht="15.75">
      <c r="S17401" s="1"/>
    </row>
    <row r="17402" spans="19:19" ht="15.75">
      <c r="S17402" s="1"/>
    </row>
    <row r="17403" spans="19:19" ht="15.75">
      <c r="S17403" s="1"/>
    </row>
    <row r="17404" spans="19:19" ht="15.75">
      <c r="S17404" s="1"/>
    </row>
    <row r="17405" spans="19:19" ht="15.75">
      <c r="S17405" s="1"/>
    </row>
    <row r="17406" spans="19:19" ht="15.75">
      <c r="S17406" s="1"/>
    </row>
    <row r="17407" spans="19:19" ht="15.75">
      <c r="S17407" s="1"/>
    </row>
    <row r="17408" spans="19:19" ht="15.75">
      <c r="S17408" s="1"/>
    </row>
    <row r="17409" spans="19:19" ht="15.75">
      <c r="S17409" s="1"/>
    </row>
    <row r="17410" spans="19:19" ht="15.75">
      <c r="S17410" s="1"/>
    </row>
    <row r="17411" spans="19:19" ht="15.75">
      <c r="S17411" s="1"/>
    </row>
    <row r="17412" spans="19:19" ht="15.75">
      <c r="S17412" s="1"/>
    </row>
    <row r="17413" spans="19:19" ht="15.75">
      <c r="S17413" s="1"/>
    </row>
    <row r="17414" spans="19:19" ht="15.75">
      <c r="S17414" s="1"/>
    </row>
    <row r="17415" spans="19:19" ht="15.75">
      <c r="S17415" s="1"/>
    </row>
    <row r="17416" spans="19:19" ht="15.75">
      <c r="S17416" s="1"/>
    </row>
    <row r="17417" spans="19:19" ht="15.75">
      <c r="S17417" s="1"/>
    </row>
    <row r="17418" spans="19:19" ht="15.75">
      <c r="S17418" s="1"/>
    </row>
    <row r="17419" spans="19:19" ht="15.75">
      <c r="S17419" s="1"/>
    </row>
    <row r="17420" spans="19:19" ht="15.75">
      <c r="S17420" s="1"/>
    </row>
    <row r="17421" spans="19:19" ht="15.75">
      <c r="S17421" s="1"/>
    </row>
    <row r="17422" spans="19:19" ht="15.75">
      <c r="S17422" s="1"/>
    </row>
    <row r="17423" spans="19:19" ht="15.75">
      <c r="S17423" s="1"/>
    </row>
    <row r="17424" spans="19:19" ht="15.75">
      <c r="S17424" s="1"/>
    </row>
    <row r="17425" spans="19:19" ht="15.75">
      <c r="S17425" s="1"/>
    </row>
    <row r="17426" spans="19:19" ht="15.75">
      <c r="S17426" s="1"/>
    </row>
    <row r="17427" spans="19:19" ht="15.75">
      <c r="S17427" s="1"/>
    </row>
    <row r="17428" spans="19:19" ht="15.75">
      <c r="S17428" s="1"/>
    </row>
    <row r="17429" spans="19:19" ht="15.75">
      <c r="S17429" s="1"/>
    </row>
    <row r="17430" spans="19:19" ht="15.75">
      <c r="S17430" s="1"/>
    </row>
    <row r="17431" spans="19:19" ht="15.75">
      <c r="S17431" s="1"/>
    </row>
    <row r="17432" spans="19:19" ht="15.75">
      <c r="S17432" s="1"/>
    </row>
    <row r="17433" spans="19:19" ht="15.75">
      <c r="S17433" s="1"/>
    </row>
    <row r="17434" spans="19:19" ht="15.75">
      <c r="S17434" s="1"/>
    </row>
    <row r="17435" spans="19:19" ht="15.75">
      <c r="S17435" s="1"/>
    </row>
    <row r="17436" spans="19:19" ht="15.75">
      <c r="S17436" s="1"/>
    </row>
    <row r="17437" spans="19:19" ht="15.75">
      <c r="S17437" s="1"/>
    </row>
    <row r="17438" spans="19:19" ht="15.75">
      <c r="S17438" s="1"/>
    </row>
    <row r="17439" spans="19:19" ht="15.75">
      <c r="S17439" s="1"/>
    </row>
    <row r="17440" spans="19:19" ht="15.75">
      <c r="S17440" s="1"/>
    </row>
    <row r="17441" spans="19:19" ht="15.75">
      <c r="S17441" s="1"/>
    </row>
    <row r="17442" spans="19:19" ht="15.75">
      <c r="S17442" s="1"/>
    </row>
    <row r="17443" spans="19:19" ht="15.75">
      <c r="S17443" s="1"/>
    </row>
    <row r="17444" spans="19:19" ht="15.75">
      <c r="S17444" s="1"/>
    </row>
    <row r="17445" spans="19:19" ht="15.75">
      <c r="S17445" s="1"/>
    </row>
    <row r="17446" spans="19:19" ht="15.75">
      <c r="S17446" s="1"/>
    </row>
    <row r="17447" spans="19:19" ht="15.75">
      <c r="S17447" s="1"/>
    </row>
    <row r="17448" spans="19:19" ht="15.75">
      <c r="S17448" s="1"/>
    </row>
    <row r="17449" spans="19:19" ht="15.75">
      <c r="S17449" s="1"/>
    </row>
    <row r="17450" spans="19:19" ht="15.75">
      <c r="S17450" s="1"/>
    </row>
    <row r="17451" spans="19:19" ht="15.75">
      <c r="S17451" s="1"/>
    </row>
    <row r="17452" spans="19:19" ht="15.75">
      <c r="S17452" s="1"/>
    </row>
    <row r="17453" spans="19:19" ht="15.75">
      <c r="S17453" s="1"/>
    </row>
    <row r="17454" spans="19:19" ht="15.75">
      <c r="S17454" s="1"/>
    </row>
    <row r="17455" spans="19:19" ht="15.75">
      <c r="S17455" s="1"/>
    </row>
    <row r="17456" spans="19:19" ht="15.75">
      <c r="S17456" s="1"/>
    </row>
    <row r="17457" spans="19:19" ht="15.75">
      <c r="S17457" s="1"/>
    </row>
    <row r="17458" spans="19:19" ht="15.75">
      <c r="S17458" s="1"/>
    </row>
    <row r="17459" spans="19:19" ht="15.75">
      <c r="S17459" s="1"/>
    </row>
    <row r="17460" spans="19:19" ht="15.75">
      <c r="S17460" s="1"/>
    </row>
    <row r="17461" spans="19:19" ht="15.75">
      <c r="S17461" s="1"/>
    </row>
    <row r="17462" spans="19:19" ht="15.75">
      <c r="S17462" s="1"/>
    </row>
    <row r="17463" spans="19:19" ht="15.75">
      <c r="S17463" s="1"/>
    </row>
    <row r="17464" spans="19:19" ht="15.75">
      <c r="S17464" s="1"/>
    </row>
    <row r="17465" spans="19:19" ht="15.75">
      <c r="S17465" s="1"/>
    </row>
    <row r="17466" spans="19:19" ht="15.75">
      <c r="S17466" s="1"/>
    </row>
    <row r="17467" spans="19:19" ht="15.75">
      <c r="S17467" s="1"/>
    </row>
    <row r="17468" spans="19:19" ht="15.75">
      <c r="S17468" s="1"/>
    </row>
    <row r="17469" spans="19:19" ht="15.75">
      <c r="S17469" s="1"/>
    </row>
    <row r="17470" spans="19:19" ht="15.75">
      <c r="S17470" s="1"/>
    </row>
    <row r="17471" spans="19:19" ht="15.75">
      <c r="S17471" s="1"/>
    </row>
    <row r="17472" spans="19:19" ht="15.75">
      <c r="S17472" s="1"/>
    </row>
    <row r="17473" spans="19:19" ht="15.75">
      <c r="S17473" s="1"/>
    </row>
    <row r="17474" spans="19:19" ht="15.75">
      <c r="S17474" s="1"/>
    </row>
    <row r="17475" spans="19:19" ht="15.75">
      <c r="S17475" s="1"/>
    </row>
    <row r="17476" spans="19:19" ht="15.75">
      <c r="S17476" s="1"/>
    </row>
    <row r="17477" spans="19:19" ht="15.75">
      <c r="S17477" s="1"/>
    </row>
    <row r="17478" spans="19:19" ht="15.75">
      <c r="S17478" s="1"/>
    </row>
    <row r="17479" spans="19:19" ht="15.75">
      <c r="S17479" s="1"/>
    </row>
    <row r="17480" spans="19:19" ht="15.75">
      <c r="S17480" s="1"/>
    </row>
    <row r="17481" spans="19:19" ht="15.75">
      <c r="S17481" s="1"/>
    </row>
    <row r="17482" spans="19:19" ht="15.75">
      <c r="S17482" s="1"/>
    </row>
    <row r="17483" spans="19:19" ht="15.75">
      <c r="S17483" s="1"/>
    </row>
    <row r="17484" spans="19:19" ht="15.75">
      <c r="S17484" s="1"/>
    </row>
    <row r="17485" spans="19:19" ht="15.75">
      <c r="S17485" s="1"/>
    </row>
    <row r="17486" spans="19:19" ht="15.75">
      <c r="S17486" s="1"/>
    </row>
    <row r="17487" spans="19:19" ht="15.75">
      <c r="S17487" s="1"/>
    </row>
    <row r="17488" spans="19:19" ht="15.75">
      <c r="S17488" s="1"/>
    </row>
    <row r="17489" spans="19:19" ht="15.75">
      <c r="S17489" s="1"/>
    </row>
    <row r="17490" spans="19:19" ht="15.75">
      <c r="S17490" s="1"/>
    </row>
    <row r="17491" spans="19:19" ht="15.75">
      <c r="S17491" s="1"/>
    </row>
    <row r="17492" spans="19:19" ht="15.75">
      <c r="S17492" s="1"/>
    </row>
    <row r="17493" spans="19:19" ht="15.75">
      <c r="S17493" s="1"/>
    </row>
    <row r="17494" spans="19:19" ht="15.75">
      <c r="S17494" s="1"/>
    </row>
    <row r="17495" spans="19:19" ht="15.75">
      <c r="S17495" s="1"/>
    </row>
    <row r="17496" spans="19:19" ht="15.75">
      <c r="S17496" s="1"/>
    </row>
    <row r="17497" spans="19:19" ht="15.75">
      <c r="S17497" s="1"/>
    </row>
    <row r="17498" spans="19:19" ht="15.75">
      <c r="S17498" s="1"/>
    </row>
    <row r="17499" spans="19:19" ht="15.75">
      <c r="S17499" s="1"/>
    </row>
    <row r="17500" spans="19:19" ht="15.75">
      <c r="S17500" s="1"/>
    </row>
    <row r="17501" spans="19:19" ht="15.75">
      <c r="S17501" s="1"/>
    </row>
    <row r="17502" spans="19:19" ht="15.75">
      <c r="S17502" s="1"/>
    </row>
    <row r="17503" spans="19:19" ht="15.75">
      <c r="S17503" s="1"/>
    </row>
    <row r="17504" spans="19:19" ht="15.75">
      <c r="S17504" s="1"/>
    </row>
    <row r="17505" spans="19:19" ht="15.75">
      <c r="S17505" s="1"/>
    </row>
    <row r="17506" spans="19:19" ht="15.75">
      <c r="S17506" s="1"/>
    </row>
    <row r="17507" spans="19:19" ht="15.75">
      <c r="S17507" s="1"/>
    </row>
    <row r="17508" spans="19:19" ht="15.75">
      <c r="S17508" s="1"/>
    </row>
    <row r="17509" spans="19:19" ht="15.75">
      <c r="S17509" s="1"/>
    </row>
    <row r="17510" spans="19:19" ht="15.75">
      <c r="S17510" s="1"/>
    </row>
    <row r="17511" spans="19:19" ht="15.75">
      <c r="S17511" s="1"/>
    </row>
    <row r="17512" spans="19:19" ht="15.75">
      <c r="S17512" s="1"/>
    </row>
    <row r="17513" spans="19:19" ht="15.75">
      <c r="S17513" s="1"/>
    </row>
    <row r="17514" spans="19:19" ht="15.75">
      <c r="S17514" s="1"/>
    </row>
    <row r="17515" spans="19:19" ht="15.75">
      <c r="S17515" s="1"/>
    </row>
    <row r="17516" spans="19:19" ht="15.75">
      <c r="S17516" s="1"/>
    </row>
    <row r="17517" spans="19:19" ht="15.75">
      <c r="S17517" s="1"/>
    </row>
    <row r="17518" spans="19:19" ht="15.75">
      <c r="S17518" s="1"/>
    </row>
    <row r="17519" spans="19:19" ht="15.75">
      <c r="S17519" s="1"/>
    </row>
    <row r="17520" spans="19:19" ht="15.75">
      <c r="S17520" s="1"/>
    </row>
    <row r="17521" spans="19:19" ht="15.75">
      <c r="S17521" s="1"/>
    </row>
    <row r="17522" spans="19:19" ht="15.75">
      <c r="S17522" s="1"/>
    </row>
    <row r="17523" spans="19:19" ht="15.75">
      <c r="S17523" s="1"/>
    </row>
    <row r="17524" spans="19:19" ht="15.75">
      <c r="S17524" s="1"/>
    </row>
    <row r="17525" spans="19:19" ht="15.75">
      <c r="S17525" s="1"/>
    </row>
    <row r="17526" spans="19:19" ht="15.75">
      <c r="S17526" s="1"/>
    </row>
    <row r="17527" spans="19:19" ht="15.75">
      <c r="S17527" s="1"/>
    </row>
    <row r="17528" spans="19:19" ht="15.75">
      <c r="S17528" s="1"/>
    </row>
    <row r="17529" spans="19:19" ht="15.75">
      <c r="S17529" s="1"/>
    </row>
    <row r="17530" spans="19:19" ht="15.75">
      <c r="S17530" s="1"/>
    </row>
    <row r="17531" spans="19:19" ht="15.75">
      <c r="S17531" s="1"/>
    </row>
    <row r="17532" spans="19:19" ht="15.75">
      <c r="S17532" s="1"/>
    </row>
    <row r="17533" spans="19:19" ht="15.75">
      <c r="S17533" s="1"/>
    </row>
    <row r="17534" spans="19:19" ht="15.75">
      <c r="S17534" s="1"/>
    </row>
    <row r="17535" spans="19:19" ht="15.75">
      <c r="S17535" s="1"/>
    </row>
    <row r="17536" spans="19:19" ht="15.75">
      <c r="S17536" s="1"/>
    </row>
    <row r="17537" spans="19:19" ht="15.75">
      <c r="S17537" s="1"/>
    </row>
    <row r="17538" spans="19:19" ht="15.75">
      <c r="S17538" s="1"/>
    </row>
    <row r="17539" spans="19:19" ht="15.75">
      <c r="S17539" s="1"/>
    </row>
    <row r="17540" spans="19:19" ht="15.75">
      <c r="S17540" s="1"/>
    </row>
    <row r="17541" spans="19:19" ht="15.75">
      <c r="S17541" s="1"/>
    </row>
    <row r="17542" spans="19:19" ht="15.75">
      <c r="S17542" s="1"/>
    </row>
    <row r="17543" spans="19:19" ht="15.75">
      <c r="S17543" s="1"/>
    </row>
    <row r="17544" spans="19:19" ht="15.75">
      <c r="S17544" s="1"/>
    </row>
    <row r="17545" spans="19:19" ht="15.75">
      <c r="S17545" s="1"/>
    </row>
    <row r="17546" spans="19:19" ht="15.75">
      <c r="S17546" s="1"/>
    </row>
    <row r="17547" spans="19:19" ht="15.75">
      <c r="S17547" s="1"/>
    </row>
    <row r="17548" spans="19:19" ht="15.75">
      <c r="S17548" s="1"/>
    </row>
    <row r="17549" spans="19:19" ht="15.75">
      <c r="S17549" s="1"/>
    </row>
    <row r="17550" spans="19:19" ht="15.75">
      <c r="S17550" s="1"/>
    </row>
    <row r="17551" spans="19:19" ht="15.75">
      <c r="S17551" s="1"/>
    </row>
    <row r="17552" spans="19:19" ht="15.75">
      <c r="S17552" s="1"/>
    </row>
    <row r="17553" spans="19:19" ht="15.75">
      <c r="S17553" s="1"/>
    </row>
    <row r="17554" spans="19:19" ht="15.75">
      <c r="S17554" s="1"/>
    </row>
    <row r="17555" spans="19:19" ht="15.75">
      <c r="S17555" s="1"/>
    </row>
    <row r="17556" spans="19:19" ht="15.75">
      <c r="S17556" s="1"/>
    </row>
    <row r="17557" spans="19:19" ht="15.75">
      <c r="S17557" s="1"/>
    </row>
    <row r="17558" spans="19:19" ht="15.75">
      <c r="S17558" s="1"/>
    </row>
    <row r="17559" spans="19:19" ht="15.75">
      <c r="S17559" s="1"/>
    </row>
    <row r="17560" spans="19:19" ht="15.75">
      <c r="S17560" s="1"/>
    </row>
    <row r="17561" spans="19:19" ht="15.75">
      <c r="S17561" s="1"/>
    </row>
    <row r="17562" spans="19:19" ht="15.75">
      <c r="S17562" s="1"/>
    </row>
    <row r="17563" spans="19:19" ht="15.75">
      <c r="S17563" s="1"/>
    </row>
    <row r="17564" spans="19:19" ht="15.75">
      <c r="S17564" s="1"/>
    </row>
    <row r="17565" spans="19:19" ht="15.75">
      <c r="S17565" s="1"/>
    </row>
    <row r="17566" spans="19:19" ht="15.75">
      <c r="S17566" s="1"/>
    </row>
    <row r="17567" spans="19:19" ht="15.75">
      <c r="S17567" s="1"/>
    </row>
    <row r="17568" spans="19:19" ht="15.75">
      <c r="S17568" s="1"/>
    </row>
    <row r="17569" spans="19:19" ht="15.75">
      <c r="S17569" s="1"/>
    </row>
    <row r="17570" spans="19:19" ht="15.75">
      <c r="S17570" s="1"/>
    </row>
    <row r="17571" spans="19:19" ht="15.75">
      <c r="S17571" s="1"/>
    </row>
    <row r="17572" spans="19:19" ht="15.75">
      <c r="S17572" s="1"/>
    </row>
    <row r="17573" spans="19:19" ht="15.75">
      <c r="S17573" s="1"/>
    </row>
    <row r="17574" spans="19:19" ht="15.75">
      <c r="S17574" s="1"/>
    </row>
    <row r="17575" spans="19:19" ht="15.75">
      <c r="S17575" s="1"/>
    </row>
    <row r="17576" spans="19:19" ht="15.75">
      <c r="S17576" s="1"/>
    </row>
    <row r="17577" spans="19:19" ht="15.75">
      <c r="S17577" s="1"/>
    </row>
  </sheetData>
  <sortState ref="X1:Z17577">
    <sortCondition ref="X1"/>
  </sortState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N55"/>
  <sheetViews>
    <sheetView tabSelected="1" workbookViewId="0"/>
  </sheetViews>
  <sheetFormatPr defaultRowHeight="15"/>
  <cols>
    <col min="3" max="3" width="32.140625" bestFit="1" customWidth="1"/>
  </cols>
  <sheetData>
    <row r="1" spans="2:14">
      <c r="B1" t="s">
        <v>2060</v>
      </c>
      <c r="C1" t="s">
        <v>2061</v>
      </c>
      <c r="D1" t="s">
        <v>2062</v>
      </c>
      <c r="E1" t="s">
        <v>2065</v>
      </c>
      <c r="F1" t="s">
        <v>2066</v>
      </c>
      <c r="G1" t="s">
        <v>2067</v>
      </c>
      <c r="H1" t="s">
        <v>2068</v>
      </c>
      <c r="I1" t="s">
        <v>2063</v>
      </c>
      <c r="J1" t="s">
        <v>2064</v>
      </c>
    </row>
    <row r="2" spans="2:14">
      <c r="B2">
        <v>4</v>
      </c>
      <c r="C2" t="s">
        <v>2006</v>
      </c>
      <c r="D2">
        <v>4</v>
      </c>
      <c r="E2">
        <v>4</v>
      </c>
      <c r="F2">
        <v>4</v>
      </c>
      <c r="G2">
        <v>4</v>
      </c>
      <c r="H2">
        <v>4</v>
      </c>
      <c r="I2">
        <v>4</v>
      </c>
    </row>
    <row r="3" spans="2:14">
      <c r="B3">
        <v>5</v>
      </c>
      <c r="C3" t="s">
        <v>2007</v>
      </c>
      <c r="D3">
        <v>5</v>
      </c>
      <c r="E3">
        <v>5</v>
      </c>
      <c r="F3">
        <v>5</v>
      </c>
      <c r="G3">
        <v>5</v>
      </c>
      <c r="H3">
        <v>5</v>
      </c>
      <c r="I3">
        <v>5</v>
      </c>
      <c r="M3" t="s">
        <v>2062</v>
      </c>
      <c r="N3" t="str">
        <f>"PROGMEM prog_uint8_t qwertyKeymap[] = {" &amp; D2 &amp; ", " &amp; D3 &amp; ", " &amp; D4 &amp; ", " &amp; D5 &amp; ", " &amp; D6 &amp; ", " &amp; D7 &amp; ", " &amp; D8 &amp; ", " &amp; D9 &amp; ", " &amp; D10 &amp; ", " &amp; D11 &amp; ", " &amp; D12 &amp; ", " &amp; D13 &amp; ", " &amp; D14 &amp; ", " &amp; D15 &amp; ", " &amp; D16 &amp; ", " &amp; D17 &amp; ", " &amp; D18 &amp; ", " &amp; D19 &amp; ", " &amp; D20 &amp; ", " &amp; D21 &amp; ", " &amp; D22 &amp; ", " &amp; D23 &amp; ", " &amp; D24 &amp; ", " &amp; D25 &amp; ", " &amp; D26 &amp; ", " &amp; D27 &amp; ", " &amp; D28 &amp; ", " &amp; D29 &amp; ", " &amp; D30 &amp; ", " &amp; D31 &amp; ", " &amp; D32 &amp; ", " &amp; D33 &amp; ", " &amp; D34 &amp; ", " &amp; D35 &amp; ", " &amp; D36 &amp; ", " &amp; D37 &amp; ", " &amp; D38 &amp; ", " &amp; D39 &amp; ", " &amp; D40 &amp; ", " &amp; D41 &amp; ", " &amp; D42 &amp; ", " &amp; D43 &amp; ", " &amp; D44 &amp; ", " &amp; D45 &amp; ", " &amp; D46 &amp; ", " &amp; D47 &amp; ", " &amp; D48 &amp; ", " &amp; D49 &amp; ", " &amp; D50 &amp; ", " &amp; D51 &amp; ", " &amp; D52 &amp; ", " &amp; D53 &amp; ", " &amp; D54 &amp; ", " &amp; D55&amp; "};"</f>
        <v>PROGMEM prog_uint8_t qwertyKeymap[] = {4, 5, 6, 7, 8, 9, 10, 11, 12, 13, 14, 15, 16, 17, 18, 19, 20, 21, 22, 23, 24, 25, 26, 27, 28, 29, 30, 31, 32, 33, 34, 35, 36, 37, 38, 39, 40, 41, 42, 43, 44, 45, 46, 47, 48, 49, 50, 51, 52, 53, 54, 55, 56, 57};</v>
      </c>
    </row>
    <row r="4" spans="2:14">
      <c r="B4">
        <v>6</v>
      </c>
      <c r="C4" t="s">
        <v>2008</v>
      </c>
      <c r="D4">
        <v>6</v>
      </c>
      <c r="E4">
        <v>6</v>
      </c>
      <c r="F4">
        <v>6</v>
      </c>
      <c r="G4">
        <v>6</v>
      </c>
      <c r="H4">
        <v>6</v>
      </c>
      <c r="I4">
        <v>6</v>
      </c>
      <c r="M4" t="s">
        <v>2065</v>
      </c>
      <c r="N4" t="str">
        <f>"PROGMEM prog_uint8_t tarmak1Keymap[] = {" &amp; E2 &amp; ", " &amp; E3 &amp; ", " &amp; E4 &amp; ", " &amp; E5 &amp; ", " &amp; E6 &amp; ", " &amp; E7 &amp; ", " &amp; E8 &amp; ", " &amp; E9 &amp; ", " &amp; E10 &amp; ", " &amp; E11 &amp; ", " &amp; E12 &amp; ", " &amp; E13 &amp; ", " &amp; E14 &amp; ", " &amp; E15 &amp; ", " &amp; E16 &amp; ", " &amp; E17 &amp; ", " &amp; E18 &amp; ", " &amp; E19 &amp; ", " &amp; E20 &amp; ", " &amp; E21 &amp; ", " &amp; E22 &amp; ", " &amp; E23 &amp; ", " &amp; E24 &amp; ", " &amp; E25 &amp; ", " &amp; E26 &amp; ", " &amp; E27 &amp; ", " &amp; E28 &amp; ", " &amp; E29 &amp; ", " &amp; E30 &amp; ", " &amp; E31 &amp; ", " &amp; E32 &amp; ", " &amp; E33 &amp; ", " &amp; E34 &amp; ", " &amp; E35 &amp; ", " &amp; E36 &amp; ", " &amp; E37 &amp; ", " &amp; E38 &amp; ", " &amp; E39 &amp; ", " &amp; E40 &amp; ", " &amp; E41 &amp; ", " &amp; E42 &amp; ", " &amp; E43 &amp; ", " &amp; E44 &amp; ", " &amp; E45 &amp; ", " &amp; E46 &amp; ", " &amp; E47 &amp; ", " &amp; E48 &amp; ", " &amp; E49 &amp; ", " &amp; E50 &amp; ", " &amp; E51 &amp; ", " &amp; E52 &amp; ", " &amp; E53 &amp; ", " &amp; E54 &amp; ", " &amp; E55&amp; "};"</f>
        <v>PROGMEM prog_uint8_t tarmak1Keymap[] = {4, 5, 6, 7, 13, 9, 10, 11, 12, 17, 8, 15, 16, 14, 18, 19, 20, 21, 22, 23, 24, 25, 26, 27, 28, 29, 30, 31, 32, 33, 34, 35, 36, 37, 38, 39, 40, 41, 42, 43, 44, 45, 46, 47, 48, 49, 50, 51, 52, 53, 54, 55, 56, 42};</v>
      </c>
    </row>
    <row r="5" spans="2:14">
      <c r="B5">
        <v>7</v>
      </c>
      <c r="C5" t="s">
        <v>2009</v>
      </c>
      <c r="D5">
        <v>7</v>
      </c>
      <c r="E5">
        <v>7</v>
      </c>
      <c r="F5">
        <v>7</v>
      </c>
      <c r="G5">
        <v>7</v>
      </c>
      <c r="H5">
        <v>7</v>
      </c>
      <c r="I5">
        <v>22</v>
      </c>
      <c r="M5" t="s">
        <v>2066</v>
      </c>
      <c r="N5" t="str">
        <f>"PROGMEM prog_uint8_t tarmak2Keymap[] = {" &amp; F2 &amp; ", " &amp; F3 &amp; ", " &amp; F4 &amp; ", " &amp; F5 &amp; ", " &amp; F6 &amp; ", " &amp; F7 &amp; ", " &amp; F8 &amp; ", " &amp; F9 &amp; ", " &amp; F10 &amp; ", " &amp; F11 &amp; ", " &amp; F12 &amp; ", " &amp; F13 &amp; ", " &amp; F14 &amp; ", " &amp; F15 &amp; ", " &amp; F16 &amp; ", " &amp; F17 &amp; ", " &amp; F18 &amp; ", " &amp; F19 &amp; ", " &amp; F20 &amp; ", " &amp; F21 &amp; ", " &amp; F22 &amp; ", " &amp; F23 &amp; ", " &amp; F24 &amp; ", " &amp; F25 &amp; ", " &amp; F26 &amp; ", " &amp; F27 &amp; ", " &amp; F28 &amp; ", " &amp; F29 &amp; ", " &amp; F30 &amp; ", " &amp; F31 &amp; ", " &amp; F32 &amp; ", " &amp; F33 &amp; ", " &amp; F34 &amp; ", " &amp; F35 &amp; ", " &amp; F36 &amp; ", " &amp; F37 &amp; ", " &amp; F38 &amp; ", " &amp; F39 &amp; ", " &amp; F40 &amp; ", " &amp; F41 &amp; ", " &amp; F42 &amp; ", " &amp; F43 &amp; ", " &amp; F44 &amp; ", " &amp; F45 &amp; ", " &amp; F46 &amp; ", " &amp; F47 &amp; ", " &amp; F48 &amp; ", " &amp; F49 &amp; ", " &amp; F50 &amp; ", " &amp; F51 &amp; ", " &amp; F52 &amp; ", " &amp; F53 &amp; ", " &amp; F54 &amp; ", " &amp; F55&amp; "};"</f>
        <v>PROGMEM prog_uint8_t tarmak2Keymap[] = {4, 5, 6, 7, 9, 23, 13, 11, 12, 17, 8, 15, 16, 14, 18, 19, 20, 21, 22, 10, 24, 25, 26, 27, 28, 29, 30, 31, 32, 33, 34, 35, 36, 37, 38, 39, 40, 41, 42, 43, 44, 45, 46, 47, 48, 49, 50, 51, 52, 53, 54, 55, 56, 42};</v>
      </c>
    </row>
    <row r="6" spans="2:14">
      <c r="B6">
        <v>8</v>
      </c>
      <c r="C6" t="s">
        <v>2010</v>
      </c>
      <c r="D6">
        <v>8</v>
      </c>
      <c r="E6">
        <v>13</v>
      </c>
      <c r="F6">
        <v>9</v>
      </c>
      <c r="G6">
        <v>9</v>
      </c>
      <c r="H6">
        <v>9</v>
      </c>
      <c r="I6">
        <v>9</v>
      </c>
      <c r="M6" t="s">
        <v>2067</v>
      </c>
      <c r="N6" t="str">
        <f>"PROGMEM prog_uint8_t tarmak3Keymap[] = {" &amp; G2 &amp; ", " &amp; G3 &amp; ", " &amp; G4 &amp; ", " &amp; G5 &amp; ", " &amp; G6 &amp; ", " &amp; G7 &amp; ", " &amp; G8 &amp; ", " &amp; G9 &amp; ", " &amp; G10 &amp; ", " &amp; G11 &amp; ", " &amp; G12 &amp; ", " &amp; G13 &amp; ", " &amp; G14 &amp; ", " &amp; G15 &amp; ", " &amp; G16 &amp; ", " &amp; G17 &amp; ", " &amp; G18 &amp; ", " &amp; G19 &amp; ", " &amp; G20 &amp; ", " &amp; G21 &amp; ", " &amp; G22 &amp; ", " &amp; G23 &amp; ", " &amp; G24 &amp; ", " &amp; G25 &amp; ", " &amp; G26 &amp; ", " &amp; G27 &amp; ", " &amp; G28 &amp; ", " &amp; G29 &amp; ", " &amp; G30 &amp; ", " &amp; G31 &amp; ", " &amp; G32 &amp; ", " &amp; G33 &amp; ", " &amp; G34 &amp; ", " &amp; G35 &amp; ", " &amp; G36 &amp; ", " &amp; G37 &amp; ", " &amp; G38 &amp; ", " &amp; G39 &amp; ", " &amp; G40 &amp; ", " &amp; G41 &amp; ", " &amp; G42 &amp; ", " &amp; G43 &amp; ", " &amp; G44 &amp; ", " &amp; G45 &amp; ", " &amp; G46 &amp; ", " &amp; G47 &amp; ", " &amp; G48 &amp; ", " &amp; G49 &amp; ", " &amp; G50 &amp; ", " &amp; G51 &amp; ", " &amp; G52 &amp; ", " &amp; G53 &amp; ", " &amp; G54 &amp; ", " &amp; G55&amp; "};"</f>
        <v>PROGMEM prog_uint8_t tarmak3Keymap[] = {4, 5, 6, 7, 9, 23, 51, 11, 12, 17, 8, 15, 16, 14, 28, 19, 20, 21, 22, 10, 24, 25, 26, 27, 13, 29, 30, 31, 32, 33, 34, 35, 36, 37, 38, 39, 40, 41, 42, 43, 44, 45, 46, 47, 48, 49, 50, 18, 52, 53, 54, 55, 56, 42};</v>
      </c>
    </row>
    <row r="7" spans="2:14">
      <c r="B7">
        <v>9</v>
      </c>
      <c r="C7" t="s">
        <v>2011</v>
      </c>
      <c r="D7">
        <v>9</v>
      </c>
      <c r="E7">
        <v>9</v>
      </c>
      <c r="F7">
        <v>23</v>
      </c>
      <c r="G7">
        <v>23</v>
      </c>
      <c r="H7">
        <v>23</v>
      </c>
      <c r="I7">
        <v>23</v>
      </c>
      <c r="M7" t="s">
        <v>2068</v>
      </c>
      <c r="N7" t="str">
        <f>"PROGMEM prog_uint8_t tarmak4Keymap[] = {" &amp; H2 &amp; ", " &amp; H3 &amp; ", " &amp; H4 &amp; ", " &amp; H5 &amp; ", " &amp; H6 &amp; ", " &amp; H7 &amp; ", " &amp; H8 &amp; ", " &amp; H9 &amp; ", " &amp; H10 &amp; ", " &amp; H11 &amp; ", " &amp; H12 &amp; ", " &amp; H13 &amp; ", " &amp; H14 &amp; ", " &amp; H15 &amp; ", " &amp; H16 &amp; ", " &amp; H17 &amp; ", " &amp; H18 &amp; ", " &amp; H19 &amp; ", " &amp; H20 &amp; ", " &amp; H21 &amp; ", " &amp; H22 &amp; ", " &amp; H23 &amp; ", " &amp; H24 &amp; ", " &amp; H25 &amp; ", " &amp; H26 &amp; ", " &amp; H27 &amp; ", " &amp; H28 &amp; ", " &amp; H29 &amp; ", " &amp; H30 &amp; ", " &amp; H31 &amp; ", " &amp; H32 &amp; ", " &amp; H33 &amp; ", " &amp; H34 &amp; ", " &amp; H35 &amp; ", " &amp; H36 &amp; ", " &amp; H37 &amp; ", " &amp; H38 &amp; ", " &amp; H39 &amp; ", " &amp; H40 &amp; ", " &amp; H41 &amp; ", " &amp; H42 &amp; ", " &amp; H43 &amp; ", " &amp; H44 &amp; ", " &amp; H45 &amp; ", " &amp; H46 &amp; ", " &amp; H47 &amp; ", " &amp; H48 &amp; ", " &amp; H49 &amp; ", " &amp; H50 &amp; ", " &amp; H51 &amp; ", " &amp; H52 &amp; ", " &amp; H53 &amp; ", " &amp; H54 &amp; ", " &amp; H55&amp; "};"</f>
        <v>PROGMEM prog_uint8_t tarmak4Keymap[] = {4, 5, 6, 7, 9, 23, 51, 11, 24, 17, 8, 12, 16, 14, 28, 19, 20, 21, 22, 10, 15, 25, 26, 27, 13, 29, 30, 31, 32, 33, 34, 35, 36, 37, 38, 39, 40, 41, 42, 43, 44, 45, 46, 47, 48, 49, 50, 18, 52, 53, 54, 55, 56, 42};</v>
      </c>
    </row>
    <row r="8" spans="2:14">
      <c r="B8">
        <v>10</v>
      </c>
      <c r="C8" t="s">
        <v>2012</v>
      </c>
      <c r="D8">
        <v>10</v>
      </c>
      <c r="E8">
        <v>10</v>
      </c>
      <c r="F8">
        <v>13</v>
      </c>
      <c r="G8">
        <v>51</v>
      </c>
      <c r="H8">
        <v>51</v>
      </c>
      <c r="I8">
        <v>7</v>
      </c>
      <c r="M8" t="s">
        <v>2063</v>
      </c>
      <c r="N8" t="str">
        <f>"PROGMEM prog_uint8_t colemakKeymap[] = {" &amp; I2 &amp; ", " &amp; I3 &amp; ", " &amp; I4 &amp; ", " &amp; I5 &amp; ", " &amp; I6 &amp; ", " &amp; I7 &amp; ", " &amp; I8 &amp; ", " &amp; I9 &amp; ", " &amp; I10 &amp; ", " &amp; I11 &amp; ", " &amp; I12 &amp; ", " &amp; I13 &amp; ", " &amp; I14 &amp; ", " &amp; I15 &amp; ", " &amp; I16 &amp; ", " &amp; I17 &amp; ", " &amp; I18 &amp; ", " &amp; I19 &amp; ", " &amp; I20 &amp; ", " &amp; I21 &amp; ", " &amp; I22 &amp; ", " &amp; I23 &amp; ", " &amp; I24 &amp; ", " &amp; I25 &amp; ", " &amp; I26 &amp; ", " &amp; I27 &amp; ", " &amp; I28 &amp; ", " &amp; I29 &amp; ", " &amp; I30 &amp; ", " &amp; I31 &amp; ", " &amp; I32 &amp; ", " &amp; I33 &amp; ", " &amp; I34 &amp; ", " &amp; I35 &amp; ", " &amp; I36 &amp; ", " &amp; I37 &amp; ", " &amp; I38 &amp; ", " &amp; I39 &amp; ", " &amp; I40 &amp; ", " &amp; I41 &amp; ", " &amp; I42 &amp; ", " &amp; I43 &amp; ", " &amp; I44 &amp; ", " &amp; I45 &amp; ", " &amp; I46 &amp; ", " &amp; I47 &amp; ", " &amp; I48 &amp; ", " &amp; I49 &amp; ", " &amp; I50 &amp; ", " &amp; I51 &amp; ", " &amp; I52 &amp; ", " &amp; I53 &amp; ", " &amp; I54 &amp; ", " &amp; I55&amp; "};"</f>
        <v>PROGMEM prog_uint8_t colemakKeymap[] = {4, 5, 6, 22, 9, 23, 7, 11, 24, 17, 8, 12, 16, 14, 28, 51, 20, 19, 21, 10, 15, 25, 26, 27, 13, 29, 30, 31, 32, 33, 34, 35, 36, 37, 38, 39, 40, 41, 42, 43, 44, 45, 46, 47, 48, 49, 50, 18, 52, 53, 54, 55, 56, 42};</v>
      </c>
    </row>
    <row r="9" spans="2:14">
      <c r="B9">
        <v>11</v>
      </c>
      <c r="C9" t="s">
        <v>2013</v>
      </c>
      <c r="D9">
        <v>11</v>
      </c>
      <c r="E9">
        <v>11</v>
      </c>
      <c r="F9">
        <v>11</v>
      </c>
      <c r="G9">
        <v>11</v>
      </c>
      <c r="H9">
        <v>11</v>
      </c>
      <c r="I9">
        <v>11</v>
      </c>
      <c r="M9" t="s">
        <v>2064</v>
      </c>
    </row>
    <row r="10" spans="2:14">
      <c r="B10">
        <v>12</v>
      </c>
      <c r="C10" t="s">
        <v>2014</v>
      </c>
      <c r="D10">
        <v>12</v>
      </c>
      <c r="E10" s="10">
        <v>12</v>
      </c>
      <c r="F10" s="10">
        <v>12</v>
      </c>
      <c r="G10" s="10">
        <v>12</v>
      </c>
      <c r="H10" s="10">
        <v>24</v>
      </c>
      <c r="I10" s="10">
        <v>24</v>
      </c>
    </row>
    <row r="11" spans="2:14">
      <c r="B11">
        <v>13</v>
      </c>
      <c r="C11" t="s">
        <v>2015</v>
      </c>
      <c r="D11">
        <v>13</v>
      </c>
      <c r="E11" s="10">
        <v>17</v>
      </c>
      <c r="F11" s="10">
        <v>17</v>
      </c>
      <c r="G11" s="10">
        <v>17</v>
      </c>
      <c r="H11" s="10">
        <v>17</v>
      </c>
      <c r="I11" s="10">
        <v>17</v>
      </c>
    </row>
    <row r="12" spans="2:14">
      <c r="B12">
        <v>14</v>
      </c>
      <c r="C12" t="s">
        <v>2016</v>
      </c>
      <c r="D12">
        <v>14</v>
      </c>
      <c r="E12" s="10">
        <v>8</v>
      </c>
      <c r="F12" s="10">
        <v>8</v>
      </c>
      <c r="G12" s="10">
        <v>8</v>
      </c>
      <c r="H12" s="10">
        <v>8</v>
      </c>
      <c r="I12" s="10">
        <v>8</v>
      </c>
    </row>
    <row r="13" spans="2:14">
      <c r="B13">
        <v>15</v>
      </c>
      <c r="C13" t="s">
        <v>2017</v>
      </c>
      <c r="D13">
        <v>15</v>
      </c>
      <c r="E13" s="10">
        <v>15</v>
      </c>
      <c r="F13" s="10">
        <v>15</v>
      </c>
      <c r="G13" s="10">
        <v>15</v>
      </c>
      <c r="H13" s="10">
        <v>12</v>
      </c>
      <c r="I13" s="10">
        <v>12</v>
      </c>
    </row>
    <row r="14" spans="2:14">
      <c r="B14">
        <v>16</v>
      </c>
      <c r="C14" t="s">
        <v>2018</v>
      </c>
      <c r="D14">
        <v>16</v>
      </c>
      <c r="E14" s="10">
        <v>16</v>
      </c>
      <c r="F14" s="10">
        <v>16</v>
      </c>
      <c r="G14" s="10">
        <v>16</v>
      </c>
      <c r="H14" s="10">
        <v>16</v>
      </c>
      <c r="I14" s="10">
        <v>16</v>
      </c>
    </row>
    <row r="15" spans="2:14">
      <c r="B15">
        <v>17</v>
      </c>
      <c r="C15" t="s">
        <v>2019</v>
      </c>
      <c r="D15">
        <v>17</v>
      </c>
      <c r="E15" s="10">
        <v>14</v>
      </c>
      <c r="F15" s="10">
        <v>14</v>
      </c>
      <c r="G15" s="10">
        <v>14</v>
      </c>
      <c r="H15" s="10">
        <v>14</v>
      </c>
      <c r="I15" s="10">
        <v>14</v>
      </c>
    </row>
    <row r="16" spans="2:14">
      <c r="B16">
        <v>18</v>
      </c>
      <c r="C16" t="s">
        <v>2020</v>
      </c>
      <c r="D16">
        <v>18</v>
      </c>
      <c r="E16" s="10">
        <v>18</v>
      </c>
      <c r="F16" s="10">
        <v>18</v>
      </c>
      <c r="G16" s="10">
        <v>28</v>
      </c>
      <c r="H16" s="10">
        <v>28</v>
      </c>
      <c r="I16" s="10">
        <v>28</v>
      </c>
    </row>
    <row r="17" spans="2:9">
      <c r="B17">
        <v>19</v>
      </c>
      <c r="C17" t="s">
        <v>2021</v>
      </c>
      <c r="D17">
        <v>19</v>
      </c>
      <c r="E17">
        <v>19</v>
      </c>
      <c r="F17">
        <v>19</v>
      </c>
      <c r="G17">
        <v>19</v>
      </c>
      <c r="H17">
        <v>19</v>
      </c>
      <c r="I17">
        <v>51</v>
      </c>
    </row>
    <row r="18" spans="2:9">
      <c r="B18">
        <v>20</v>
      </c>
      <c r="C18" t="s">
        <v>2022</v>
      </c>
      <c r="D18">
        <v>20</v>
      </c>
      <c r="E18">
        <v>20</v>
      </c>
      <c r="F18">
        <v>20</v>
      </c>
      <c r="G18">
        <v>20</v>
      </c>
      <c r="H18">
        <v>20</v>
      </c>
      <c r="I18">
        <v>20</v>
      </c>
    </row>
    <row r="19" spans="2:9">
      <c r="B19">
        <v>21</v>
      </c>
      <c r="C19" t="s">
        <v>2023</v>
      </c>
      <c r="D19">
        <v>21</v>
      </c>
      <c r="E19">
        <v>21</v>
      </c>
      <c r="F19">
        <v>21</v>
      </c>
      <c r="G19">
        <v>21</v>
      </c>
      <c r="H19">
        <v>21</v>
      </c>
      <c r="I19">
        <v>19</v>
      </c>
    </row>
    <row r="20" spans="2:9">
      <c r="B20">
        <v>22</v>
      </c>
      <c r="C20" t="s">
        <v>2024</v>
      </c>
      <c r="D20">
        <v>22</v>
      </c>
      <c r="E20">
        <v>22</v>
      </c>
      <c r="F20">
        <v>22</v>
      </c>
      <c r="G20">
        <v>22</v>
      </c>
      <c r="H20">
        <v>22</v>
      </c>
      <c r="I20">
        <v>21</v>
      </c>
    </row>
    <row r="21" spans="2:9">
      <c r="B21">
        <v>23</v>
      </c>
      <c r="C21" t="s">
        <v>2025</v>
      </c>
      <c r="D21">
        <v>23</v>
      </c>
      <c r="E21">
        <v>23</v>
      </c>
      <c r="F21">
        <v>10</v>
      </c>
      <c r="G21">
        <v>10</v>
      </c>
      <c r="H21">
        <v>10</v>
      </c>
      <c r="I21">
        <v>10</v>
      </c>
    </row>
    <row r="22" spans="2:9">
      <c r="B22">
        <v>24</v>
      </c>
      <c r="C22" t="s">
        <v>2026</v>
      </c>
      <c r="D22">
        <v>24</v>
      </c>
      <c r="E22">
        <v>24</v>
      </c>
      <c r="F22">
        <v>24</v>
      </c>
      <c r="G22">
        <v>24</v>
      </c>
      <c r="H22">
        <v>15</v>
      </c>
      <c r="I22">
        <v>15</v>
      </c>
    </row>
    <row r="23" spans="2:9">
      <c r="B23">
        <v>25</v>
      </c>
      <c r="C23" t="s">
        <v>2027</v>
      </c>
      <c r="D23">
        <v>25</v>
      </c>
      <c r="E23">
        <v>25</v>
      </c>
      <c r="F23">
        <v>25</v>
      </c>
      <c r="G23">
        <v>25</v>
      </c>
      <c r="H23">
        <v>25</v>
      </c>
      <c r="I23">
        <v>25</v>
      </c>
    </row>
    <row r="24" spans="2:9">
      <c r="B24">
        <v>26</v>
      </c>
      <c r="C24" t="s">
        <v>2028</v>
      </c>
      <c r="D24">
        <v>26</v>
      </c>
      <c r="E24">
        <v>26</v>
      </c>
      <c r="F24">
        <v>26</v>
      </c>
      <c r="G24">
        <v>26</v>
      </c>
      <c r="H24">
        <v>26</v>
      </c>
      <c r="I24">
        <v>26</v>
      </c>
    </row>
    <row r="25" spans="2:9">
      <c r="B25">
        <v>27</v>
      </c>
      <c r="C25" t="s">
        <v>2029</v>
      </c>
      <c r="D25">
        <v>27</v>
      </c>
      <c r="E25">
        <v>27</v>
      </c>
      <c r="F25">
        <v>27</v>
      </c>
      <c r="G25">
        <v>27</v>
      </c>
      <c r="H25">
        <v>27</v>
      </c>
      <c r="I25">
        <v>27</v>
      </c>
    </row>
    <row r="26" spans="2:9">
      <c r="B26">
        <v>28</v>
      </c>
      <c r="C26" t="s">
        <v>2030</v>
      </c>
      <c r="D26">
        <v>28</v>
      </c>
      <c r="E26">
        <v>28</v>
      </c>
      <c r="F26">
        <v>28</v>
      </c>
      <c r="G26">
        <v>13</v>
      </c>
      <c r="H26">
        <v>13</v>
      </c>
      <c r="I26">
        <v>13</v>
      </c>
    </row>
    <row r="27" spans="2:9">
      <c r="B27">
        <v>29</v>
      </c>
      <c r="C27" t="s">
        <v>2031</v>
      </c>
      <c r="D27">
        <v>29</v>
      </c>
      <c r="E27">
        <v>29</v>
      </c>
      <c r="F27">
        <v>29</v>
      </c>
      <c r="G27">
        <v>29</v>
      </c>
      <c r="H27">
        <v>29</v>
      </c>
      <c r="I27">
        <v>29</v>
      </c>
    </row>
    <row r="28" spans="2:9">
      <c r="B28">
        <v>30</v>
      </c>
      <c r="C28" t="s">
        <v>2032</v>
      </c>
      <c r="D28">
        <v>30</v>
      </c>
      <c r="E28">
        <v>30</v>
      </c>
      <c r="F28">
        <v>30</v>
      </c>
      <c r="G28">
        <v>30</v>
      </c>
      <c r="H28">
        <v>30</v>
      </c>
      <c r="I28">
        <v>30</v>
      </c>
    </row>
    <row r="29" spans="2:9">
      <c r="B29">
        <v>31</v>
      </c>
      <c r="C29" t="s">
        <v>2033</v>
      </c>
      <c r="D29">
        <v>31</v>
      </c>
      <c r="E29">
        <v>31</v>
      </c>
      <c r="F29">
        <v>31</v>
      </c>
      <c r="G29">
        <v>31</v>
      </c>
      <c r="H29">
        <v>31</v>
      </c>
      <c r="I29">
        <v>31</v>
      </c>
    </row>
    <row r="30" spans="2:9">
      <c r="B30">
        <v>32</v>
      </c>
      <c r="C30" t="s">
        <v>2034</v>
      </c>
      <c r="D30">
        <v>32</v>
      </c>
      <c r="E30">
        <v>32</v>
      </c>
      <c r="F30">
        <v>32</v>
      </c>
      <c r="G30">
        <v>32</v>
      </c>
      <c r="H30">
        <v>32</v>
      </c>
      <c r="I30">
        <v>32</v>
      </c>
    </row>
    <row r="31" spans="2:9">
      <c r="B31">
        <v>33</v>
      </c>
      <c r="C31" t="s">
        <v>2035</v>
      </c>
      <c r="D31">
        <v>33</v>
      </c>
      <c r="E31">
        <v>33</v>
      </c>
      <c r="F31">
        <v>33</v>
      </c>
      <c r="G31">
        <v>33</v>
      </c>
      <c r="H31">
        <v>33</v>
      </c>
      <c r="I31">
        <v>33</v>
      </c>
    </row>
    <row r="32" spans="2:9">
      <c r="B32">
        <v>34</v>
      </c>
      <c r="C32" t="s">
        <v>2036</v>
      </c>
      <c r="D32">
        <v>34</v>
      </c>
      <c r="E32">
        <v>34</v>
      </c>
      <c r="F32">
        <v>34</v>
      </c>
      <c r="G32">
        <v>34</v>
      </c>
      <c r="H32">
        <v>34</v>
      </c>
      <c r="I32">
        <v>34</v>
      </c>
    </row>
    <row r="33" spans="2:9">
      <c r="B33">
        <v>35</v>
      </c>
      <c r="C33" t="s">
        <v>2037</v>
      </c>
      <c r="D33">
        <v>35</v>
      </c>
      <c r="E33">
        <v>35</v>
      </c>
      <c r="F33">
        <v>35</v>
      </c>
      <c r="G33">
        <v>35</v>
      </c>
      <c r="H33">
        <v>35</v>
      </c>
      <c r="I33">
        <v>35</v>
      </c>
    </row>
    <row r="34" spans="2:9">
      <c r="B34">
        <v>36</v>
      </c>
      <c r="C34" t="s">
        <v>2038</v>
      </c>
      <c r="D34">
        <v>36</v>
      </c>
      <c r="E34">
        <v>36</v>
      </c>
      <c r="F34">
        <v>36</v>
      </c>
      <c r="G34">
        <v>36</v>
      </c>
      <c r="H34">
        <v>36</v>
      </c>
      <c r="I34">
        <v>36</v>
      </c>
    </row>
    <row r="35" spans="2:9">
      <c r="B35">
        <v>37</v>
      </c>
      <c r="C35" t="s">
        <v>2039</v>
      </c>
      <c r="D35">
        <v>37</v>
      </c>
      <c r="E35">
        <v>37</v>
      </c>
      <c r="F35">
        <v>37</v>
      </c>
      <c r="G35">
        <v>37</v>
      </c>
      <c r="H35">
        <v>37</v>
      </c>
      <c r="I35">
        <v>37</v>
      </c>
    </row>
    <row r="36" spans="2:9">
      <c r="B36">
        <v>38</v>
      </c>
      <c r="C36" t="s">
        <v>2040</v>
      </c>
      <c r="D36">
        <v>38</v>
      </c>
      <c r="E36">
        <v>38</v>
      </c>
      <c r="F36">
        <v>38</v>
      </c>
      <c r="G36">
        <v>38</v>
      </c>
      <c r="H36">
        <v>38</v>
      </c>
      <c r="I36">
        <v>38</v>
      </c>
    </row>
    <row r="37" spans="2:9">
      <c r="B37">
        <v>39</v>
      </c>
      <c r="C37" t="s">
        <v>2041</v>
      </c>
      <c r="D37">
        <v>39</v>
      </c>
      <c r="E37">
        <v>39</v>
      </c>
      <c r="F37">
        <v>39</v>
      </c>
      <c r="G37">
        <v>39</v>
      </c>
      <c r="H37">
        <v>39</v>
      </c>
      <c r="I37">
        <v>39</v>
      </c>
    </row>
    <row r="38" spans="2:9">
      <c r="B38">
        <v>40</v>
      </c>
      <c r="C38" t="s">
        <v>2042</v>
      </c>
      <c r="D38">
        <v>40</v>
      </c>
      <c r="E38">
        <v>40</v>
      </c>
      <c r="F38">
        <v>40</v>
      </c>
      <c r="G38">
        <v>40</v>
      </c>
      <c r="H38">
        <v>40</v>
      </c>
      <c r="I38">
        <v>40</v>
      </c>
    </row>
    <row r="39" spans="2:9">
      <c r="B39">
        <v>41</v>
      </c>
      <c r="C39" t="s">
        <v>2043</v>
      </c>
      <c r="D39">
        <v>41</v>
      </c>
      <c r="E39">
        <v>41</v>
      </c>
      <c r="F39">
        <v>41</v>
      </c>
      <c r="G39">
        <v>41</v>
      </c>
      <c r="H39">
        <v>41</v>
      </c>
      <c r="I39">
        <v>41</v>
      </c>
    </row>
    <row r="40" spans="2:9">
      <c r="B40">
        <v>42</v>
      </c>
      <c r="C40" t="s">
        <v>2044</v>
      </c>
      <c r="D40">
        <v>42</v>
      </c>
      <c r="E40">
        <v>42</v>
      </c>
      <c r="F40">
        <v>42</v>
      </c>
      <c r="G40">
        <v>42</v>
      </c>
      <c r="H40">
        <v>42</v>
      </c>
      <c r="I40">
        <v>42</v>
      </c>
    </row>
    <row r="41" spans="2:9">
      <c r="B41">
        <v>43</v>
      </c>
      <c r="C41" t="s">
        <v>2045</v>
      </c>
      <c r="D41">
        <v>43</v>
      </c>
      <c r="E41">
        <v>43</v>
      </c>
      <c r="F41">
        <v>43</v>
      </c>
      <c r="G41">
        <v>43</v>
      </c>
      <c r="H41">
        <v>43</v>
      </c>
      <c r="I41">
        <v>43</v>
      </c>
    </row>
    <row r="42" spans="2:9">
      <c r="B42">
        <v>44</v>
      </c>
      <c r="C42" t="s">
        <v>2046</v>
      </c>
      <c r="D42">
        <v>44</v>
      </c>
      <c r="E42">
        <v>44</v>
      </c>
      <c r="F42">
        <v>44</v>
      </c>
      <c r="G42">
        <v>44</v>
      </c>
      <c r="H42">
        <v>44</v>
      </c>
      <c r="I42">
        <v>44</v>
      </c>
    </row>
    <row r="43" spans="2:9">
      <c r="B43">
        <v>45</v>
      </c>
      <c r="C43" t="s">
        <v>2047</v>
      </c>
      <c r="D43">
        <v>45</v>
      </c>
      <c r="E43">
        <v>45</v>
      </c>
      <c r="F43">
        <v>45</v>
      </c>
      <c r="G43">
        <v>45</v>
      </c>
      <c r="H43">
        <v>45</v>
      </c>
      <c r="I43">
        <v>45</v>
      </c>
    </row>
    <row r="44" spans="2:9">
      <c r="B44">
        <v>46</v>
      </c>
      <c r="C44" t="s">
        <v>2048</v>
      </c>
      <c r="D44">
        <v>46</v>
      </c>
      <c r="E44">
        <v>46</v>
      </c>
      <c r="F44">
        <v>46</v>
      </c>
      <c r="G44">
        <v>46</v>
      </c>
      <c r="H44">
        <v>46</v>
      </c>
      <c r="I44">
        <v>46</v>
      </c>
    </row>
    <row r="45" spans="2:9">
      <c r="B45">
        <v>47</v>
      </c>
      <c r="C45" t="s">
        <v>2049</v>
      </c>
      <c r="D45">
        <v>47</v>
      </c>
      <c r="E45">
        <v>47</v>
      </c>
      <c r="F45">
        <v>47</v>
      </c>
      <c r="G45">
        <v>47</v>
      </c>
      <c r="H45">
        <v>47</v>
      </c>
      <c r="I45">
        <v>47</v>
      </c>
    </row>
    <row r="46" spans="2:9">
      <c r="B46">
        <v>48</v>
      </c>
      <c r="C46" t="s">
        <v>2050</v>
      </c>
      <c r="D46">
        <v>48</v>
      </c>
      <c r="E46">
        <v>48</v>
      </c>
      <c r="F46">
        <v>48</v>
      </c>
      <c r="G46">
        <v>48</v>
      </c>
      <c r="H46">
        <v>48</v>
      </c>
      <c r="I46">
        <v>48</v>
      </c>
    </row>
    <row r="47" spans="2:9">
      <c r="B47">
        <v>49</v>
      </c>
      <c r="C47" t="s">
        <v>2051</v>
      </c>
      <c r="D47">
        <v>49</v>
      </c>
      <c r="E47">
        <v>49</v>
      </c>
      <c r="F47">
        <v>49</v>
      </c>
      <c r="G47">
        <v>49</v>
      </c>
      <c r="H47">
        <v>49</v>
      </c>
      <c r="I47">
        <v>49</v>
      </c>
    </row>
    <row r="48" spans="2:9">
      <c r="B48">
        <v>50</v>
      </c>
      <c r="C48" t="s">
        <v>2052</v>
      </c>
      <c r="D48">
        <v>50</v>
      </c>
      <c r="E48">
        <v>50</v>
      </c>
      <c r="F48">
        <v>50</v>
      </c>
      <c r="G48">
        <v>50</v>
      </c>
      <c r="H48">
        <v>50</v>
      </c>
      <c r="I48">
        <v>50</v>
      </c>
    </row>
    <row r="49" spans="2:9">
      <c r="B49">
        <v>51</v>
      </c>
      <c r="C49" t="s">
        <v>2053</v>
      </c>
      <c r="D49">
        <v>51</v>
      </c>
      <c r="E49">
        <v>51</v>
      </c>
      <c r="F49">
        <v>51</v>
      </c>
      <c r="G49">
        <v>18</v>
      </c>
      <c r="H49">
        <v>18</v>
      </c>
      <c r="I49">
        <v>18</v>
      </c>
    </row>
    <row r="50" spans="2:9">
      <c r="B50">
        <v>52</v>
      </c>
      <c r="C50" t="s">
        <v>2054</v>
      </c>
      <c r="D50">
        <v>52</v>
      </c>
      <c r="E50">
        <v>52</v>
      </c>
      <c r="F50">
        <v>52</v>
      </c>
      <c r="G50">
        <v>52</v>
      </c>
      <c r="H50">
        <v>52</v>
      </c>
      <c r="I50">
        <v>52</v>
      </c>
    </row>
    <row r="51" spans="2:9">
      <c r="B51">
        <v>53</v>
      </c>
      <c r="C51" t="s">
        <v>2055</v>
      </c>
      <c r="D51">
        <v>53</v>
      </c>
      <c r="E51">
        <v>53</v>
      </c>
      <c r="F51">
        <v>53</v>
      </c>
      <c r="G51">
        <v>53</v>
      </c>
      <c r="H51">
        <v>53</v>
      </c>
      <c r="I51">
        <v>53</v>
      </c>
    </row>
    <row r="52" spans="2:9">
      <c r="B52">
        <v>54</v>
      </c>
      <c r="C52" t="s">
        <v>2056</v>
      </c>
      <c r="D52">
        <v>54</v>
      </c>
      <c r="E52">
        <v>54</v>
      </c>
      <c r="F52">
        <v>54</v>
      </c>
      <c r="G52">
        <v>54</v>
      </c>
      <c r="H52">
        <v>54</v>
      </c>
      <c r="I52">
        <v>54</v>
      </c>
    </row>
    <row r="53" spans="2:9">
      <c r="B53">
        <v>55</v>
      </c>
      <c r="C53" t="s">
        <v>2057</v>
      </c>
      <c r="D53">
        <v>55</v>
      </c>
      <c r="E53">
        <v>55</v>
      </c>
      <c r="F53">
        <v>55</v>
      </c>
      <c r="G53">
        <v>55</v>
      </c>
      <c r="H53">
        <v>55</v>
      </c>
      <c r="I53">
        <v>55</v>
      </c>
    </row>
    <row r="54" spans="2:9">
      <c r="B54">
        <v>56</v>
      </c>
      <c r="C54" t="s">
        <v>2058</v>
      </c>
      <c r="D54">
        <v>56</v>
      </c>
      <c r="E54">
        <v>56</v>
      </c>
      <c r="F54">
        <v>56</v>
      </c>
      <c r="G54">
        <v>56</v>
      </c>
      <c r="H54">
        <v>56</v>
      </c>
      <c r="I54">
        <v>56</v>
      </c>
    </row>
    <row r="55" spans="2:9">
      <c r="B55">
        <v>57</v>
      </c>
      <c r="C55" t="s">
        <v>2059</v>
      </c>
      <c r="D55">
        <v>57</v>
      </c>
      <c r="E55">
        <v>42</v>
      </c>
      <c r="F55">
        <v>42</v>
      </c>
      <c r="G55">
        <v>42</v>
      </c>
      <c r="H55">
        <v>42</v>
      </c>
      <c r="I55">
        <v>42</v>
      </c>
    </row>
  </sheetData>
  <conditionalFormatting sqref="G2">
    <cfRule type="cellIs" dxfId="269" priority="108" stopIfTrue="1" operator="notEqual">
      <formula>$F$2</formula>
    </cfRule>
  </conditionalFormatting>
  <conditionalFormatting sqref="G3">
    <cfRule type="cellIs" dxfId="268" priority="107" stopIfTrue="1" operator="notEqual">
      <formula>$F$3</formula>
    </cfRule>
  </conditionalFormatting>
  <conditionalFormatting sqref="G4">
    <cfRule type="cellIs" dxfId="267" priority="106" stopIfTrue="1" operator="notEqual">
      <formula>$F$4</formula>
    </cfRule>
  </conditionalFormatting>
  <conditionalFormatting sqref="G5">
    <cfRule type="cellIs" dxfId="266" priority="105" stopIfTrue="1" operator="notEqual">
      <formula>$F$5</formula>
    </cfRule>
  </conditionalFormatting>
  <conditionalFormatting sqref="G6">
    <cfRule type="cellIs" dxfId="265" priority="104" stopIfTrue="1" operator="notEqual">
      <formula>$F$6</formula>
    </cfRule>
  </conditionalFormatting>
  <conditionalFormatting sqref="G7">
    <cfRule type="cellIs" dxfId="264" priority="103" stopIfTrue="1" operator="notEqual">
      <formula>$F$7</formula>
    </cfRule>
  </conditionalFormatting>
  <conditionalFormatting sqref="G8">
    <cfRule type="cellIs" dxfId="263" priority="102" stopIfTrue="1" operator="notEqual">
      <formula>$F$8</formula>
    </cfRule>
  </conditionalFormatting>
  <conditionalFormatting sqref="G9">
    <cfRule type="cellIs" dxfId="262" priority="101" stopIfTrue="1" operator="notEqual">
      <formula>$F$9</formula>
    </cfRule>
  </conditionalFormatting>
  <conditionalFormatting sqref="G10">
    <cfRule type="cellIs" dxfId="261" priority="100" stopIfTrue="1" operator="notEqual">
      <formula>$F$10</formula>
    </cfRule>
  </conditionalFormatting>
  <conditionalFormatting sqref="G11">
    <cfRule type="cellIs" dxfId="260" priority="99" stopIfTrue="1" operator="notEqual">
      <formula>$F$11</formula>
    </cfRule>
  </conditionalFormatting>
  <conditionalFormatting sqref="G12">
    <cfRule type="cellIs" dxfId="259" priority="98" stopIfTrue="1" operator="notEqual">
      <formula>$F$12</formula>
    </cfRule>
  </conditionalFormatting>
  <conditionalFormatting sqref="G13">
    <cfRule type="cellIs" dxfId="258" priority="97" stopIfTrue="1" operator="notEqual">
      <formula>$F$13</formula>
    </cfRule>
  </conditionalFormatting>
  <conditionalFormatting sqref="G14">
    <cfRule type="cellIs" dxfId="257" priority="96" stopIfTrue="1" operator="notEqual">
      <formula>$F$14</formula>
    </cfRule>
  </conditionalFormatting>
  <conditionalFormatting sqref="G15">
    <cfRule type="cellIs" dxfId="256" priority="95" stopIfTrue="1" operator="notEqual">
      <formula>$F$15</formula>
    </cfRule>
  </conditionalFormatting>
  <conditionalFormatting sqref="G16">
    <cfRule type="cellIs" dxfId="255" priority="94" stopIfTrue="1" operator="notEqual">
      <formula>$F$16</formula>
    </cfRule>
  </conditionalFormatting>
  <conditionalFormatting sqref="G17">
    <cfRule type="cellIs" dxfId="254" priority="93" stopIfTrue="1" operator="notEqual">
      <formula>$F$17</formula>
    </cfRule>
  </conditionalFormatting>
  <conditionalFormatting sqref="G18">
    <cfRule type="cellIs" dxfId="253" priority="92" stopIfTrue="1" operator="notEqual">
      <formula>$F$18</formula>
    </cfRule>
  </conditionalFormatting>
  <conditionalFormatting sqref="G19">
    <cfRule type="cellIs" dxfId="252" priority="91" stopIfTrue="1" operator="notEqual">
      <formula>$F$19</formula>
    </cfRule>
  </conditionalFormatting>
  <conditionalFormatting sqref="G20">
    <cfRule type="cellIs" dxfId="251" priority="90" stopIfTrue="1" operator="notEqual">
      <formula>$F$20</formula>
    </cfRule>
  </conditionalFormatting>
  <conditionalFormatting sqref="G21">
    <cfRule type="cellIs" dxfId="250" priority="89" stopIfTrue="1" operator="notEqual">
      <formula>$F$21</formula>
    </cfRule>
  </conditionalFormatting>
  <conditionalFormatting sqref="G22">
    <cfRule type="cellIs" dxfId="249" priority="88" stopIfTrue="1" operator="notEqual">
      <formula>$F$22</formula>
    </cfRule>
  </conditionalFormatting>
  <conditionalFormatting sqref="G23">
    <cfRule type="cellIs" dxfId="248" priority="87" stopIfTrue="1" operator="notEqual">
      <formula>$F$23</formula>
    </cfRule>
  </conditionalFormatting>
  <conditionalFormatting sqref="G24">
    <cfRule type="cellIs" dxfId="247" priority="86" stopIfTrue="1" operator="notEqual">
      <formula>$F$24</formula>
    </cfRule>
  </conditionalFormatting>
  <conditionalFormatting sqref="G25">
    <cfRule type="cellIs" dxfId="246" priority="85" stopIfTrue="1" operator="notEqual">
      <formula>$F$25</formula>
    </cfRule>
  </conditionalFormatting>
  <conditionalFormatting sqref="G26">
    <cfRule type="cellIs" dxfId="245" priority="84" stopIfTrue="1" operator="notEqual">
      <formula>$F$26</formula>
    </cfRule>
  </conditionalFormatting>
  <conditionalFormatting sqref="G27">
    <cfRule type="cellIs" dxfId="244" priority="83" stopIfTrue="1" operator="notEqual">
      <formula>$F$27</formula>
    </cfRule>
  </conditionalFormatting>
  <conditionalFormatting sqref="G28">
    <cfRule type="cellIs" dxfId="243" priority="82" stopIfTrue="1" operator="notEqual">
      <formula>$F$28</formula>
    </cfRule>
  </conditionalFormatting>
  <conditionalFormatting sqref="G29">
    <cfRule type="cellIs" dxfId="242" priority="81" stopIfTrue="1" operator="notEqual">
      <formula>$F$29</formula>
    </cfRule>
  </conditionalFormatting>
  <conditionalFormatting sqref="G30">
    <cfRule type="cellIs" dxfId="241" priority="80" stopIfTrue="1" operator="notEqual">
      <formula>$F$30</formula>
    </cfRule>
  </conditionalFormatting>
  <conditionalFormatting sqref="G31">
    <cfRule type="cellIs" dxfId="240" priority="79" stopIfTrue="1" operator="notEqual">
      <formula>$F$31</formula>
    </cfRule>
  </conditionalFormatting>
  <conditionalFormatting sqref="G32">
    <cfRule type="cellIs" dxfId="239" priority="78" stopIfTrue="1" operator="notEqual">
      <formula>$F$32</formula>
    </cfRule>
  </conditionalFormatting>
  <conditionalFormatting sqref="G33">
    <cfRule type="cellIs" dxfId="238" priority="77" stopIfTrue="1" operator="notEqual">
      <formula>$F$33</formula>
    </cfRule>
  </conditionalFormatting>
  <conditionalFormatting sqref="G34">
    <cfRule type="cellIs" dxfId="237" priority="76" stopIfTrue="1" operator="notEqual">
      <formula>$F$34</formula>
    </cfRule>
  </conditionalFormatting>
  <conditionalFormatting sqref="G35">
    <cfRule type="cellIs" dxfId="236" priority="75" stopIfTrue="1" operator="notEqual">
      <formula>$F$35</formula>
    </cfRule>
  </conditionalFormatting>
  <conditionalFormatting sqref="G36">
    <cfRule type="cellIs" dxfId="235" priority="74" stopIfTrue="1" operator="notEqual">
      <formula>$F$36</formula>
    </cfRule>
  </conditionalFormatting>
  <conditionalFormatting sqref="G37">
    <cfRule type="cellIs" dxfId="234" priority="73" stopIfTrue="1" operator="notEqual">
      <formula>$F$37</formula>
    </cfRule>
  </conditionalFormatting>
  <conditionalFormatting sqref="G38">
    <cfRule type="cellIs" dxfId="233" priority="72" stopIfTrue="1" operator="notEqual">
      <formula>$F$38</formula>
    </cfRule>
  </conditionalFormatting>
  <conditionalFormatting sqref="G39">
    <cfRule type="cellIs" dxfId="232" priority="71" stopIfTrue="1" operator="notEqual">
      <formula>$F$39</formula>
    </cfRule>
  </conditionalFormatting>
  <conditionalFormatting sqref="G40">
    <cfRule type="cellIs" dxfId="231" priority="70" stopIfTrue="1" operator="notEqual">
      <formula>$F$40</formula>
    </cfRule>
  </conditionalFormatting>
  <conditionalFormatting sqref="G41">
    <cfRule type="cellIs" dxfId="230" priority="69" stopIfTrue="1" operator="notEqual">
      <formula>$F$41</formula>
    </cfRule>
  </conditionalFormatting>
  <conditionalFormatting sqref="G42">
    <cfRule type="cellIs" dxfId="229" priority="68" stopIfTrue="1" operator="notEqual">
      <formula>$F$42</formula>
    </cfRule>
  </conditionalFormatting>
  <conditionalFormatting sqref="G43">
    <cfRule type="cellIs" dxfId="228" priority="67" stopIfTrue="1" operator="notEqual">
      <formula>$F$43</formula>
    </cfRule>
  </conditionalFormatting>
  <conditionalFormatting sqref="G44">
    <cfRule type="cellIs" dxfId="227" priority="66" stopIfTrue="1" operator="notEqual">
      <formula>$F$44</formula>
    </cfRule>
  </conditionalFormatting>
  <conditionalFormatting sqref="G45">
    <cfRule type="cellIs" dxfId="226" priority="65" stopIfTrue="1" operator="notEqual">
      <formula>$F$45</formula>
    </cfRule>
  </conditionalFormatting>
  <conditionalFormatting sqref="G46">
    <cfRule type="cellIs" dxfId="225" priority="64" stopIfTrue="1" operator="notEqual">
      <formula>$F$46</formula>
    </cfRule>
  </conditionalFormatting>
  <conditionalFormatting sqref="G47">
    <cfRule type="cellIs" dxfId="224" priority="63" stopIfTrue="1" operator="notEqual">
      <formula>$F$47</formula>
    </cfRule>
  </conditionalFormatting>
  <conditionalFormatting sqref="G48">
    <cfRule type="cellIs" dxfId="223" priority="62" stopIfTrue="1" operator="notEqual">
      <formula>$F$48</formula>
    </cfRule>
  </conditionalFormatting>
  <conditionalFormatting sqref="G49">
    <cfRule type="cellIs" dxfId="222" priority="61" stopIfTrue="1" operator="notEqual">
      <formula>$F$49</formula>
    </cfRule>
  </conditionalFormatting>
  <conditionalFormatting sqref="G50">
    <cfRule type="cellIs" dxfId="221" priority="60" stopIfTrue="1" operator="notEqual">
      <formula>$F$50</formula>
    </cfRule>
  </conditionalFormatting>
  <conditionalFormatting sqref="G51">
    <cfRule type="cellIs" dxfId="220" priority="59" stopIfTrue="1" operator="notEqual">
      <formula>$F$51</formula>
    </cfRule>
  </conditionalFormatting>
  <conditionalFormatting sqref="G52">
    <cfRule type="cellIs" dxfId="219" priority="58" stopIfTrue="1" operator="notEqual">
      <formula>$F$52</formula>
    </cfRule>
  </conditionalFormatting>
  <conditionalFormatting sqref="G53">
    <cfRule type="cellIs" dxfId="218" priority="57" stopIfTrue="1" operator="notEqual">
      <formula>$F$53</formula>
    </cfRule>
  </conditionalFormatting>
  <conditionalFormatting sqref="G54">
    <cfRule type="cellIs" dxfId="217" priority="56" stopIfTrue="1" operator="notEqual">
      <formula>$F$54</formula>
    </cfRule>
  </conditionalFormatting>
  <conditionalFormatting sqref="G55">
    <cfRule type="cellIs" dxfId="216" priority="55" stopIfTrue="1" operator="notEqual">
      <formula>$F$55</formula>
    </cfRule>
  </conditionalFormatting>
  <conditionalFormatting sqref="F2">
    <cfRule type="cellIs" dxfId="215" priority="378" stopIfTrue="1" operator="notEqual">
      <formula>$E$2</formula>
    </cfRule>
  </conditionalFormatting>
  <conditionalFormatting sqref="F3">
    <cfRule type="cellIs" dxfId="214" priority="377" stopIfTrue="1" operator="notEqual">
      <formula>$E$3</formula>
    </cfRule>
  </conditionalFormatting>
  <conditionalFormatting sqref="F4">
    <cfRule type="cellIs" dxfId="213" priority="376" stopIfTrue="1" operator="notEqual">
      <formula>$E$4</formula>
    </cfRule>
  </conditionalFormatting>
  <conditionalFormatting sqref="F5">
    <cfRule type="cellIs" dxfId="212" priority="375" stopIfTrue="1" operator="notEqual">
      <formula>$E$5</formula>
    </cfRule>
  </conditionalFormatting>
  <conditionalFormatting sqref="F6">
    <cfRule type="cellIs" dxfId="211" priority="374" stopIfTrue="1" operator="notEqual">
      <formula>$E$6</formula>
    </cfRule>
  </conditionalFormatting>
  <conditionalFormatting sqref="F7">
    <cfRule type="cellIs" dxfId="210" priority="373" stopIfTrue="1" operator="notEqual">
      <formula>$E$7</formula>
    </cfRule>
  </conditionalFormatting>
  <conditionalFormatting sqref="F8">
    <cfRule type="cellIs" dxfId="209" priority="372" stopIfTrue="1" operator="notEqual">
      <formula>$E$8</formula>
    </cfRule>
  </conditionalFormatting>
  <conditionalFormatting sqref="F9">
    <cfRule type="cellIs" dxfId="208" priority="371" stopIfTrue="1" operator="notEqual">
      <formula>$E$9</formula>
    </cfRule>
  </conditionalFormatting>
  <conditionalFormatting sqref="F10">
    <cfRule type="cellIs" dxfId="207" priority="370" stopIfTrue="1" operator="notEqual">
      <formula>$E$10</formula>
    </cfRule>
  </conditionalFormatting>
  <conditionalFormatting sqref="F11">
    <cfRule type="cellIs" dxfId="206" priority="369" stopIfTrue="1" operator="notEqual">
      <formula>$E$11</formula>
    </cfRule>
  </conditionalFormatting>
  <conditionalFormatting sqref="F12">
    <cfRule type="cellIs" dxfId="205" priority="368" stopIfTrue="1" operator="notEqual">
      <formula>$E$12</formula>
    </cfRule>
  </conditionalFormatting>
  <conditionalFormatting sqref="F13">
    <cfRule type="cellIs" dxfId="204" priority="367" stopIfTrue="1" operator="notEqual">
      <formula>$E$13</formula>
    </cfRule>
  </conditionalFormatting>
  <conditionalFormatting sqref="F14">
    <cfRule type="cellIs" dxfId="203" priority="366" stopIfTrue="1" operator="notEqual">
      <formula>$E$14</formula>
    </cfRule>
  </conditionalFormatting>
  <conditionalFormatting sqref="F15">
    <cfRule type="cellIs" dxfId="202" priority="365" stopIfTrue="1" operator="notEqual">
      <formula>$E$15</formula>
    </cfRule>
  </conditionalFormatting>
  <conditionalFormatting sqref="F16">
    <cfRule type="cellIs" dxfId="201" priority="364" stopIfTrue="1" operator="notEqual">
      <formula>$E$16</formula>
    </cfRule>
  </conditionalFormatting>
  <conditionalFormatting sqref="F17">
    <cfRule type="cellIs" dxfId="200" priority="363" stopIfTrue="1" operator="notEqual">
      <formula>$E$17</formula>
    </cfRule>
  </conditionalFormatting>
  <conditionalFormatting sqref="F18">
    <cfRule type="cellIs" dxfId="199" priority="362" stopIfTrue="1" operator="notEqual">
      <formula>$E$18</formula>
    </cfRule>
  </conditionalFormatting>
  <conditionalFormatting sqref="F19">
    <cfRule type="cellIs" dxfId="198" priority="361" stopIfTrue="1" operator="notEqual">
      <formula>$E$19</formula>
    </cfRule>
  </conditionalFormatting>
  <conditionalFormatting sqref="F20">
    <cfRule type="cellIs" dxfId="197" priority="360" stopIfTrue="1" operator="notEqual">
      <formula>$E$20</formula>
    </cfRule>
  </conditionalFormatting>
  <conditionalFormatting sqref="F21">
    <cfRule type="cellIs" dxfId="196" priority="359" stopIfTrue="1" operator="notEqual">
      <formula>$E$21</formula>
    </cfRule>
  </conditionalFormatting>
  <conditionalFormatting sqref="F22">
    <cfRule type="cellIs" dxfId="195" priority="358" stopIfTrue="1" operator="notEqual">
      <formula>$E$22</formula>
    </cfRule>
  </conditionalFormatting>
  <conditionalFormatting sqref="F23">
    <cfRule type="cellIs" dxfId="194" priority="357" stopIfTrue="1" operator="notEqual">
      <formula>$E$23</formula>
    </cfRule>
  </conditionalFormatting>
  <conditionalFormatting sqref="F24">
    <cfRule type="cellIs" dxfId="193" priority="356" stopIfTrue="1" operator="notEqual">
      <formula>$E$24</formula>
    </cfRule>
  </conditionalFormatting>
  <conditionalFormatting sqref="F25">
    <cfRule type="cellIs" dxfId="192" priority="355" stopIfTrue="1" operator="notEqual">
      <formula>$E$25</formula>
    </cfRule>
  </conditionalFormatting>
  <conditionalFormatting sqref="F26">
    <cfRule type="cellIs" dxfId="191" priority="354" stopIfTrue="1" operator="notEqual">
      <formula>$E$26</formula>
    </cfRule>
  </conditionalFormatting>
  <conditionalFormatting sqref="F27">
    <cfRule type="cellIs" dxfId="190" priority="353" stopIfTrue="1" operator="notEqual">
      <formula>$E$27</formula>
    </cfRule>
  </conditionalFormatting>
  <conditionalFormatting sqref="F28">
    <cfRule type="cellIs" dxfId="189" priority="352" stopIfTrue="1" operator="notEqual">
      <formula>$E$28</formula>
    </cfRule>
  </conditionalFormatting>
  <conditionalFormatting sqref="F29">
    <cfRule type="cellIs" dxfId="188" priority="351" stopIfTrue="1" operator="notEqual">
      <formula>$E$29</formula>
    </cfRule>
  </conditionalFormatting>
  <conditionalFormatting sqref="F30">
    <cfRule type="cellIs" dxfId="187" priority="350" stopIfTrue="1" operator="notEqual">
      <formula>$E$30</formula>
    </cfRule>
  </conditionalFormatting>
  <conditionalFormatting sqref="F31">
    <cfRule type="cellIs" dxfId="186" priority="349" stopIfTrue="1" operator="notEqual">
      <formula>$E$31</formula>
    </cfRule>
  </conditionalFormatting>
  <conditionalFormatting sqref="F32">
    <cfRule type="cellIs" dxfId="185" priority="348" stopIfTrue="1" operator="notEqual">
      <formula>$E$32</formula>
    </cfRule>
  </conditionalFormatting>
  <conditionalFormatting sqref="F33">
    <cfRule type="cellIs" dxfId="184" priority="347" stopIfTrue="1" operator="notEqual">
      <formula>$E$33</formula>
    </cfRule>
  </conditionalFormatting>
  <conditionalFormatting sqref="F34">
    <cfRule type="cellIs" dxfId="183" priority="346" stopIfTrue="1" operator="notEqual">
      <formula>$E$34</formula>
    </cfRule>
  </conditionalFormatting>
  <conditionalFormatting sqref="F35">
    <cfRule type="cellIs" dxfId="182" priority="345" stopIfTrue="1" operator="notEqual">
      <formula>$E$35</formula>
    </cfRule>
  </conditionalFormatting>
  <conditionalFormatting sqref="F36">
    <cfRule type="cellIs" dxfId="181" priority="344" stopIfTrue="1" operator="notEqual">
      <formula>$E$36</formula>
    </cfRule>
  </conditionalFormatting>
  <conditionalFormatting sqref="F37">
    <cfRule type="cellIs" dxfId="180" priority="343" stopIfTrue="1" operator="notEqual">
      <formula>$E$37</formula>
    </cfRule>
  </conditionalFormatting>
  <conditionalFormatting sqref="F38">
    <cfRule type="cellIs" dxfId="179" priority="342" stopIfTrue="1" operator="notEqual">
      <formula>$E$38</formula>
    </cfRule>
  </conditionalFormatting>
  <conditionalFormatting sqref="F39">
    <cfRule type="cellIs" dxfId="178" priority="341" stopIfTrue="1" operator="notEqual">
      <formula>$E$39</formula>
    </cfRule>
  </conditionalFormatting>
  <conditionalFormatting sqref="F40">
    <cfRule type="cellIs" dxfId="177" priority="340" stopIfTrue="1" operator="notEqual">
      <formula>$E$40</formula>
    </cfRule>
  </conditionalFormatting>
  <conditionalFormatting sqref="F41">
    <cfRule type="cellIs" dxfId="176" priority="339" stopIfTrue="1" operator="notEqual">
      <formula>$E$41</formula>
    </cfRule>
  </conditionalFormatting>
  <conditionalFormatting sqref="F42">
    <cfRule type="cellIs" dxfId="175" priority="338" stopIfTrue="1" operator="notEqual">
      <formula>$E$42</formula>
    </cfRule>
  </conditionalFormatting>
  <conditionalFormatting sqref="F43">
    <cfRule type="cellIs" dxfId="174" priority="337" stopIfTrue="1" operator="notEqual">
      <formula>$E$43</formula>
    </cfRule>
  </conditionalFormatting>
  <conditionalFormatting sqref="F44">
    <cfRule type="cellIs" dxfId="173" priority="336" stopIfTrue="1" operator="notEqual">
      <formula>$E$44</formula>
    </cfRule>
  </conditionalFormatting>
  <conditionalFormatting sqref="F45">
    <cfRule type="cellIs" dxfId="172" priority="335" stopIfTrue="1" operator="notEqual">
      <formula>$E$45</formula>
    </cfRule>
  </conditionalFormatting>
  <conditionalFormatting sqref="F46">
    <cfRule type="cellIs" dxfId="171" priority="334" stopIfTrue="1" operator="notEqual">
      <formula>$E$46</formula>
    </cfRule>
  </conditionalFormatting>
  <conditionalFormatting sqref="F47">
    <cfRule type="cellIs" dxfId="170" priority="333" stopIfTrue="1" operator="notEqual">
      <formula>$E$47</formula>
    </cfRule>
  </conditionalFormatting>
  <conditionalFormatting sqref="F48">
    <cfRule type="cellIs" dxfId="169" priority="332" stopIfTrue="1" operator="notEqual">
      <formula>$E$48</formula>
    </cfRule>
  </conditionalFormatting>
  <conditionalFormatting sqref="F49">
    <cfRule type="cellIs" dxfId="168" priority="331" stopIfTrue="1" operator="notEqual">
      <formula>$E$49</formula>
    </cfRule>
  </conditionalFormatting>
  <conditionalFormatting sqref="F50">
    <cfRule type="cellIs" dxfId="167" priority="330" stopIfTrue="1" operator="notEqual">
      <formula>$E$50</formula>
    </cfRule>
  </conditionalFormatting>
  <conditionalFormatting sqref="F51">
    <cfRule type="cellIs" dxfId="166" priority="329" stopIfTrue="1" operator="notEqual">
      <formula>$E$51</formula>
    </cfRule>
  </conditionalFormatting>
  <conditionalFormatting sqref="F52">
    <cfRule type="cellIs" dxfId="165" priority="328" stopIfTrue="1" operator="notEqual">
      <formula>$E$52</formula>
    </cfRule>
  </conditionalFormatting>
  <conditionalFormatting sqref="F53">
    <cfRule type="cellIs" dxfId="164" priority="327" stopIfTrue="1" operator="notEqual">
      <formula>$E$53</formula>
    </cfRule>
  </conditionalFormatting>
  <conditionalFormatting sqref="F54">
    <cfRule type="cellIs" dxfId="163" priority="326" stopIfTrue="1" operator="notEqual">
      <formula>$E$54</formula>
    </cfRule>
  </conditionalFormatting>
  <conditionalFormatting sqref="F55">
    <cfRule type="cellIs" dxfId="162" priority="325" stopIfTrue="1" operator="notEqual">
      <formula>$E$55</formula>
    </cfRule>
  </conditionalFormatting>
  <conditionalFormatting sqref="E2">
    <cfRule type="cellIs" dxfId="161" priority="324" stopIfTrue="1" operator="notEqual">
      <formula>$D$2</formula>
    </cfRule>
  </conditionalFormatting>
  <conditionalFormatting sqref="E3">
    <cfRule type="cellIs" dxfId="160" priority="323" stopIfTrue="1" operator="notEqual">
      <formula>$D$3</formula>
    </cfRule>
  </conditionalFormatting>
  <conditionalFormatting sqref="E4">
    <cfRule type="cellIs" dxfId="159" priority="322" stopIfTrue="1" operator="notEqual">
      <formula>$D$4</formula>
    </cfRule>
  </conditionalFormatting>
  <conditionalFormatting sqref="E5">
    <cfRule type="cellIs" dxfId="158" priority="321" stopIfTrue="1" operator="notEqual">
      <formula>$D$5</formula>
    </cfRule>
  </conditionalFormatting>
  <conditionalFormatting sqref="E6">
    <cfRule type="cellIs" dxfId="157" priority="320" stopIfTrue="1" operator="notEqual">
      <formula>$D$6</formula>
    </cfRule>
  </conditionalFormatting>
  <conditionalFormatting sqref="E7">
    <cfRule type="cellIs" dxfId="156" priority="319" stopIfTrue="1" operator="notEqual">
      <formula>$D$7</formula>
    </cfRule>
  </conditionalFormatting>
  <conditionalFormatting sqref="E8">
    <cfRule type="cellIs" dxfId="155" priority="318" stopIfTrue="1" operator="notEqual">
      <formula>$D$8</formula>
    </cfRule>
  </conditionalFormatting>
  <conditionalFormatting sqref="E9">
    <cfRule type="cellIs" dxfId="154" priority="317" stopIfTrue="1" operator="notEqual">
      <formula>$D$9</formula>
    </cfRule>
  </conditionalFormatting>
  <conditionalFormatting sqref="E10">
    <cfRule type="cellIs" dxfId="153" priority="316" stopIfTrue="1" operator="notEqual">
      <formula>$D$10</formula>
    </cfRule>
  </conditionalFormatting>
  <conditionalFormatting sqref="E11">
    <cfRule type="cellIs" dxfId="152" priority="315" stopIfTrue="1" operator="notEqual">
      <formula>$D$11</formula>
    </cfRule>
  </conditionalFormatting>
  <conditionalFormatting sqref="E12">
    <cfRule type="cellIs" dxfId="151" priority="314" stopIfTrue="1" operator="notEqual">
      <formula>$D$12</formula>
    </cfRule>
  </conditionalFormatting>
  <conditionalFormatting sqref="E13">
    <cfRule type="cellIs" dxfId="150" priority="313" stopIfTrue="1" operator="notEqual">
      <formula>$D$13</formula>
    </cfRule>
  </conditionalFormatting>
  <conditionalFormatting sqref="E14">
    <cfRule type="cellIs" dxfId="149" priority="312" stopIfTrue="1" operator="notEqual">
      <formula>$D$14</formula>
    </cfRule>
  </conditionalFormatting>
  <conditionalFormatting sqref="E15">
    <cfRule type="cellIs" dxfId="148" priority="311" stopIfTrue="1" operator="notEqual">
      <formula>$D$15</formula>
    </cfRule>
  </conditionalFormatting>
  <conditionalFormatting sqref="E16">
    <cfRule type="cellIs" dxfId="147" priority="310" stopIfTrue="1" operator="notEqual">
      <formula>$D$16</formula>
    </cfRule>
  </conditionalFormatting>
  <conditionalFormatting sqref="E17">
    <cfRule type="cellIs" dxfId="146" priority="309" stopIfTrue="1" operator="notEqual">
      <formula>$D$17</formula>
    </cfRule>
  </conditionalFormatting>
  <conditionalFormatting sqref="E18">
    <cfRule type="cellIs" dxfId="145" priority="308" stopIfTrue="1" operator="notEqual">
      <formula>$D$18</formula>
    </cfRule>
  </conditionalFormatting>
  <conditionalFormatting sqref="E19">
    <cfRule type="cellIs" dxfId="144" priority="307" stopIfTrue="1" operator="notEqual">
      <formula>$D$19</formula>
    </cfRule>
  </conditionalFormatting>
  <conditionalFormatting sqref="E20">
    <cfRule type="cellIs" dxfId="143" priority="306" stopIfTrue="1" operator="notEqual">
      <formula>$D$20</formula>
    </cfRule>
  </conditionalFormatting>
  <conditionalFormatting sqref="E21">
    <cfRule type="cellIs" dxfId="142" priority="305" stopIfTrue="1" operator="notEqual">
      <formula>$D$21</formula>
    </cfRule>
  </conditionalFormatting>
  <conditionalFormatting sqref="E22">
    <cfRule type="cellIs" dxfId="141" priority="304" stopIfTrue="1" operator="notEqual">
      <formula>$D$22</formula>
    </cfRule>
  </conditionalFormatting>
  <conditionalFormatting sqref="E23">
    <cfRule type="cellIs" dxfId="140" priority="303" stopIfTrue="1" operator="notEqual">
      <formula>$D$23</formula>
    </cfRule>
  </conditionalFormatting>
  <conditionalFormatting sqref="E24">
    <cfRule type="cellIs" dxfId="139" priority="302" stopIfTrue="1" operator="notEqual">
      <formula>$D$24</formula>
    </cfRule>
  </conditionalFormatting>
  <conditionalFormatting sqref="E25">
    <cfRule type="cellIs" dxfId="138" priority="301" stopIfTrue="1" operator="notEqual">
      <formula>$D$25</formula>
    </cfRule>
  </conditionalFormatting>
  <conditionalFormatting sqref="E26">
    <cfRule type="cellIs" dxfId="137" priority="300" stopIfTrue="1" operator="notEqual">
      <formula>$D$26</formula>
    </cfRule>
  </conditionalFormatting>
  <conditionalFormatting sqref="E27">
    <cfRule type="cellIs" dxfId="136" priority="299" stopIfTrue="1" operator="notEqual">
      <formula>$D$27</formula>
    </cfRule>
  </conditionalFormatting>
  <conditionalFormatting sqref="E28">
    <cfRule type="cellIs" dxfId="135" priority="298" stopIfTrue="1" operator="notEqual">
      <formula>$D$28</formula>
    </cfRule>
  </conditionalFormatting>
  <conditionalFormatting sqref="E29">
    <cfRule type="cellIs" dxfId="134" priority="297" stopIfTrue="1" operator="notEqual">
      <formula>$D$29</formula>
    </cfRule>
  </conditionalFormatting>
  <conditionalFormatting sqref="E30">
    <cfRule type="cellIs" dxfId="133" priority="296" stopIfTrue="1" operator="notEqual">
      <formula>$D$30</formula>
    </cfRule>
  </conditionalFormatting>
  <conditionalFormatting sqref="E31">
    <cfRule type="cellIs" dxfId="132" priority="295" stopIfTrue="1" operator="notEqual">
      <formula>$D$31</formula>
    </cfRule>
  </conditionalFormatting>
  <conditionalFormatting sqref="E32">
    <cfRule type="cellIs" dxfId="131" priority="294" stopIfTrue="1" operator="notEqual">
      <formula>$D$32</formula>
    </cfRule>
  </conditionalFormatting>
  <conditionalFormatting sqref="E33">
    <cfRule type="cellIs" dxfId="130" priority="293" stopIfTrue="1" operator="notEqual">
      <formula>$D$33</formula>
    </cfRule>
  </conditionalFormatting>
  <conditionalFormatting sqref="E34">
    <cfRule type="cellIs" dxfId="129" priority="292" stopIfTrue="1" operator="notEqual">
      <formula>$D$34</formula>
    </cfRule>
  </conditionalFormatting>
  <conditionalFormatting sqref="E35">
    <cfRule type="cellIs" dxfId="128" priority="291" stopIfTrue="1" operator="notEqual">
      <formula>$D$35</formula>
    </cfRule>
  </conditionalFormatting>
  <conditionalFormatting sqref="E36">
    <cfRule type="cellIs" dxfId="127" priority="290" stopIfTrue="1" operator="notEqual">
      <formula>$D$36</formula>
    </cfRule>
  </conditionalFormatting>
  <conditionalFormatting sqref="E37">
    <cfRule type="cellIs" dxfId="126" priority="289" stopIfTrue="1" operator="notEqual">
      <formula>$D$37</formula>
    </cfRule>
  </conditionalFormatting>
  <conditionalFormatting sqref="E38">
    <cfRule type="cellIs" dxfId="125" priority="288" stopIfTrue="1" operator="notEqual">
      <formula>$D$38</formula>
    </cfRule>
  </conditionalFormatting>
  <conditionalFormatting sqref="E39">
    <cfRule type="cellIs" dxfId="124" priority="287" stopIfTrue="1" operator="notEqual">
      <formula>$D$39</formula>
    </cfRule>
  </conditionalFormatting>
  <conditionalFormatting sqref="E40">
    <cfRule type="cellIs" dxfId="123" priority="286" stopIfTrue="1" operator="notEqual">
      <formula>$D$40</formula>
    </cfRule>
  </conditionalFormatting>
  <conditionalFormatting sqref="E41">
    <cfRule type="cellIs" dxfId="122" priority="285" stopIfTrue="1" operator="notEqual">
      <formula>$D$41</formula>
    </cfRule>
  </conditionalFormatting>
  <conditionalFormatting sqref="E42">
    <cfRule type="cellIs" dxfId="121" priority="284" stopIfTrue="1" operator="notEqual">
      <formula>$D$42</formula>
    </cfRule>
  </conditionalFormatting>
  <conditionalFormatting sqref="E43">
    <cfRule type="cellIs" dxfId="120" priority="283" stopIfTrue="1" operator="notEqual">
      <formula>$D$43</formula>
    </cfRule>
  </conditionalFormatting>
  <conditionalFormatting sqref="E44">
    <cfRule type="cellIs" dxfId="119" priority="282" stopIfTrue="1" operator="notEqual">
      <formula>$D$44</formula>
    </cfRule>
  </conditionalFormatting>
  <conditionalFormatting sqref="E45">
    <cfRule type="cellIs" dxfId="118" priority="281" stopIfTrue="1" operator="notEqual">
      <formula>$D$45</formula>
    </cfRule>
  </conditionalFormatting>
  <conditionalFormatting sqref="E46">
    <cfRule type="cellIs" dxfId="117" priority="280" stopIfTrue="1" operator="notEqual">
      <formula>$D$46</formula>
    </cfRule>
  </conditionalFormatting>
  <conditionalFormatting sqref="E47">
    <cfRule type="cellIs" dxfId="116" priority="279" stopIfTrue="1" operator="notEqual">
      <formula>$D$47</formula>
    </cfRule>
  </conditionalFormatting>
  <conditionalFormatting sqref="E48">
    <cfRule type="cellIs" dxfId="115" priority="278" stopIfTrue="1" operator="notEqual">
      <formula>$D$48</formula>
    </cfRule>
  </conditionalFormatting>
  <conditionalFormatting sqref="E49">
    <cfRule type="cellIs" dxfId="114" priority="277" stopIfTrue="1" operator="notEqual">
      <formula>$D$49</formula>
    </cfRule>
  </conditionalFormatting>
  <conditionalFormatting sqref="E50">
    <cfRule type="cellIs" dxfId="113" priority="276" stopIfTrue="1" operator="notEqual">
      <formula>$D$50</formula>
    </cfRule>
  </conditionalFormatting>
  <conditionalFormatting sqref="E51">
    <cfRule type="cellIs" dxfId="112" priority="275" stopIfTrue="1" operator="notEqual">
      <formula>$D$51</formula>
    </cfRule>
  </conditionalFormatting>
  <conditionalFormatting sqref="E52">
    <cfRule type="cellIs" dxfId="111" priority="274" stopIfTrue="1" operator="notEqual">
      <formula>$D$52</formula>
    </cfRule>
  </conditionalFormatting>
  <conditionalFormatting sqref="E53">
    <cfRule type="cellIs" dxfId="110" priority="273" stopIfTrue="1" operator="notEqual">
      <formula>$D$53</formula>
    </cfRule>
  </conditionalFormatting>
  <conditionalFormatting sqref="E54">
    <cfRule type="cellIs" dxfId="109" priority="272" stopIfTrue="1" operator="notEqual">
      <formula>$D$54</formula>
    </cfRule>
  </conditionalFormatting>
  <conditionalFormatting sqref="E55">
    <cfRule type="cellIs" dxfId="108" priority="271" stopIfTrue="1" operator="notEqual">
      <formula>$D$55</formula>
    </cfRule>
  </conditionalFormatting>
  <conditionalFormatting sqref="H2">
    <cfRule type="cellIs" dxfId="107" priority="162" stopIfTrue="1" operator="notEqual">
      <formula>$G$2</formula>
    </cfRule>
  </conditionalFormatting>
  <conditionalFormatting sqref="H3">
    <cfRule type="cellIs" dxfId="106" priority="161" stopIfTrue="1" operator="notEqual">
      <formula>$G$3</formula>
    </cfRule>
  </conditionalFormatting>
  <conditionalFormatting sqref="H4">
    <cfRule type="cellIs" dxfId="105" priority="160" stopIfTrue="1" operator="notEqual">
      <formula>$G$4</formula>
    </cfRule>
  </conditionalFormatting>
  <conditionalFormatting sqref="H5">
    <cfRule type="cellIs" dxfId="104" priority="159" stopIfTrue="1" operator="notEqual">
      <formula>$G$5</formula>
    </cfRule>
  </conditionalFormatting>
  <conditionalFormatting sqref="H6">
    <cfRule type="cellIs" dxfId="103" priority="158" stopIfTrue="1" operator="notEqual">
      <formula>$G$6</formula>
    </cfRule>
  </conditionalFormatting>
  <conditionalFormatting sqref="H7">
    <cfRule type="cellIs" dxfId="102" priority="157" stopIfTrue="1" operator="notEqual">
      <formula>$G$7</formula>
    </cfRule>
  </conditionalFormatting>
  <conditionalFormatting sqref="H8">
    <cfRule type="cellIs" dxfId="101" priority="156" stopIfTrue="1" operator="notEqual">
      <formula>$G$8</formula>
    </cfRule>
  </conditionalFormatting>
  <conditionalFormatting sqref="H9">
    <cfRule type="cellIs" dxfId="100" priority="155" stopIfTrue="1" operator="notEqual">
      <formula>$G$9</formula>
    </cfRule>
  </conditionalFormatting>
  <conditionalFormatting sqref="H10">
    <cfRule type="cellIs" dxfId="99" priority="154" stopIfTrue="1" operator="notEqual">
      <formula>$G$10</formula>
    </cfRule>
  </conditionalFormatting>
  <conditionalFormatting sqref="H11">
    <cfRule type="cellIs" dxfId="98" priority="153" stopIfTrue="1" operator="notEqual">
      <formula>$G$11</formula>
    </cfRule>
  </conditionalFormatting>
  <conditionalFormatting sqref="H12">
    <cfRule type="cellIs" dxfId="97" priority="152" stopIfTrue="1" operator="notEqual">
      <formula>$G$12</formula>
    </cfRule>
  </conditionalFormatting>
  <conditionalFormatting sqref="H13">
    <cfRule type="cellIs" dxfId="96" priority="151" stopIfTrue="1" operator="notEqual">
      <formula>$G$13</formula>
    </cfRule>
  </conditionalFormatting>
  <conditionalFormatting sqref="H14">
    <cfRule type="cellIs" dxfId="95" priority="150" stopIfTrue="1" operator="notEqual">
      <formula>$G$14</formula>
    </cfRule>
  </conditionalFormatting>
  <conditionalFormatting sqref="H15">
    <cfRule type="cellIs" dxfId="94" priority="149" stopIfTrue="1" operator="notEqual">
      <formula>$G$15</formula>
    </cfRule>
  </conditionalFormatting>
  <conditionalFormatting sqref="H16">
    <cfRule type="cellIs" dxfId="93" priority="148" stopIfTrue="1" operator="notEqual">
      <formula>$G$16</formula>
    </cfRule>
  </conditionalFormatting>
  <conditionalFormatting sqref="H17">
    <cfRule type="cellIs" dxfId="92" priority="147" stopIfTrue="1" operator="notEqual">
      <formula>$G$17</formula>
    </cfRule>
  </conditionalFormatting>
  <conditionalFormatting sqref="H18">
    <cfRule type="cellIs" dxfId="91" priority="146" stopIfTrue="1" operator="notEqual">
      <formula>$G$18</formula>
    </cfRule>
  </conditionalFormatting>
  <conditionalFormatting sqref="H19">
    <cfRule type="cellIs" dxfId="90" priority="145" stopIfTrue="1" operator="notEqual">
      <formula>$G$19</formula>
    </cfRule>
  </conditionalFormatting>
  <conditionalFormatting sqref="H20">
    <cfRule type="cellIs" dxfId="89" priority="144" stopIfTrue="1" operator="notEqual">
      <formula>$G$20</formula>
    </cfRule>
  </conditionalFormatting>
  <conditionalFormatting sqref="H21">
    <cfRule type="cellIs" dxfId="88" priority="143" stopIfTrue="1" operator="notEqual">
      <formula>$G$21</formula>
    </cfRule>
  </conditionalFormatting>
  <conditionalFormatting sqref="H22">
    <cfRule type="cellIs" dxfId="87" priority="142" stopIfTrue="1" operator="notEqual">
      <formula>$G$22</formula>
    </cfRule>
  </conditionalFormatting>
  <conditionalFormatting sqref="H23">
    <cfRule type="cellIs" dxfId="86" priority="141" stopIfTrue="1" operator="notEqual">
      <formula>$G$23</formula>
    </cfRule>
  </conditionalFormatting>
  <conditionalFormatting sqref="H24">
    <cfRule type="cellIs" dxfId="85" priority="140" stopIfTrue="1" operator="notEqual">
      <formula>$G$24</formula>
    </cfRule>
  </conditionalFormatting>
  <conditionalFormatting sqref="H25">
    <cfRule type="cellIs" dxfId="84" priority="139" stopIfTrue="1" operator="notEqual">
      <formula>$G$25</formula>
    </cfRule>
  </conditionalFormatting>
  <conditionalFormatting sqref="H26">
    <cfRule type="cellIs" dxfId="83" priority="138" stopIfTrue="1" operator="notEqual">
      <formula>$G$26</formula>
    </cfRule>
  </conditionalFormatting>
  <conditionalFormatting sqref="H27">
    <cfRule type="cellIs" dxfId="82" priority="137" stopIfTrue="1" operator="notEqual">
      <formula>$G$27</formula>
    </cfRule>
  </conditionalFormatting>
  <conditionalFormatting sqref="H28">
    <cfRule type="cellIs" dxfId="81" priority="136" stopIfTrue="1" operator="notEqual">
      <formula>$G$28</formula>
    </cfRule>
  </conditionalFormatting>
  <conditionalFormatting sqref="H29">
    <cfRule type="cellIs" dxfId="80" priority="135" stopIfTrue="1" operator="notEqual">
      <formula>$G$29</formula>
    </cfRule>
  </conditionalFormatting>
  <conditionalFormatting sqref="H30">
    <cfRule type="cellIs" dxfId="79" priority="134" stopIfTrue="1" operator="notEqual">
      <formula>$G$30</formula>
    </cfRule>
  </conditionalFormatting>
  <conditionalFormatting sqref="H31">
    <cfRule type="cellIs" dxfId="78" priority="133" stopIfTrue="1" operator="notEqual">
      <formula>$G$31</formula>
    </cfRule>
  </conditionalFormatting>
  <conditionalFormatting sqref="H32">
    <cfRule type="cellIs" dxfId="77" priority="132" stopIfTrue="1" operator="notEqual">
      <formula>$G$32</formula>
    </cfRule>
  </conditionalFormatting>
  <conditionalFormatting sqref="H33">
    <cfRule type="cellIs" dxfId="76" priority="131" stopIfTrue="1" operator="notEqual">
      <formula>$G$33</formula>
    </cfRule>
  </conditionalFormatting>
  <conditionalFormatting sqref="H34">
    <cfRule type="cellIs" dxfId="75" priority="130" stopIfTrue="1" operator="notEqual">
      <formula>$G$34</formula>
    </cfRule>
  </conditionalFormatting>
  <conditionalFormatting sqref="H35">
    <cfRule type="cellIs" dxfId="74" priority="129" stopIfTrue="1" operator="notEqual">
      <formula>$G$35</formula>
    </cfRule>
  </conditionalFormatting>
  <conditionalFormatting sqref="H36">
    <cfRule type="cellIs" dxfId="73" priority="128" stopIfTrue="1" operator="notEqual">
      <formula>$G$36</formula>
    </cfRule>
  </conditionalFormatting>
  <conditionalFormatting sqref="H37">
    <cfRule type="cellIs" dxfId="72" priority="127" stopIfTrue="1" operator="notEqual">
      <formula>$G$37</formula>
    </cfRule>
  </conditionalFormatting>
  <conditionalFormatting sqref="H38">
    <cfRule type="cellIs" dxfId="71" priority="126" stopIfTrue="1" operator="notEqual">
      <formula>$G$38</formula>
    </cfRule>
  </conditionalFormatting>
  <conditionalFormatting sqref="H39">
    <cfRule type="cellIs" dxfId="70" priority="125" stopIfTrue="1" operator="notEqual">
      <formula>$G$39</formula>
    </cfRule>
  </conditionalFormatting>
  <conditionalFormatting sqref="H40">
    <cfRule type="cellIs" dxfId="69" priority="124" stopIfTrue="1" operator="notEqual">
      <formula>$G$40</formula>
    </cfRule>
  </conditionalFormatting>
  <conditionalFormatting sqref="H41">
    <cfRule type="cellIs" dxfId="68" priority="123" stopIfTrue="1" operator="notEqual">
      <formula>$G$41</formula>
    </cfRule>
  </conditionalFormatting>
  <conditionalFormatting sqref="H42">
    <cfRule type="cellIs" dxfId="67" priority="122" stopIfTrue="1" operator="notEqual">
      <formula>$G$42</formula>
    </cfRule>
  </conditionalFormatting>
  <conditionalFormatting sqref="H43">
    <cfRule type="cellIs" dxfId="66" priority="121" stopIfTrue="1" operator="notEqual">
      <formula>$G$43</formula>
    </cfRule>
  </conditionalFormatting>
  <conditionalFormatting sqref="H44">
    <cfRule type="cellIs" dxfId="65" priority="120" stopIfTrue="1" operator="notEqual">
      <formula>$G$44</formula>
    </cfRule>
  </conditionalFormatting>
  <conditionalFormatting sqref="H45">
    <cfRule type="cellIs" dxfId="64" priority="119" stopIfTrue="1" operator="notEqual">
      <formula>$G$45</formula>
    </cfRule>
  </conditionalFormatting>
  <conditionalFormatting sqref="H46">
    <cfRule type="cellIs" dxfId="63" priority="118" stopIfTrue="1" operator="notEqual">
      <formula>$G$46</formula>
    </cfRule>
  </conditionalFormatting>
  <conditionalFormatting sqref="H47">
    <cfRule type="cellIs" dxfId="62" priority="117" stopIfTrue="1" operator="notEqual">
      <formula>$G$47</formula>
    </cfRule>
  </conditionalFormatting>
  <conditionalFormatting sqref="H48">
    <cfRule type="cellIs" dxfId="61" priority="116" stopIfTrue="1" operator="notEqual">
      <formula>$G$48</formula>
    </cfRule>
  </conditionalFormatting>
  <conditionalFormatting sqref="H49">
    <cfRule type="cellIs" dxfId="60" priority="115" stopIfTrue="1" operator="notEqual">
      <formula>$G$49</formula>
    </cfRule>
  </conditionalFormatting>
  <conditionalFormatting sqref="H50">
    <cfRule type="cellIs" dxfId="59" priority="114" stopIfTrue="1" operator="notEqual">
      <formula>$G$50</formula>
    </cfRule>
  </conditionalFormatting>
  <conditionalFormatting sqref="H51">
    <cfRule type="cellIs" dxfId="58" priority="113" stopIfTrue="1" operator="notEqual">
      <formula>$G$51</formula>
    </cfRule>
  </conditionalFormatting>
  <conditionalFormatting sqref="H52">
    <cfRule type="cellIs" dxfId="57" priority="112" stopIfTrue="1" operator="notEqual">
      <formula>$G$52</formula>
    </cfRule>
  </conditionalFormatting>
  <conditionalFormatting sqref="H53">
    <cfRule type="cellIs" dxfId="56" priority="111" stopIfTrue="1" operator="notEqual">
      <formula>$G$53</formula>
    </cfRule>
  </conditionalFormatting>
  <conditionalFormatting sqref="H54">
    <cfRule type="cellIs" dxfId="55" priority="110" stopIfTrue="1" operator="notEqual">
      <formula>$G$54</formula>
    </cfRule>
  </conditionalFormatting>
  <conditionalFormatting sqref="H55">
    <cfRule type="cellIs" dxfId="54" priority="109" stopIfTrue="1" operator="notEqual">
      <formula>$G$55</formula>
    </cfRule>
  </conditionalFormatting>
  <conditionalFormatting sqref="I2">
    <cfRule type="cellIs" dxfId="53" priority="54" stopIfTrue="1" operator="notEqual">
      <formula>$H$2</formula>
    </cfRule>
  </conditionalFormatting>
  <conditionalFormatting sqref="I3">
    <cfRule type="cellIs" dxfId="52" priority="53" stopIfTrue="1" operator="notEqual">
      <formula>$H$3</formula>
    </cfRule>
  </conditionalFormatting>
  <conditionalFormatting sqref="I4">
    <cfRule type="cellIs" dxfId="51" priority="52" stopIfTrue="1" operator="notEqual">
      <formula>$H$4</formula>
    </cfRule>
  </conditionalFormatting>
  <conditionalFormatting sqref="I5">
    <cfRule type="cellIs" dxfId="50" priority="51" stopIfTrue="1" operator="notEqual">
      <formula>$H$5</formula>
    </cfRule>
  </conditionalFormatting>
  <conditionalFormatting sqref="I6">
    <cfRule type="cellIs" dxfId="49" priority="50" stopIfTrue="1" operator="notEqual">
      <formula>$H$6</formula>
    </cfRule>
  </conditionalFormatting>
  <conditionalFormatting sqref="I7">
    <cfRule type="cellIs" dxfId="48" priority="49" stopIfTrue="1" operator="notEqual">
      <formula>$H$7</formula>
    </cfRule>
  </conditionalFormatting>
  <conditionalFormatting sqref="I8">
    <cfRule type="cellIs" dxfId="47" priority="48" stopIfTrue="1" operator="notEqual">
      <formula>$H$8</formula>
    </cfRule>
  </conditionalFormatting>
  <conditionalFormatting sqref="I9">
    <cfRule type="cellIs" dxfId="46" priority="47" stopIfTrue="1" operator="notEqual">
      <formula>$H$9</formula>
    </cfRule>
  </conditionalFormatting>
  <conditionalFormatting sqref="I10">
    <cfRule type="cellIs" dxfId="45" priority="46" stopIfTrue="1" operator="notEqual">
      <formula>$H$10</formula>
    </cfRule>
  </conditionalFormatting>
  <conditionalFormatting sqref="I11">
    <cfRule type="cellIs" dxfId="44" priority="45" stopIfTrue="1" operator="notEqual">
      <formula>$H$11</formula>
    </cfRule>
  </conditionalFormatting>
  <conditionalFormatting sqref="I12">
    <cfRule type="cellIs" dxfId="43" priority="44" stopIfTrue="1" operator="notEqual">
      <formula>$H$12</formula>
    </cfRule>
  </conditionalFormatting>
  <conditionalFormatting sqref="I13">
    <cfRule type="cellIs" dxfId="42" priority="43" stopIfTrue="1" operator="notEqual">
      <formula>$H$13</formula>
    </cfRule>
  </conditionalFormatting>
  <conditionalFormatting sqref="I14">
    <cfRule type="cellIs" dxfId="41" priority="42" stopIfTrue="1" operator="notEqual">
      <formula>$H$14</formula>
    </cfRule>
  </conditionalFormatting>
  <conditionalFormatting sqref="I15">
    <cfRule type="cellIs" dxfId="40" priority="41" stopIfTrue="1" operator="notEqual">
      <formula>$H$15</formula>
    </cfRule>
  </conditionalFormatting>
  <conditionalFormatting sqref="I16">
    <cfRule type="cellIs" dxfId="39" priority="40" stopIfTrue="1" operator="notEqual">
      <formula>$H$16</formula>
    </cfRule>
  </conditionalFormatting>
  <conditionalFormatting sqref="I17">
    <cfRule type="cellIs" dxfId="38" priority="39" stopIfTrue="1" operator="notEqual">
      <formula>$H$17</formula>
    </cfRule>
  </conditionalFormatting>
  <conditionalFormatting sqref="I18">
    <cfRule type="cellIs" dxfId="37" priority="38" stopIfTrue="1" operator="notEqual">
      <formula>$H$18</formula>
    </cfRule>
  </conditionalFormatting>
  <conditionalFormatting sqref="I19">
    <cfRule type="cellIs" dxfId="36" priority="37" stopIfTrue="1" operator="notEqual">
      <formula>$H$19</formula>
    </cfRule>
  </conditionalFormatting>
  <conditionalFormatting sqref="I20">
    <cfRule type="cellIs" dxfId="35" priority="36" stopIfTrue="1" operator="notEqual">
      <formula>$H$20</formula>
    </cfRule>
  </conditionalFormatting>
  <conditionalFormatting sqref="I21">
    <cfRule type="cellIs" dxfId="34" priority="35" stopIfTrue="1" operator="notEqual">
      <formula>$H$21</formula>
    </cfRule>
  </conditionalFormatting>
  <conditionalFormatting sqref="I22">
    <cfRule type="cellIs" dxfId="33" priority="34" stopIfTrue="1" operator="notEqual">
      <formula>$H$22</formula>
    </cfRule>
  </conditionalFormatting>
  <conditionalFormatting sqref="I23">
    <cfRule type="cellIs" dxfId="32" priority="33" stopIfTrue="1" operator="notEqual">
      <formula>$H$23</formula>
    </cfRule>
  </conditionalFormatting>
  <conditionalFormatting sqref="I24">
    <cfRule type="cellIs" dxfId="31" priority="32" stopIfTrue="1" operator="notEqual">
      <formula>$H$24</formula>
    </cfRule>
  </conditionalFormatting>
  <conditionalFormatting sqref="I25">
    <cfRule type="cellIs" dxfId="30" priority="31" stopIfTrue="1" operator="notEqual">
      <formula>$H$25</formula>
    </cfRule>
  </conditionalFormatting>
  <conditionalFormatting sqref="I26">
    <cfRule type="cellIs" dxfId="29" priority="30" stopIfTrue="1" operator="notEqual">
      <formula>$H$26</formula>
    </cfRule>
  </conditionalFormatting>
  <conditionalFormatting sqref="I27">
    <cfRule type="cellIs" dxfId="28" priority="29" stopIfTrue="1" operator="notEqual">
      <formula>$H$27</formula>
    </cfRule>
  </conditionalFormatting>
  <conditionalFormatting sqref="I28">
    <cfRule type="cellIs" dxfId="27" priority="28" stopIfTrue="1" operator="notEqual">
      <formula>$H$28</formula>
    </cfRule>
  </conditionalFormatting>
  <conditionalFormatting sqref="I29">
    <cfRule type="cellIs" dxfId="26" priority="27" stopIfTrue="1" operator="notEqual">
      <formula>$H$29</formula>
    </cfRule>
  </conditionalFormatting>
  <conditionalFormatting sqref="I30">
    <cfRule type="cellIs" dxfId="25" priority="26" stopIfTrue="1" operator="notEqual">
      <formula>$H$30</formula>
    </cfRule>
  </conditionalFormatting>
  <conditionalFormatting sqref="I31">
    <cfRule type="cellIs" dxfId="24" priority="25" stopIfTrue="1" operator="notEqual">
      <formula>$H$31</formula>
    </cfRule>
  </conditionalFormatting>
  <conditionalFormatting sqref="I32">
    <cfRule type="cellIs" dxfId="23" priority="24" stopIfTrue="1" operator="notEqual">
      <formula>$H$32</formula>
    </cfRule>
  </conditionalFormatting>
  <conditionalFormatting sqref="I33">
    <cfRule type="cellIs" dxfId="22" priority="23" stopIfTrue="1" operator="notEqual">
      <formula>$H$33</formula>
    </cfRule>
  </conditionalFormatting>
  <conditionalFormatting sqref="I34">
    <cfRule type="cellIs" dxfId="21" priority="22" stopIfTrue="1" operator="notEqual">
      <formula>$H$34</formula>
    </cfRule>
  </conditionalFormatting>
  <conditionalFormatting sqref="I35">
    <cfRule type="cellIs" dxfId="20" priority="21" stopIfTrue="1" operator="notEqual">
      <formula>$H$35</formula>
    </cfRule>
  </conditionalFormatting>
  <conditionalFormatting sqref="I36">
    <cfRule type="cellIs" dxfId="19" priority="20" stopIfTrue="1" operator="notEqual">
      <formula>$H$36</formula>
    </cfRule>
  </conditionalFormatting>
  <conditionalFormatting sqref="I37">
    <cfRule type="cellIs" dxfId="18" priority="19" stopIfTrue="1" operator="notEqual">
      <formula>$H$37</formula>
    </cfRule>
  </conditionalFormatting>
  <conditionalFormatting sqref="I38">
    <cfRule type="cellIs" dxfId="17" priority="18" stopIfTrue="1" operator="notEqual">
      <formula>$H$38</formula>
    </cfRule>
  </conditionalFormatting>
  <conditionalFormatting sqref="I39">
    <cfRule type="cellIs" dxfId="16" priority="17" stopIfTrue="1" operator="notEqual">
      <formula>$H$39</formula>
    </cfRule>
  </conditionalFormatting>
  <conditionalFormatting sqref="I40">
    <cfRule type="cellIs" dxfId="15" priority="16" stopIfTrue="1" operator="notEqual">
      <formula>$H$40</formula>
    </cfRule>
  </conditionalFormatting>
  <conditionalFormatting sqref="I41">
    <cfRule type="cellIs" dxfId="14" priority="15" stopIfTrue="1" operator="notEqual">
      <formula>$H$41</formula>
    </cfRule>
  </conditionalFormatting>
  <conditionalFormatting sqref="I42">
    <cfRule type="cellIs" dxfId="13" priority="14" stopIfTrue="1" operator="notEqual">
      <formula>$H$42</formula>
    </cfRule>
  </conditionalFormatting>
  <conditionalFormatting sqref="I43">
    <cfRule type="cellIs" dxfId="12" priority="13" stopIfTrue="1" operator="notEqual">
      <formula>$H$43</formula>
    </cfRule>
  </conditionalFormatting>
  <conditionalFormatting sqref="I44">
    <cfRule type="cellIs" dxfId="11" priority="12" stopIfTrue="1" operator="notEqual">
      <formula>$H$44</formula>
    </cfRule>
  </conditionalFormatting>
  <conditionalFormatting sqref="I45">
    <cfRule type="cellIs" dxfId="10" priority="11" stopIfTrue="1" operator="notEqual">
      <formula>$H$45</formula>
    </cfRule>
  </conditionalFormatting>
  <conditionalFormatting sqref="I46">
    <cfRule type="cellIs" dxfId="9" priority="10" stopIfTrue="1" operator="notEqual">
      <formula>$H$46</formula>
    </cfRule>
  </conditionalFormatting>
  <conditionalFormatting sqref="I47">
    <cfRule type="cellIs" dxfId="8" priority="9" stopIfTrue="1" operator="notEqual">
      <formula>$H$47</formula>
    </cfRule>
  </conditionalFormatting>
  <conditionalFormatting sqref="I48">
    <cfRule type="cellIs" dxfId="7" priority="8" stopIfTrue="1" operator="notEqual">
      <formula>$H$48</formula>
    </cfRule>
  </conditionalFormatting>
  <conditionalFormatting sqref="I49">
    <cfRule type="cellIs" dxfId="6" priority="7" stopIfTrue="1" operator="notEqual">
      <formula>$H$49</formula>
    </cfRule>
  </conditionalFormatting>
  <conditionalFormatting sqref="I50">
    <cfRule type="cellIs" dxfId="5" priority="6" stopIfTrue="1" operator="notEqual">
      <formula>$H$50</formula>
    </cfRule>
  </conditionalFormatting>
  <conditionalFormatting sqref="I51">
    <cfRule type="cellIs" dxfId="4" priority="5" stopIfTrue="1" operator="notEqual">
      <formula>$H$51</formula>
    </cfRule>
  </conditionalFormatting>
  <conditionalFormatting sqref="I52">
    <cfRule type="cellIs" dxfId="3" priority="4" stopIfTrue="1" operator="notEqual">
      <formula>$H$52</formula>
    </cfRule>
  </conditionalFormatting>
  <conditionalFormatting sqref="I53">
    <cfRule type="cellIs" dxfId="2" priority="3" stopIfTrue="1" operator="notEqual">
      <formula>$H$53</formula>
    </cfRule>
  </conditionalFormatting>
  <conditionalFormatting sqref="I54">
    <cfRule type="cellIs" dxfId="1" priority="2" stopIfTrue="1" operator="notEqual">
      <formula>$H$54</formula>
    </cfRule>
  </conditionalFormatting>
  <conditionalFormatting sqref="I55">
    <cfRule type="cellIs" dxfId="0" priority="1" stopIfTrue="1" operator="notEqual">
      <formula>$H$55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Code generator</vt:lpstr>
      <vt:lpstr>Raw data</vt:lpstr>
      <vt:lpstr>HID Usage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darkness</dc:creator>
  <cp:lastModifiedBy>darkness</cp:lastModifiedBy>
  <dcterms:created xsi:type="dcterms:W3CDTF">2012-11-22T13:57:14Z</dcterms:created>
  <dcterms:modified xsi:type="dcterms:W3CDTF">2012-12-02T10:59:35Z</dcterms:modified>
</cp:coreProperties>
</file>